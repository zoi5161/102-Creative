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áo cáo CV" sheetId="1" r:id="rId4"/>
    <sheet state="hidden" name="Theo dõi lượt đăng bài" sheetId="2" r:id="rId5"/>
    <sheet state="hidden" name="Tuần" sheetId="3" r:id="rId6"/>
    <sheet state="hidden" name="T102024 BC ngày" sheetId="4" r:id="rId7"/>
    <sheet state="hidden" name="T82024 BC ngày" sheetId="5" r:id="rId8"/>
    <sheet state="hidden" name="T92024 BC ngày" sheetId="6" r:id="rId9"/>
    <sheet state="hidden" name="T112024 BC TTS " sheetId="7" r:id="rId10"/>
    <sheet state="hidden" name="T012025 BC TTS " sheetId="8" r:id="rId11"/>
    <sheet state="hidden" name="T122024 BC TTS " sheetId="9" r:id="rId12"/>
    <sheet state="hidden" name="T122024 BC CV" sheetId="10" r:id="rId13"/>
    <sheet state="hidden" name="T112024 BC CV " sheetId="11" r:id="rId14"/>
    <sheet state="hidden" name="T012025 BC CV " sheetId="12" r:id="rId15"/>
  </sheets>
  <definedNames/>
  <calcPr/>
  <extLst>
    <ext uri="GoogleSheetsCustomDataVersion2">
      <go:sheetsCustomData xmlns:go="http://customooxmlschemas.google.com/" r:id="rId16" roundtripDataChecksum="s/wcbo9UDemoRpSUuLZp/sFlU8lRAQAPxl7sCjOYO/U="/>
    </ext>
  </extLst>
</workbook>
</file>

<file path=xl/sharedStrings.xml><?xml version="1.0" encoding="utf-8"?>
<sst xmlns="http://schemas.openxmlformats.org/spreadsheetml/2006/main" count="1324" uniqueCount="338">
  <si>
    <t>STT</t>
  </si>
  <si>
    <t xml:space="preserve">TÊN </t>
  </si>
  <si>
    <t xml:space="preserve">VỊ TRÍ </t>
  </si>
  <si>
    <t>Duyệt CV</t>
  </si>
  <si>
    <t>Kinh nghiệm BĐS</t>
  </si>
  <si>
    <t>CV ứng viên</t>
  </si>
  <si>
    <t xml:space="preserve">Nguyễn Huỳnh Phúc </t>
  </si>
  <si>
    <t>Content Marketing</t>
  </si>
  <si>
    <t xml:space="preserve">Hồ Nguyễn Khánh Hà </t>
  </si>
  <si>
    <t>Đinh Cù Khánh Đăng</t>
  </si>
  <si>
    <t xml:space="preserve">Nguyễn Hoàng Trúc Anh </t>
  </si>
  <si>
    <t>Đạt</t>
  </si>
  <si>
    <t xml:space="preserve">Chưa có </t>
  </si>
  <si>
    <t>Link topcv</t>
  </si>
  <si>
    <t xml:space="preserve">Huỳnh Ngô Mỹ Tiên </t>
  </si>
  <si>
    <t>Ngô Thị Hoài Thương</t>
  </si>
  <si>
    <t xml:space="preserve">Lê Minh Quân </t>
  </si>
  <si>
    <t xml:space="preserve">Dương Nguyễn Kim Mỹ </t>
  </si>
  <si>
    <t xml:space="preserve">Lê Thị Như Quỳnh </t>
  </si>
  <si>
    <t>Phạm Thị Nhi</t>
  </si>
  <si>
    <t xml:space="preserve">Đinh Châu Trân </t>
  </si>
  <si>
    <t xml:space="preserve">Trương Thanh Tuấn </t>
  </si>
  <si>
    <t>Đã có KN</t>
  </si>
  <si>
    <t xml:space="preserve">Hoàng Thị Thùy Linh </t>
  </si>
  <si>
    <t xml:space="preserve">Đặng Ngọc Trúc Anh </t>
  </si>
  <si>
    <t>Nguyễn Thị Ngọc Diệp</t>
  </si>
  <si>
    <t>BÁO CÁO THEO DÕI LƯỢT ĐĂNG BÀI TRÊN CÁC ỨNG DỤNG TUYỂN DỤNG</t>
  </si>
  <si>
    <t xml:space="preserve">Kênh </t>
  </si>
  <si>
    <t>Nhóm</t>
  </si>
  <si>
    <t>Đường link nhóm/bài đăng</t>
  </si>
  <si>
    <t xml:space="preserve">Ngày đăng </t>
  </si>
  <si>
    <t>Ngày duyệt</t>
  </si>
  <si>
    <t>Trạng thái</t>
  </si>
  <si>
    <t>Hình</t>
  </si>
  <si>
    <t>Facebook</t>
  </si>
  <si>
    <t>THỰC TẬP SINH NĂM 3,4 - INTERNSHIP CÓ LƯƠNG</t>
  </si>
  <si>
    <r>
      <rPr>
        <rFont val="Times New Roman"/>
        <color rgb="FF1155CC"/>
        <sz val="12.0"/>
        <u/>
      </rPr>
      <t>https://www.facebook.com/share/g/qLNDsM4NbLGidpa3/</t>
    </r>
    <r>
      <rPr>
        <rFont val="Times New Roman"/>
        <sz val="12.0"/>
      </rPr>
      <t xml:space="preserve"> </t>
    </r>
  </si>
  <si>
    <t>15:55 20/08/2024</t>
  </si>
  <si>
    <t>Chờ duyệt</t>
  </si>
  <si>
    <t>Mẫu 1</t>
  </si>
  <si>
    <t>TopCV</t>
  </si>
  <si>
    <t xml:space="preserve">https://www.topcv.vn/viec-lam/thuc-tap-sinh/1446013.html </t>
  </si>
  <si>
    <t>16:32 20/08/2024</t>
  </si>
  <si>
    <t>14:20 21/08/2024</t>
  </si>
  <si>
    <t>TUYỂN DỤNG THỰC TẬP SINH HCM</t>
  </si>
  <si>
    <t>https://www.facebook.com/share/g/S1fYS7MYry6Bz6b7/</t>
  </si>
  <si>
    <t>8:15 21/08/2024</t>
  </si>
  <si>
    <t>Bị xóa (không tìm ra nguyên nhân)</t>
  </si>
  <si>
    <t>Internships &amp; Jobs in Vietnam | Thực tập &amp; Việc làm</t>
  </si>
  <si>
    <t>https://www.facebook.com/share/g/vQUs3B2EXsKKUoKs/</t>
  </si>
  <si>
    <t>8:54 21/08/2024</t>
  </si>
  <si>
    <t>8:54 21/08/2026</t>
  </si>
  <si>
    <t>Mẫu 2</t>
  </si>
  <si>
    <t>TUYỂN DỤNG THỰC TẬP SINH CÓ LƯƠNG</t>
  </si>
  <si>
    <t>https://www.facebook.com/share/g/pX9uzZbUe5SiNch2/</t>
  </si>
  <si>
    <t>8:45 22/08/2024</t>
  </si>
  <si>
    <t>8:45 22/08/2027</t>
  </si>
  <si>
    <t>Mẫu 3</t>
  </si>
  <si>
    <t>THỰC TẬP CÓ LƯƠNG - PART TIME - INTERNSHIP</t>
  </si>
  <si>
    <t>https://www.facebook.com/share/g/QjX2MsgodqX66VWk/</t>
  </si>
  <si>
    <t>9:28 26/08/2024</t>
  </si>
  <si>
    <t>Bị từ chối</t>
  </si>
  <si>
    <r>
      <rPr>
        <rFont val="Times New Roman"/>
        <color rgb="FF1155CC"/>
        <sz val="12.0"/>
        <u/>
      </rPr>
      <t>https://www.facebook.com/share/g/qLNDsM4NbLGidpa3/</t>
    </r>
    <r>
      <rPr>
        <rFont val="Times New Roman"/>
        <sz val="12.0"/>
      </rPr>
      <t xml:space="preserve"> </t>
    </r>
  </si>
  <si>
    <t>8:15 27/08/2024</t>
  </si>
  <si>
    <t>9:22 28/08/2024</t>
  </si>
  <si>
    <t>8:31 04/09/2024</t>
  </si>
  <si>
    <t>Mẫu2</t>
  </si>
  <si>
    <t>THỰC TẬP SINH - CƠ HỘI VIỆC LÀM - TP.HCM</t>
  </si>
  <si>
    <t>https://www.facebook.com/share/g/3b1wCrffDnhxWoPP/</t>
  </si>
  <si>
    <t>8:53 05/09/2024</t>
  </si>
  <si>
    <r>
      <rPr>
        <rFont val="Times New Roman"/>
        <color rgb="FF1155CC"/>
        <sz val="12.0"/>
        <u/>
      </rPr>
      <t>https://www.facebook.com/share/g/qLNDsM4NbLGidpa3/</t>
    </r>
    <r>
      <rPr>
        <rFont val="Times New Roman"/>
        <sz val="12.0"/>
      </rPr>
      <t xml:space="preserve"> </t>
    </r>
  </si>
  <si>
    <t>9:07 06/09/2024</t>
  </si>
  <si>
    <t>Mẫu 4</t>
  </si>
  <si>
    <t>9:20 09/09/2024</t>
  </si>
  <si>
    <t>TUYỂN DỤNG THỰC TẬP SINH NĂM CUỐI</t>
  </si>
  <si>
    <t>https://www.facebook.com/share/g/HKFpGScsRBQqxjUN/</t>
  </si>
  <si>
    <t>8:33 11/09/2024</t>
  </si>
  <si>
    <t>Mẫu 5</t>
  </si>
  <si>
    <t>8:37 12/09/2024</t>
  </si>
  <si>
    <t>9:12 17/09/2024</t>
  </si>
  <si>
    <t>Tuyển Dụng - Việc Làm - Sài Gòn</t>
  </si>
  <si>
    <t>https://www.facebook.com/share/g/7mn7hXHwLk67KwGr/</t>
  </si>
  <si>
    <t>8:11 18/09/2024</t>
  </si>
  <si>
    <t>Tuyển Dụng - Tìm Việc Làm TP.HCM</t>
  </si>
  <si>
    <t>https://www.facebook.com/share/g/R1DLwHMF9WbPLhuy/</t>
  </si>
  <si>
    <t>8:35 19/09/2024</t>
  </si>
  <si>
    <t>Thực Tập Sinh - Internship Có Lương - Việc Làm Mới Tốt Nghiệp</t>
  </si>
  <si>
    <t>https://www.facebook.com/share/g/2bRQmJLZootrh72L/</t>
  </si>
  <si>
    <t>08:38 24/09/2024</t>
  </si>
  <si>
    <t>Tuyển Dụng Việc Làm TPHCM - Tìm Việc Làm TPHCM</t>
  </si>
  <si>
    <t>https://www.facebook.com/share/g/unqzbpGwif9bSheK/</t>
  </si>
  <si>
    <t>8:24 25/09/2024</t>
  </si>
  <si>
    <t>9:00 26/09/2024</t>
  </si>
  <si>
    <t>Mẫu 8</t>
  </si>
  <si>
    <t>THỰC TẬP DOANH NGHIỆP (CÓ LƯƠNG / DẤU MỘC) - SINH VIÊN NĂM CUỐI</t>
  </si>
  <si>
    <t>https://www.facebook.com/share/g/H7eMJV4iuxZaMShi/</t>
  </si>
  <si>
    <t>9:23 30/9/2024</t>
  </si>
  <si>
    <t>https://www.facebook.com/share/g/euvbCh7TZAx5b5qm/</t>
  </si>
  <si>
    <t>9:59 01/10/2024</t>
  </si>
  <si>
    <t>9:19 02/10/2024</t>
  </si>
  <si>
    <t>Mẫu7</t>
  </si>
  <si>
    <t>Tuyển dụng sinh viên thực tập năm cuối</t>
  </si>
  <si>
    <t>https://www.facebook.com/share/g/4rjXQXqjFzAhqkVJ/</t>
  </si>
  <si>
    <t>8:29 03/10/2024</t>
  </si>
  <si>
    <t>Thực Tập Sinh - Cơ Hội Việc Làm</t>
  </si>
  <si>
    <t>https://www.facebook.com/share/g/8XMKUV26bTNcscFJ/</t>
  </si>
  <si>
    <t>11:00 11/10/2024</t>
  </si>
  <si>
    <t>JOB - THỰC TẬP SINH NHÂN SỰ (Miền Nam)</t>
  </si>
  <si>
    <t>https://www.facebook.com/share/g/Khj6R8mt66tMcC1j/</t>
  </si>
  <si>
    <t>10:12 14/10/2024</t>
  </si>
  <si>
    <t>Mẫu 11</t>
  </si>
  <si>
    <t>Tuyển Dụng Sinh Siên Thực Tập Năm Cuối</t>
  </si>
  <si>
    <t>https://www.facebook.com/share/g/QHq7Stpst9YS5v6r/</t>
  </si>
  <si>
    <t>13:14 15/10/2024</t>
  </si>
  <si>
    <t>13:14 15/10/2025</t>
  </si>
  <si>
    <t>Mẫu 13</t>
  </si>
  <si>
    <t>TUYỂN DỤNG SINH VIÊN THỰC TẬP NĂM CUỐI</t>
  </si>
  <si>
    <t>8:43 16/10/2024</t>
  </si>
  <si>
    <t>Mẫu 9</t>
  </si>
  <si>
    <t>VIỆC LÀM THỰC TẬP SINH - SINH VIÊN MỚI TỐT NGHIỆP</t>
  </si>
  <si>
    <t>https://www.facebook.com/share/g/GdctKfBhZHuDUbWe/</t>
  </si>
  <si>
    <t>8:45 22/10/2024</t>
  </si>
  <si>
    <t>https://www.facebook.com/share/g/4tfHNkWwdPmHYNif/</t>
  </si>
  <si>
    <t>8:24 23/10/2024</t>
  </si>
  <si>
    <t>Mẫu 18</t>
  </si>
  <si>
    <t>8:19 24/10/2024</t>
  </si>
  <si>
    <t>https://www.facebook.com/share/g/15AsTEiWNt/</t>
  </si>
  <si>
    <t>13:47 12/11/2024</t>
  </si>
  <si>
    <t>Mẫu 16</t>
  </si>
  <si>
    <t>https://www.facebook.com/share/g/1DSD6GyUiP/</t>
  </si>
  <si>
    <t>8:42 19/11/2024</t>
  </si>
  <si>
    <t>TUYỂN DỤNG SINH VIÊN MỚI RA TRƯỜNG, THỰC TẬP SINH</t>
  </si>
  <si>
    <t>https://www.facebook.com/share/g/15fMKje3kG/</t>
  </si>
  <si>
    <t>8:27 20/11/2024</t>
  </si>
  <si>
    <t>https://www.facebook.com/share/g/18MPQTfLpp/</t>
  </si>
  <si>
    <t>8:23 21/11/2024</t>
  </si>
  <si>
    <t>Mẫu 15</t>
  </si>
  <si>
    <t>THỰC TẬP SINH NĂM 3, 4 - INTERNSHIP CÓ LƯƠNG</t>
  </si>
  <si>
    <t>https://www.facebook.com/share/g/1Df3GkvsZv/</t>
  </si>
  <si>
    <t>8:16 22/11/2024</t>
  </si>
  <si>
    <t>Jobs &amp; Internship in Ho Chi Minh City</t>
  </si>
  <si>
    <t>https://www.facebook.com/share/g/1WcVrwExLM/</t>
  </si>
  <si>
    <t>9:08 27/11/2024</t>
  </si>
  <si>
    <t>Mẫu 10</t>
  </si>
  <si>
    <t>https://www.facebook.com/share/g/17d5VaMiG9/</t>
  </si>
  <si>
    <t>10:56 28/11/2024</t>
  </si>
  <si>
    <t>https://www.facebook.com/share/g/17y5adeyNC/</t>
  </si>
  <si>
    <t>9:33 29/11/2024</t>
  </si>
  <si>
    <t>Mẫu 14</t>
  </si>
  <si>
    <t>https://www.facebook.com/share/g/19gs2QnJdP/</t>
  </si>
  <si>
    <t>9:27 30/11/2024</t>
  </si>
  <si>
    <t>https://www.facebook.com/share/g/19fKHCqJFV/</t>
  </si>
  <si>
    <t>8:54 02/12/2024</t>
  </si>
  <si>
    <t>https://www.facebook.com/share/g/1UMP1YS9H3/</t>
  </si>
  <si>
    <t>8:44 03/12/2024</t>
  </si>
  <si>
    <t>Mẫu 19</t>
  </si>
  <si>
    <t>https://www.facebook.com/share/g/1ETDPs6sut/</t>
  </si>
  <si>
    <t>8:07 04/12/2024</t>
  </si>
  <si>
    <t>Tuyển dụng Sinh viên thực tập năm cuối</t>
  </si>
  <si>
    <t>https://www.facebook.com/share/g/1FmsbSLjHA/</t>
  </si>
  <si>
    <t>9:24 05/12/2024</t>
  </si>
  <si>
    <t>https://www.facebook.com/share/g/19fuy64P8f/</t>
  </si>
  <si>
    <t>9:25 06/12/2024</t>
  </si>
  <si>
    <t>Mẫu Pickleball</t>
  </si>
  <si>
    <t>Đây - Job xịn - TPHCM</t>
  </si>
  <si>
    <t>https://www.facebook.com/share/g/15bAsPtwfE/</t>
  </si>
  <si>
    <t>8:14 07/12/2024</t>
  </si>
  <si>
    <t>HỘI SINH VIÊN MỚI RA TRƯỜNG TÌM VIỆC</t>
  </si>
  <si>
    <t>https://www.facebook.com/share/g/19UpcBXtbJ/</t>
  </si>
  <si>
    <t>9:07 09/12/2024</t>
  </si>
  <si>
    <t>Tuyển dụng Gen Z - Việc làm Sinh viên (TP.HCM)</t>
  </si>
  <si>
    <t>https://www.facebook.com/share/g/1JnZaHuETr/</t>
  </si>
  <si>
    <t>9:04 10/12/2024</t>
  </si>
  <si>
    <t>Mẫu 20</t>
  </si>
  <si>
    <t>Việc Làm Sinh Viên Part Time - Full Time TP.HCM</t>
  </si>
  <si>
    <t>https://www.facebook.com/share/g/15uBE2AREY/</t>
  </si>
  <si>
    <t>8:59 11/12/2024</t>
  </si>
  <si>
    <t>VIỆC LÀM THÊM SINH VIÊN</t>
  </si>
  <si>
    <t>https://www.facebook.com/share/g/14Tm5Fn7Zy/</t>
  </si>
  <si>
    <t>9:34 12/12/2024</t>
  </si>
  <si>
    <t>Việc làm Sinh viên Đại học Ngoại Ngữ Tin Học TP HCM - HUFLIT Student Jobs</t>
  </si>
  <si>
    <t>https://www.facebook.com/share/g/15WVdQ9gEm/</t>
  </si>
  <si>
    <t>9:21 13/12/2024</t>
  </si>
  <si>
    <t>Mẫu 21</t>
  </si>
  <si>
    <t>Việc Làm Sinh Viên TPHCM</t>
  </si>
  <si>
    <t>https://www.facebook.com/share/g/1BGZ9BgxRG/</t>
  </si>
  <si>
    <t>8:52 14/12/2024</t>
  </si>
  <si>
    <t>Việc Làm Sinh Viên Sài Gòn</t>
  </si>
  <si>
    <t>https://www.facebook.com/share/g/15ixaR8VtH/</t>
  </si>
  <si>
    <t>9:27 16/12/2024</t>
  </si>
  <si>
    <t>✅ Việc Làm Tìm Sinh Viên - TPHCM</t>
  </si>
  <si>
    <t>https://www.facebook.com/share/g/14ZPpXEdrQ/</t>
  </si>
  <si>
    <t>9:48 17/12/2024</t>
  </si>
  <si>
    <t>Mẫu 22</t>
  </si>
  <si>
    <t>https://www.facebook.com/share/g/1DpYcY5BtD/</t>
  </si>
  <si>
    <t>9:31 18/12/2024</t>
  </si>
  <si>
    <t>Việc làm Sinh Viên SG (Part Time - Full Time)</t>
  </si>
  <si>
    <t>https://www.facebook.com/share/g/15W88fAnTh/</t>
  </si>
  <si>
    <t>9:47 19/12/2024</t>
  </si>
  <si>
    <t>Việc Làm Sinh Viên</t>
  </si>
  <si>
    <t>https://www.facebook.com/groups/408813058688578/</t>
  </si>
  <si>
    <t>9:20 20/12/2024</t>
  </si>
  <si>
    <t>Mẫu 23</t>
  </si>
  <si>
    <t>VIỆC LÀM SINH VIÊN TP.HCM</t>
  </si>
  <si>
    <t>https://www.facebook.com/share/g/1PNGLjB5Nu/</t>
  </si>
  <si>
    <t>8:58 21/12/2024</t>
  </si>
  <si>
    <t>Tuyển dụng nhân viên bán hàng, sales, tư vấn, kinh doanh TP HỒ CHÍ MINH</t>
  </si>
  <si>
    <t>https://www.facebook.com/share/g/EHVZ5Uvx4HDHqfMo/</t>
  </si>
  <si>
    <t>10:50 30/10/2024</t>
  </si>
  <si>
    <t>10:50 30/10/2025</t>
  </si>
  <si>
    <t>Tuyển Dụng Nhân Viên Kinh Doanh Marketing Sale</t>
  </si>
  <si>
    <t>https://www.facebook.com/share/g/jgkV8y4EBUweWJqw/</t>
  </si>
  <si>
    <t>8:22 31/10/2024</t>
  </si>
  <si>
    <t>TUYỂN DỤNG NHÂN VIÊN KINH DOANH</t>
  </si>
  <si>
    <t>https://www.facebook.com/share/g/4HwkwTswZjcx5h4G/</t>
  </si>
  <si>
    <t>9:03 04/11/2024</t>
  </si>
  <si>
    <t>https://www.facebook.com/share/g/yL48ptFV7SyW3uwd/</t>
  </si>
  <si>
    <t>8:29 05/11/2024</t>
  </si>
  <si>
    <t>Tuyển Dụng Việc Làm Kinh Doanh, Sale, Tài Chính, Bảo Hiểm - Hồ Chí Minh</t>
  </si>
  <si>
    <t>https://www.facebook.com/share/g/Z8bR118Nb38bexF3/</t>
  </si>
  <si>
    <t>8:17 06/11/2024</t>
  </si>
  <si>
    <t>VIỆC LÀM - TUYỂN DỤNG - NHÂN VIÊN KINH DOANH TP.HCM</t>
  </si>
  <si>
    <t>https://www.facebook.com/share/g/19ZSUxbmPj/</t>
  </si>
  <si>
    <t>8:42 11/11/2024</t>
  </si>
  <si>
    <t>https://www.facebook.com/share/g/187qrW2e6V/</t>
  </si>
  <si>
    <t>8:13 12/11/2024</t>
  </si>
  <si>
    <t>Tuyển dụng Nhân viên kinh doanh CSKH Telesale</t>
  </si>
  <si>
    <t>https://www.facebook.com/share/g/17Ex2piqSD/</t>
  </si>
  <si>
    <t>8:38 19/11/2024</t>
  </si>
  <si>
    <t>Tuyển Dụng Tìm Việc Nhân Viên Kinh Doanh Phát Triển Thị Trường</t>
  </si>
  <si>
    <t>https://www.facebook.com/share/g/1CwhEF9TXV/</t>
  </si>
  <si>
    <t>8:23 20/11/2024</t>
  </si>
  <si>
    <t>TUYỂN DỤNG VIỆC LÀM NHÂN VIÊN KINH DOANH - TELESALE</t>
  </si>
  <si>
    <t>https://www.facebook.com/share/g/1KmNFAoU3R/</t>
  </si>
  <si>
    <t>8:20 21/11/2024</t>
  </si>
  <si>
    <t>https://www.facebook.com/share/g/19R8Gngvja/</t>
  </si>
  <si>
    <t>8:20 22/11/2024</t>
  </si>
  <si>
    <t>9:05 27/11/2024</t>
  </si>
  <si>
    <t>Việc Làm Sale, Nhân viên kinh doanh phát triển thị trường toàn quốc</t>
  </si>
  <si>
    <t>https://www.facebook.com/share/g/15BcPWkSQq/</t>
  </si>
  <si>
    <t>10:46 28/11/2024</t>
  </si>
  <si>
    <t>TUYỂN DỤNG SALE - BÁN HÀNG - NHÂN VIÊN KINH DOANH - TELESALE ✅</t>
  </si>
  <si>
    <t>https://www.facebook.com/share/g/14rhs1Uonq/</t>
  </si>
  <si>
    <t>9:30 29/11/2024</t>
  </si>
  <si>
    <t>TUYỂN DỤNG NHÂN VIÊN KINH DOANH 2024</t>
  </si>
  <si>
    <t>https://www.facebook.com/share/g/1DPeVirReo/</t>
  </si>
  <si>
    <t>9:29 30/11/2024</t>
  </si>
  <si>
    <t>Tuyển Nhân Viên Kinh Doanh</t>
  </si>
  <si>
    <t>https://www.facebook.com/share/g/15cJXzwg2Z/</t>
  </si>
  <si>
    <t>8:51 02/12/2024</t>
  </si>
  <si>
    <t>Mẫu 7</t>
  </si>
  <si>
    <t>Việc làm - Nhân viên Kinh doanh</t>
  </si>
  <si>
    <t>https://www.facebook.com/share/g/19ikqmUFrz/</t>
  </si>
  <si>
    <t>8:46 03/12/2024</t>
  </si>
  <si>
    <t>Mẫu 6</t>
  </si>
  <si>
    <t>VIỆC LÀM Nhân viên kinh doanh/Sales/Leader Sales CHẤT LƯỢNG</t>
  </si>
  <si>
    <t>https://www.facebook.com/share/g/1EQtgVFQcQ/</t>
  </si>
  <si>
    <t>8:09 04/12/2024</t>
  </si>
  <si>
    <t>https://www.facebook.com/share/g/1Nnd7p7Su4/</t>
  </si>
  <si>
    <t>9:19 05/12/2024</t>
  </si>
  <si>
    <t>HR - TUYỂN DỤNG NHÂN SỰ</t>
  </si>
  <si>
    <t>https://www.facebook.com/share/g/14w1RBtuEP/</t>
  </si>
  <si>
    <t>9:29 06/12/2024</t>
  </si>
  <si>
    <t>Gỡ</t>
  </si>
  <si>
    <t>https://www.facebook.com/share/g/15uTnt1Udp/</t>
  </si>
  <si>
    <t>8:17 07/12/2024</t>
  </si>
  <si>
    <t>Tuyển Dụng Nhân Viên Kinh Doanh, Sales, Giám Sát, Marketing.</t>
  </si>
  <si>
    <t>https://www.facebook.com/share/g/1XU5RmxJxU/</t>
  </si>
  <si>
    <t>9:03 09/12/2024</t>
  </si>
  <si>
    <t>TUYỂN DỤNG NHÂN VIÊN VĂN PHÒNG HCNS, SALE, NVKD, CSKH, MARKETING...</t>
  </si>
  <si>
    <t>https://www.facebook.com/share/g/1AsZTGy4Eu/</t>
  </si>
  <si>
    <t>9:07 10/12/2024</t>
  </si>
  <si>
    <t>Hội Sale/ Nhân viên kinh doanh/ Tư vấn/ Bán hàng tìm việc</t>
  </si>
  <si>
    <t>https://www.facebook.com/groups/1681574225467582/</t>
  </si>
  <si>
    <t>9:02 11/12/2024</t>
  </si>
  <si>
    <t>Việc Làm Sales Telesales Nhân Viên Kinh Doanh</t>
  </si>
  <si>
    <t>https://www.facebook.com/share/g/15YmT1vCZM/</t>
  </si>
  <si>
    <t>9:28 12/12/2024</t>
  </si>
  <si>
    <t>TUYỂN DỤNG NHÂN VIÊN KINH DOANH ✅</t>
  </si>
  <si>
    <t>https://www.facebook.com/share/g/17xtYndYVj/</t>
  </si>
  <si>
    <t>9:16 13/12/2024</t>
  </si>
  <si>
    <t>TUYỂN DỤNG NHÂN VIÊN KINH DOANH ☑️</t>
  </si>
  <si>
    <t>https://www.facebook.com/groups/467726770078314/</t>
  </si>
  <si>
    <t>8:55 14/12/2024</t>
  </si>
  <si>
    <t>TUYỂN NHÂN VIÊN KINH DOANH - SALE ADMIN - BÁN HÀNG</t>
  </si>
  <si>
    <t>https://www.facebook.com/share/g/15V9GgCJd3/</t>
  </si>
  <si>
    <t>9:17 16/12/2024</t>
  </si>
  <si>
    <t>Tuyển Dụng Nhân Viên Kinh Doanh</t>
  </si>
  <si>
    <t>https://www.facebook.com/share/g/12Ggqs34fAW/</t>
  </si>
  <si>
    <t>9:51 17/12/2024</t>
  </si>
  <si>
    <t>https://www.facebook.com/share/g/1B7QuF4EdF/</t>
  </si>
  <si>
    <t>9:33 18/12/2024</t>
  </si>
  <si>
    <t>Tuyển Dụng Nhân Viên Kinh Doanh - Marketing - Sales</t>
  </si>
  <si>
    <t>https://www.facebook.com/share/g/196hhWbJE4/</t>
  </si>
  <si>
    <t>9:42 19/12/2024</t>
  </si>
  <si>
    <t>https://www.facebook.com/share/g/1K5HFXL91e/</t>
  </si>
  <si>
    <t>9:23 20/12/2024</t>
  </si>
  <si>
    <t>Tuyển dụng Telesale, Nhân viên kinh doanh, Tư vấn chốt đơn</t>
  </si>
  <si>
    <t>https://www.facebook.com/share/g/1DubuxaGXr/</t>
  </si>
  <si>
    <t>9:05 21/12/2024</t>
  </si>
  <si>
    <t>MẪU BÁO CÁO TUYỂN DỤNG TTS KD THEO THỜI GIAN
TỪ 19/8/2024 ĐẾN 04/01/2025</t>
  </si>
  <si>
    <t>Nguồn</t>
  </si>
  <si>
    <t>Số hồ sơ nhận được</t>
  </si>
  <si>
    <t>Số hồ sơ đạt yêu cầu</t>
  </si>
  <si>
    <t xml:space="preserve">Số lượng tham gia PV </t>
  </si>
  <si>
    <t xml:space="preserve">Số lượng đạt PV </t>
  </si>
  <si>
    <t>Số lượng nhận việc</t>
  </si>
  <si>
    <t>Số lượng làm chính thức</t>
  </si>
  <si>
    <t>Tuần 1: Từ 19/8 đến 24/8</t>
  </si>
  <si>
    <t>Tổng số</t>
  </si>
  <si>
    <t>Tuần 2: Từ 26/8 đến 31/8</t>
  </si>
  <si>
    <t>Tuần 3: Từ 02/9 đến 07/9</t>
  </si>
  <si>
    <t>Tuần 4: Từ 09/9 đến 14/9</t>
  </si>
  <si>
    <t>Tuần 5: Từ 16/9 đến 21/9</t>
  </si>
  <si>
    <t>Tuần 6: Từ 23/9 đến 28/9</t>
  </si>
  <si>
    <t>Tuần 7: Từ 30/9 đến 05/10</t>
  </si>
  <si>
    <t>Tuần 8: Từ 07/10 đến 12/10</t>
  </si>
  <si>
    <t>Tuần 9: Từ 14/10 đến 19/10</t>
  </si>
  <si>
    <t>Tuần 10: Từ 21/10 đến 26/10</t>
  </si>
  <si>
    <t>Tuần 11: Từ 28/10 đến 02/11</t>
  </si>
  <si>
    <t>Tuần 12: Từ 04/11 đến 09/11</t>
  </si>
  <si>
    <t>Tuần 13: Từ 11/11 đến 16/11</t>
  </si>
  <si>
    <t>Tuần 14: Từ 18/11 đến 23/11</t>
  </si>
  <si>
    <t>Tuần 15: Từ 25/11 đến 30/11</t>
  </si>
  <si>
    <t>Tuần 16: Từ 02/12 đến 07/12</t>
  </si>
  <si>
    <t>Tuần 17: Từ 09/12 đến 14/12</t>
  </si>
  <si>
    <t>Tuần 18: Từ 16/12 đến 21/12</t>
  </si>
  <si>
    <t>Tuần 19: Từ 23/12 đến 28/12</t>
  </si>
  <si>
    <t>Tuần 20: Từ 30/12 đến 04/01</t>
  </si>
  <si>
    <t>MẪU BÁO CÁO TUYỂN DỤNG TTS KD THEO THỜI GIAN
THÁNG 10/2024</t>
  </si>
  <si>
    <t>Tổng tháng</t>
  </si>
  <si>
    <t>MẪU BÁO CÁO TUYỂN DỤNG TTS KD THEO THỜI GIAN
THÁNG 8/2024</t>
  </si>
  <si>
    <t>MẪU BÁO CÁO TUYỂN DỤNG TTS KD THEO THỜI GIAN
THÁNG 9/2024</t>
  </si>
  <si>
    <t>MẪU BÁO CÁO TUYỂN DỤNG TTS THEO THỜI GIAN
THÁNG 11/2024</t>
  </si>
  <si>
    <t>Tiktok</t>
  </si>
  <si>
    <t>MẪU BÁO CÁO TUYỂN DỤNG TTS THEO THỜI GIAN
THÁNG 12/2024</t>
  </si>
  <si>
    <t>MẪU BÁO CÁO TUYỂN DỤNG CVKD THEO THỜI GIAN
THÁNG 12/2024</t>
  </si>
  <si>
    <t>MẪU BÁO CÁO TUYỂN DỤNG CVKD THEO THỜI GIAN
THÁNG 11/2024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</si>
</sst>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6.0"/>
      <color theme="1"/>
      <name val="Times New Roman"/>
    </font>
    <font/>
    <font>
      <sz val="12.0"/>
      <color theme="1"/>
      <name val="Times New Roman"/>
    </font>
    <font>
      <b/>
      <sz val="12.0"/>
      <color theme="0"/>
      <name val="Times New Roman"/>
    </font>
    <font>
      <b/>
      <sz val="12.0"/>
      <color rgb="FFFFFFFF"/>
      <name val="Times New Roman"/>
    </font>
    <font>
      <u/>
      <sz val="12.0"/>
      <color rgb="FF0000FF"/>
      <name val="Times New Roman"/>
    </font>
    <font>
      <strike/>
      <sz val="12.0"/>
      <color theme="1"/>
      <name val="Times New Roman"/>
    </font>
    <font>
      <strike/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8.0"/>
      <color theme="1"/>
      <name val="Times New Roman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B6D7A8"/>
      </left>
      <top style="thick">
        <color rgb="FFB6D7A8"/>
      </top>
      <bottom style="thick">
        <color rgb="FFB6D7A8"/>
      </bottom>
    </border>
    <border>
      <top style="thick">
        <color rgb="FFB6D7A8"/>
      </top>
      <bottom style="thick">
        <color rgb="FFB6D7A8"/>
      </bottom>
    </border>
    <border>
      <right style="thick">
        <color rgb="FFB6D7A8"/>
      </right>
      <top style="thick">
        <color rgb="FFB6D7A8"/>
      </top>
      <bottom style="thick">
        <color rgb="FFB6D7A8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wrapText="1"/>
    </xf>
    <xf borderId="5" fillId="0" fontId="5" numFmtId="0" xfId="0" applyAlignment="1" applyBorder="1" applyFont="1">
      <alignment horizontal="left" shrinkToFit="0" vertical="center" wrapText="1"/>
    </xf>
    <xf borderId="5" fillId="0" fontId="11" numFmtId="0" xfId="0" applyAlignment="1" applyBorder="1" applyFont="1">
      <alignment horizontal="left" shrinkToFit="0" vertical="center" wrapText="1"/>
    </xf>
    <xf borderId="6" fillId="2" fontId="5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0" fontId="5" numFmtId="0" xfId="0" applyAlignment="1" applyBorder="1" applyFont="1">
      <alignment horizontal="left" shrinkToFit="0" vertical="center" wrapText="1"/>
    </xf>
    <xf borderId="9" fillId="0" fontId="12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10" fillId="4" fontId="7" numFmtId="0" xfId="0" applyAlignment="1" applyBorder="1" applyFill="1" applyFont="1">
      <alignment horizontal="center" shrinkToFit="0" vertical="center" wrapText="1"/>
    </xf>
    <xf borderId="10" fillId="4" fontId="7" numFmtId="3" xfId="0" applyAlignment="1" applyBorder="1" applyFont="1" applyNumberFormat="1">
      <alignment horizontal="center" shrinkToFit="0" vertical="center" wrapText="1"/>
    </xf>
    <xf borderId="11" fillId="5" fontId="16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0" fillId="0" fontId="5" numFmtId="0" xfId="0" applyAlignment="1" applyBorder="1" applyFont="1">
      <alignment vertical="center"/>
    </xf>
    <xf borderId="10" fillId="0" fontId="5" numFmtId="0" xfId="0" applyAlignment="1" applyBorder="1" applyFont="1">
      <alignment horizontal="right" vertical="center"/>
    </xf>
    <xf borderId="10" fillId="0" fontId="17" numFmtId="0" xfId="0" applyAlignment="1" applyBorder="1" applyFont="1">
      <alignment vertical="center"/>
    </xf>
    <xf borderId="10" fillId="0" fontId="16" numFmtId="0" xfId="0" applyAlignment="1" applyBorder="1" applyFont="1">
      <alignment horizontal="right" vertical="center"/>
    </xf>
    <xf borderId="11" fillId="5" fontId="16" numFmtId="164" xfId="0" applyAlignment="1" applyBorder="1" applyFont="1" applyNumberFormat="1">
      <alignment horizontal="center" vertical="center"/>
    </xf>
    <xf borderId="1" fillId="6" fontId="18" numFmtId="0" xfId="0" applyAlignment="1" applyBorder="1" applyFill="1" applyFont="1">
      <alignment vertical="center"/>
    </xf>
    <xf borderId="1" fillId="6" fontId="18" numFmtId="0" xfId="0" applyAlignment="1" applyBorder="1" applyFont="1">
      <alignment horizontal="right" vertical="center"/>
    </xf>
    <xf borderId="0" fillId="0" fontId="1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600075</xdr:rowOff>
    </xdr:from>
    <xdr:ext cx="19507200" cy="476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uyendung.topcv.vn/app/cvs-management/cvs/48865383?share-token=eyJ0b2tlbl9uYW1lIjoiZW1wbG95ZXJfY3ZfbWFuYWdlbWVudF90b2tlbiIsImV4cGlyZWRfYXQiOiIyMDI2LTA0LTAzIDEwOjU1OjUyIn0.eyJlbXBsb3llcl9pZCI6Nzg4Njc2LCJjdl9yZWNvcmRfaWQiOjQ4ODY1MzgzLCJyb2xlX25hbWUiOiJhbm9ueW1vdXMifQ.c5ce262ed5b73aad7b1c66128fb50de4" TargetMode="External"/><Relationship Id="rId2" Type="http://schemas.openxmlformats.org/officeDocument/2006/relationships/hyperlink" Target="https://tuyendung.topcv.vn/app/cvs-management/cvs/48880647?share-token=eyJ0b2tlbl9uYW1lIjoiZW1wbG95ZXJfY3ZfbWFuYWdlbWVudF90b2tlbiIsImV4cGlyZWRfYXQiOiIyMDI2LTA0LTAzIDE1OjE2OjQ5In0.eyJlbXBsb3llcl9pZCI6Nzg4Njc2LCJjdl9yZWNvcmRfaWQiOjQ4ODgwNjQ3LCJyb2xlX25hbWUiOiJhbm9ueW1vdXMifQ.eb0b43100d64d9a4f04099fa3f211bff" TargetMode="External"/><Relationship Id="rId3" Type="http://schemas.openxmlformats.org/officeDocument/2006/relationships/hyperlink" Target="https://tuyendung.topcv.vn/app/cvs-management/cvs/48905737?share-token=eyJ0b2tlbl9uYW1lIjoiZW1wbG95ZXJfY3ZfbWFuYWdlbWVudF90b2tlbiIsImV4cGlyZWRfYXQiOiIyMDI2LTA0LTA0IDAzOjE3OjU2In0.eyJlbXBsb3llcl9pZCI6Nzg4Njc2LCJjdl9yZWNvcmRfaWQiOjQ4OTA1NzM3LCJyb2xlX25hbWUiOiJhbm9ueW1vdXMifQ.985cb8c3e5e8a96973684a5137bfc617" TargetMode="External"/><Relationship Id="rId4" Type="http://schemas.openxmlformats.org/officeDocument/2006/relationships/hyperlink" Target="https://tuyendung.topcv.vn/app/cvs-management/cvs/48936562?share-token=eyJ0b2tlbl9uYW1lIjoiZW1wbG95ZXJfY3ZfbWFuYWdlbWVudF90b2tlbiIsImV4cGlyZWRfYXQiOiIyMDI2LTA0LTA0IDE2OjMzOjUwIn0.eyJlbXBsb3llcl9pZCI6Nzg4Njc2LCJjdl9yZWNvcmRfaWQiOjQ4OTM2NTYyLCJyb2xlX25hbWUiOiJhbm9ueW1vdXMifQ.34695151a77f1e712d0069cc4b27793b" TargetMode="External"/><Relationship Id="rId5" Type="http://schemas.openxmlformats.org/officeDocument/2006/relationships/hyperlink" Target="https://tuyendung.topcv.vn/app/cvs-management/cvs/48948554?share-token=eyJ0b2tlbl9uYW1lIjoiZW1wbG95ZXJfY3ZfbWFuYWdlbWVudF90b2tlbiIsImV4cGlyZWRfYXQiOiIyMDI2LTA0LTA0IDIxOjQzOjQ1In0.eyJlbXBsb3llcl9pZCI6Nzg4Njc2LCJjdl9yZWNvcmRfaWQiOjQ4OTQ4NTU0LCJyb2xlX25hbWUiOiJhbm9ueW1vdXMifQ.1d60d8e997151c8a7c9e291a3cbc4205" TargetMode="External"/><Relationship Id="rId6" Type="http://schemas.openxmlformats.org/officeDocument/2006/relationships/hyperlink" Target="https://tuyendung.topcv.vn/app/cvs-management/cvs/48960110?share-token=eyJ0b2tlbl9uYW1lIjoiZW1wbG95ZXJfY3ZfbWFuYWdlbWVudF90b2tlbiIsImV4cGlyZWRfYXQiOiIyMDI2LTA0LTA1IDA5OjE0OjQwIn0.eyJlbXBsb3llcl9pZCI6Nzg4Njc2LCJjdl9yZWNvcmRfaWQiOjQ4OTYwMTEwLCJyb2xlX25hbWUiOiJhbm9ueW1vdXMifQ.b8be9b947fcfeecf22136ae96bc0d49f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hare/g/19gs2QnJdP/" TargetMode="External"/><Relationship Id="rId84" Type="http://schemas.openxmlformats.org/officeDocument/2006/relationships/hyperlink" Target="https://www.facebook.com/share/g/17xtYndYVj/" TargetMode="External"/><Relationship Id="rId83" Type="http://schemas.openxmlformats.org/officeDocument/2006/relationships/hyperlink" Target="https://www.facebook.com/share/g/15YmT1vCZM/" TargetMode="External"/><Relationship Id="rId42" Type="http://schemas.openxmlformats.org/officeDocument/2006/relationships/hyperlink" Target="https://www.facebook.com/share/g/1UMP1YS9H3/" TargetMode="External"/><Relationship Id="rId86" Type="http://schemas.openxmlformats.org/officeDocument/2006/relationships/hyperlink" Target="https://www.facebook.com/share/g/15V9GgCJd3/" TargetMode="External"/><Relationship Id="rId41" Type="http://schemas.openxmlformats.org/officeDocument/2006/relationships/hyperlink" Target="https://www.facebook.com/share/g/19fKHCqJFV/" TargetMode="External"/><Relationship Id="rId85" Type="http://schemas.openxmlformats.org/officeDocument/2006/relationships/hyperlink" Target="https://www.facebook.com/groups/467726770078314/" TargetMode="External"/><Relationship Id="rId44" Type="http://schemas.openxmlformats.org/officeDocument/2006/relationships/hyperlink" Target="https://www.facebook.com/share/g/1FmsbSLjHA/" TargetMode="External"/><Relationship Id="rId88" Type="http://schemas.openxmlformats.org/officeDocument/2006/relationships/hyperlink" Target="https://www.facebook.com/share/g/1B7QuF4EdF/" TargetMode="External"/><Relationship Id="rId43" Type="http://schemas.openxmlformats.org/officeDocument/2006/relationships/hyperlink" Target="https://www.facebook.com/share/g/1ETDPs6sut/" TargetMode="External"/><Relationship Id="rId87" Type="http://schemas.openxmlformats.org/officeDocument/2006/relationships/hyperlink" Target="https://www.facebook.com/share/g/12Ggqs34fAW/" TargetMode="External"/><Relationship Id="rId46" Type="http://schemas.openxmlformats.org/officeDocument/2006/relationships/hyperlink" Target="https://www.facebook.com/share/g/15bAsPtwfE/" TargetMode="External"/><Relationship Id="rId45" Type="http://schemas.openxmlformats.org/officeDocument/2006/relationships/hyperlink" Target="https://www.facebook.com/share/g/19fuy64P8f/" TargetMode="External"/><Relationship Id="rId89" Type="http://schemas.openxmlformats.org/officeDocument/2006/relationships/hyperlink" Target="https://www.facebook.com/share/g/196hhWbJE4/" TargetMode="External"/><Relationship Id="rId80" Type="http://schemas.openxmlformats.org/officeDocument/2006/relationships/hyperlink" Target="https://www.facebook.com/share/g/1XU5RmxJxU/" TargetMode="External"/><Relationship Id="rId82" Type="http://schemas.openxmlformats.org/officeDocument/2006/relationships/hyperlink" Target="https://www.facebook.com/groups/1681574225467582/" TargetMode="External"/><Relationship Id="rId81" Type="http://schemas.openxmlformats.org/officeDocument/2006/relationships/hyperlink" Target="https://www.facebook.com/share/g/1AsZTGy4Eu/" TargetMode="External"/><Relationship Id="rId1" Type="http://schemas.openxmlformats.org/officeDocument/2006/relationships/hyperlink" Target="https://www.facebook.com/share/g/qLNDsM4NbLGidpa3/" TargetMode="External"/><Relationship Id="rId2" Type="http://schemas.openxmlformats.org/officeDocument/2006/relationships/hyperlink" Target="https://www.topcv.vn/viec-lam/thuc-tap-sinh/1446013.html" TargetMode="External"/><Relationship Id="rId3" Type="http://schemas.openxmlformats.org/officeDocument/2006/relationships/hyperlink" Target="https://www.facebook.com/share/g/S1fYS7MYry6Bz6b7/" TargetMode="External"/><Relationship Id="rId4" Type="http://schemas.openxmlformats.org/officeDocument/2006/relationships/hyperlink" Target="https://www.facebook.com/share/g/vQUs3B2EXsKKUoKs/" TargetMode="External"/><Relationship Id="rId9" Type="http://schemas.openxmlformats.org/officeDocument/2006/relationships/hyperlink" Target="https://www.facebook.com/share/g/pX9uzZbUe5SiNch2/" TargetMode="External"/><Relationship Id="rId48" Type="http://schemas.openxmlformats.org/officeDocument/2006/relationships/hyperlink" Target="https://www.facebook.com/share/g/1JnZaHuETr/" TargetMode="External"/><Relationship Id="rId47" Type="http://schemas.openxmlformats.org/officeDocument/2006/relationships/hyperlink" Target="https://www.facebook.com/share/g/19UpcBXtbJ/" TargetMode="External"/><Relationship Id="rId49" Type="http://schemas.openxmlformats.org/officeDocument/2006/relationships/hyperlink" Target="https://www.facebook.com/share/g/15uBE2AREY/" TargetMode="External"/><Relationship Id="rId5" Type="http://schemas.openxmlformats.org/officeDocument/2006/relationships/hyperlink" Target="https://www.facebook.com/share/g/pX9uzZbUe5SiNch2/" TargetMode="External"/><Relationship Id="rId6" Type="http://schemas.openxmlformats.org/officeDocument/2006/relationships/hyperlink" Target="https://www.facebook.com/share/g/QjX2MsgodqX66VWk/" TargetMode="External"/><Relationship Id="rId7" Type="http://schemas.openxmlformats.org/officeDocument/2006/relationships/hyperlink" Target="https://www.facebook.com/share/g/qLNDsM4NbLGidpa3/" TargetMode="External"/><Relationship Id="rId8" Type="http://schemas.openxmlformats.org/officeDocument/2006/relationships/hyperlink" Target="https://www.facebook.com/share/g/vQUs3B2EXsKKUoKs/" TargetMode="External"/><Relationship Id="rId73" Type="http://schemas.openxmlformats.org/officeDocument/2006/relationships/hyperlink" Target="https://www.facebook.com/share/g/1DPeVirReo/" TargetMode="External"/><Relationship Id="rId72" Type="http://schemas.openxmlformats.org/officeDocument/2006/relationships/hyperlink" Target="https://www.facebook.com/share/g/14rhs1Uonq/" TargetMode="External"/><Relationship Id="rId31" Type="http://schemas.openxmlformats.org/officeDocument/2006/relationships/hyperlink" Target="https://www.facebook.com/share/g/euvbCh7TZAx5b5qm/" TargetMode="External"/><Relationship Id="rId75" Type="http://schemas.openxmlformats.org/officeDocument/2006/relationships/hyperlink" Target="https://www.facebook.com/share/g/19ikqmUFrz/" TargetMode="External"/><Relationship Id="rId30" Type="http://schemas.openxmlformats.org/officeDocument/2006/relationships/hyperlink" Target="https://www.facebook.com/share/g/4tfHNkWwdPmHYNif/" TargetMode="External"/><Relationship Id="rId74" Type="http://schemas.openxmlformats.org/officeDocument/2006/relationships/hyperlink" Target="https://www.facebook.com/share/g/15cJXzwg2Z/" TargetMode="External"/><Relationship Id="rId33" Type="http://schemas.openxmlformats.org/officeDocument/2006/relationships/hyperlink" Target="https://www.facebook.com/share/g/1DSD6GyUiP/" TargetMode="External"/><Relationship Id="rId77" Type="http://schemas.openxmlformats.org/officeDocument/2006/relationships/hyperlink" Target="https://www.facebook.com/share/g/1Nnd7p7Su4/" TargetMode="External"/><Relationship Id="rId32" Type="http://schemas.openxmlformats.org/officeDocument/2006/relationships/hyperlink" Target="https://www.facebook.com/share/g/15AsTEiWNt/" TargetMode="External"/><Relationship Id="rId76" Type="http://schemas.openxmlformats.org/officeDocument/2006/relationships/hyperlink" Target="https://www.facebook.com/share/g/1EQtgVFQcQ/" TargetMode="External"/><Relationship Id="rId35" Type="http://schemas.openxmlformats.org/officeDocument/2006/relationships/hyperlink" Target="https://www.facebook.com/share/g/18MPQTfLpp/" TargetMode="External"/><Relationship Id="rId79" Type="http://schemas.openxmlformats.org/officeDocument/2006/relationships/hyperlink" Target="https://www.facebook.com/share/g/15uTnt1Udp/" TargetMode="External"/><Relationship Id="rId34" Type="http://schemas.openxmlformats.org/officeDocument/2006/relationships/hyperlink" Target="https://www.facebook.com/share/g/15fMKje3kG/" TargetMode="External"/><Relationship Id="rId78" Type="http://schemas.openxmlformats.org/officeDocument/2006/relationships/hyperlink" Target="https://www.facebook.com/share/g/14w1RBtuEP/" TargetMode="External"/><Relationship Id="rId71" Type="http://schemas.openxmlformats.org/officeDocument/2006/relationships/hyperlink" Target="https://www.facebook.com/share/g/15BcPWkSQq/" TargetMode="External"/><Relationship Id="rId70" Type="http://schemas.openxmlformats.org/officeDocument/2006/relationships/hyperlink" Target="https://www.facebook.com/share/g/4HwkwTswZjcx5h4G/" TargetMode="External"/><Relationship Id="rId37" Type="http://schemas.openxmlformats.org/officeDocument/2006/relationships/hyperlink" Target="https://www.facebook.com/share/g/1WcVrwExLM/" TargetMode="External"/><Relationship Id="rId36" Type="http://schemas.openxmlformats.org/officeDocument/2006/relationships/hyperlink" Target="https://www.facebook.com/share/g/1Df3GkvsZv/" TargetMode="External"/><Relationship Id="rId39" Type="http://schemas.openxmlformats.org/officeDocument/2006/relationships/hyperlink" Target="https://www.facebook.com/share/g/17y5adeyNC/" TargetMode="External"/><Relationship Id="rId38" Type="http://schemas.openxmlformats.org/officeDocument/2006/relationships/hyperlink" Target="https://www.facebook.com/share/g/17d5VaMiG9/" TargetMode="External"/><Relationship Id="rId62" Type="http://schemas.openxmlformats.org/officeDocument/2006/relationships/hyperlink" Target="https://www.facebook.com/share/g/yL48ptFV7SyW3uwd/" TargetMode="External"/><Relationship Id="rId61" Type="http://schemas.openxmlformats.org/officeDocument/2006/relationships/hyperlink" Target="https://www.facebook.com/share/g/4HwkwTswZjcx5h4G/" TargetMode="External"/><Relationship Id="rId20" Type="http://schemas.openxmlformats.org/officeDocument/2006/relationships/hyperlink" Target="https://www.facebook.com/share/g/HKFpGScsRBQqxjUN/" TargetMode="External"/><Relationship Id="rId64" Type="http://schemas.openxmlformats.org/officeDocument/2006/relationships/hyperlink" Target="https://www.facebook.com/share/g/19ZSUxbmPj/" TargetMode="External"/><Relationship Id="rId63" Type="http://schemas.openxmlformats.org/officeDocument/2006/relationships/hyperlink" Target="https://www.facebook.com/share/g/Z8bR118Nb38bexF3/" TargetMode="External"/><Relationship Id="rId22" Type="http://schemas.openxmlformats.org/officeDocument/2006/relationships/hyperlink" Target="https://www.facebook.com/share/g/euvbCh7TZAx5b5qm/" TargetMode="External"/><Relationship Id="rId66" Type="http://schemas.openxmlformats.org/officeDocument/2006/relationships/hyperlink" Target="https://www.facebook.com/share/g/17Ex2piqSD/" TargetMode="External"/><Relationship Id="rId21" Type="http://schemas.openxmlformats.org/officeDocument/2006/relationships/hyperlink" Target="https://www.facebook.com/share/g/H7eMJV4iuxZaMShi/" TargetMode="External"/><Relationship Id="rId65" Type="http://schemas.openxmlformats.org/officeDocument/2006/relationships/hyperlink" Target="https://www.facebook.com/share/g/187qrW2e6V/" TargetMode="External"/><Relationship Id="rId24" Type="http://schemas.openxmlformats.org/officeDocument/2006/relationships/hyperlink" Target="https://www.facebook.com/share/g/4rjXQXqjFzAhqkVJ/" TargetMode="External"/><Relationship Id="rId68" Type="http://schemas.openxmlformats.org/officeDocument/2006/relationships/hyperlink" Target="https://www.facebook.com/share/g/1KmNFAoU3R/" TargetMode="External"/><Relationship Id="rId23" Type="http://schemas.openxmlformats.org/officeDocument/2006/relationships/hyperlink" Target="https://www.facebook.com/share/g/2bRQmJLZootrh72L/" TargetMode="External"/><Relationship Id="rId67" Type="http://schemas.openxmlformats.org/officeDocument/2006/relationships/hyperlink" Target="https://www.facebook.com/share/g/1CwhEF9TXV/" TargetMode="External"/><Relationship Id="rId60" Type="http://schemas.openxmlformats.org/officeDocument/2006/relationships/hyperlink" Target="https://www.facebook.com/share/g/jgkV8y4EBUweWJqw/" TargetMode="External"/><Relationship Id="rId26" Type="http://schemas.openxmlformats.org/officeDocument/2006/relationships/hyperlink" Target="https://www.facebook.com/share/g/Khj6R8mt66tMcC1j/" TargetMode="External"/><Relationship Id="rId25" Type="http://schemas.openxmlformats.org/officeDocument/2006/relationships/hyperlink" Target="https://www.facebook.com/share/g/8XMKUV26bTNcscFJ/" TargetMode="External"/><Relationship Id="rId69" Type="http://schemas.openxmlformats.org/officeDocument/2006/relationships/hyperlink" Target="https://www.facebook.com/share/g/19R8Gngvja/" TargetMode="External"/><Relationship Id="rId28" Type="http://schemas.openxmlformats.org/officeDocument/2006/relationships/hyperlink" Target="https://www.facebook.com/share/g/HKFpGScsRBQqxjUN/" TargetMode="External"/><Relationship Id="rId27" Type="http://schemas.openxmlformats.org/officeDocument/2006/relationships/hyperlink" Target="https://www.facebook.com/share/g/QHq7Stpst9YS5v6r/" TargetMode="External"/><Relationship Id="rId29" Type="http://schemas.openxmlformats.org/officeDocument/2006/relationships/hyperlink" Target="https://www.facebook.com/share/g/GdctKfBhZHuDUbWe/" TargetMode="External"/><Relationship Id="rId51" Type="http://schemas.openxmlformats.org/officeDocument/2006/relationships/hyperlink" Target="https://www.facebook.com/share/g/15WVdQ9gEm/" TargetMode="External"/><Relationship Id="rId50" Type="http://schemas.openxmlformats.org/officeDocument/2006/relationships/hyperlink" Target="https://www.facebook.com/share/g/14Tm5Fn7Zy/" TargetMode="External"/><Relationship Id="rId53" Type="http://schemas.openxmlformats.org/officeDocument/2006/relationships/hyperlink" Target="https://www.facebook.com/share/g/15ixaR8VtH/" TargetMode="External"/><Relationship Id="rId52" Type="http://schemas.openxmlformats.org/officeDocument/2006/relationships/hyperlink" Target="https://www.facebook.com/share/g/1BGZ9BgxRG/" TargetMode="External"/><Relationship Id="rId11" Type="http://schemas.openxmlformats.org/officeDocument/2006/relationships/hyperlink" Target="https://www.facebook.com/share/g/qLNDsM4NbLGidpa3/" TargetMode="External"/><Relationship Id="rId55" Type="http://schemas.openxmlformats.org/officeDocument/2006/relationships/hyperlink" Target="https://www.facebook.com/share/g/1DpYcY5BtD/" TargetMode="External"/><Relationship Id="rId10" Type="http://schemas.openxmlformats.org/officeDocument/2006/relationships/hyperlink" Target="https://www.facebook.com/share/g/3b1wCrffDnhxWoPP/" TargetMode="External"/><Relationship Id="rId54" Type="http://schemas.openxmlformats.org/officeDocument/2006/relationships/hyperlink" Target="https://www.facebook.com/share/g/14ZPpXEdrQ/" TargetMode="External"/><Relationship Id="rId13" Type="http://schemas.openxmlformats.org/officeDocument/2006/relationships/hyperlink" Target="https://www.facebook.com/share/g/HKFpGScsRBQqxjUN/" TargetMode="External"/><Relationship Id="rId57" Type="http://schemas.openxmlformats.org/officeDocument/2006/relationships/hyperlink" Target="https://www.facebook.com/groups/408813058688578/" TargetMode="External"/><Relationship Id="rId12" Type="http://schemas.openxmlformats.org/officeDocument/2006/relationships/hyperlink" Target="https://www.facebook.com/share/g/QjX2MsgodqX66VWk/" TargetMode="External"/><Relationship Id="rId56" Type="http://schemas.openxmlformats.org/officeDocument/2006/relationships/hyperlink" Target="https://www.facebook.com/share/g/15W88fAnTh/" TargetMode="External"/><Relationship Id="rId91" Type="http://schemas.openxmlformats.org/officeDocument/2006/relationships/hyperlink" Target="https://www.facebook.com/share/g/1DubuxaGXr/" TargetMode="External"/><Relationship Id="rId90" Type="http://schemas.openxmlformats.org/officeDocument/2006/relationships/hyperlink" Target="https://www.facebook.com/share/g/1K5HFXL91e/" TargetMode="External"/><Relationship Id="rId92" Type="http://schemas.openxmlformats.org/officeDocument/2006/relationships/drawing" Target="../drawings/drawing2.xml"/><Relationship Id="rId15" Type="http://schemas.openxmlformats.org/officeDocument/2006/relationships/hyperlink" Target="https://www.facebook.com/share/g/HKFpGScsRBQqxjUN/" TargetMode="External"/><Relationship Id="rId59" Type="http://schemas.openxmlformats.org/officeDocument/2006/relationships/hyperlink" Target="https://www.facebook.com/share/g/EHVZ5Uvx4HDHqfMo/" TargetMode="External"/><Relationship Id="rId14" Type="http://schemas.openxmlformats.org/officeDocument/2006/relationships/hyperlink" Target="https://www.facebook.com/share/g/vQUs3B2EXsKKUoKs/" TargetMode="External"/><Relationship Id="rId58" Type="http://schemas.openxmlformats.org/officeDocument/2006/relationships/hyperlink" Target="https://www.facebook.com/share/g/1PNGLjB5Nu/" TargetMode="External"/><Relationship Id="rId17" Type="http://schemas.openxmlformats.org/officeDocument/2006/relationships/hyperlink" Target="https://www.facebook.com/share/g/R1DLwHMF9WbPLhuy/" TargetMode="External"/><Relationship Id="rId16" Type="http://schemas.openxmlformats.org/officeDocument/2006/relationships/hyperlink" Target="https://www.facebook.com/share/g/7mn7hXHwLk67KwGr/" TargetMode="External"/><Relationship Id="rId19" Type="http://schemas.openxmlformats.org/officeDocument/2006/relationships/hyperlink" Target="https://www.facebook.com/share/g/unqzbpGwif9bSheK/" TargetMode="External"/><Relationship Id="rId18" Type="http://schemas.openxmlformats.org/officeDocument/2006/relationships/hyperlink" Target="https://www.facebook.com/share/g/2bRQmJLZootrh72L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22.25"/>
    <col customWidth="1" min="3" max="3" width="16.63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3" t="s">
        <v>6</v>
      </c>
      <c r="C2" s="3" t="s">
        <v>7</v>
      </c>
      <c r="D2" s="4"/>
      <c r="E2" s="4"/>
      <c r="F2" s="4"/>
    </row>
    <row r="3">
      <c r="A3" s="1">
        <v>2.0</v>
      </c>
      <c r="B3" s="3" t="s">
        <v>8</v>
      </c>
      <c r="C3" s="3" t="s">
        <v>7</v>
      </c>
      <c r="D3" s="4"/>
      <c r="E3" s="4"/>
      <c r="F3" s="4"/>
    </row>
    <row r="4">
      <c r="A4" s="1">
        <v>3.0</v>
      </c>
      <c r="B4" s="3" t="s">
        <v>9</v>
      </c>
      <c r="C4" s="3" t="s">
        <v>7</v>
      </c>
      <c r="D4" s="4"/>
      <c r="E4" s="4"/>
      <c r="F4" s="4"/>
    </row>
    <row r="5">
      <c r="A5" s="1">
        <v>4.0</v>
      </c>
      <c r="B5" s="3" t="s">
        <v>10</v>
      </c>
      <c r="C5" s="3" t="s">
        <v>7</v>
      </c>
      <c r="D5" s="3" t="s">
        <v>11</v>
      </c>
      <c r="E5" s="3" t="s">
        <v>12</v>
      </c>
      <c r="F5" s="5" t="s">
        <v>13</v>
      </c>
    </row>
    <row r="6">
      <c r="A6" s="1">
        <v>5.0</v>
      </c>
      <c r="B6" s="3" t="s">
        <v>14</v>
      </c>
      <c r="C6" s="3" t="s">
        <v>7</v>
      </c>
      <c r="D6" s="4"/>
      <c r="E6" s="4"/>
      <c r="F6" s="4"/>
    </row>
    <row r="7">
      <c r="A7" s="1">
        <v>6.0</v>
      </c>
      <c r="B7" s="3" t="s">
        <v>15</v>
      </c>
      <c r="C7" s="3" t="s">
        <v>7</v>
      </c>
      <c r="D7" s="4"/>
      <c r="E7" s="4"/>
      <c r="F7" s="4"/>
    </row>
    <row r="8">
      <c r="A8" s="1">
        <v>7.0</v>
      </c>
      <c r="B8" s="3" t="s">
        <v>16</v>
      </c>
      <c r="C8" s="3" t="s">
        <v>7</v>
      </c>
      <c r="D8" s="3" t="s">
        <v>11</v>
      </c>
      <c r="E8" s="3" t="s">
        <v>12</v>
      </c>
      <c r="F8" s="5" t="s">
        <v>13</v>
      </c>
    </row>
    <row r="9">
      <c r="A9" s="1">
        <v>8.0</v>
      </c>
      <c r="B9" s="3" t="s">
        <v>17</v>
      </c>
      <c r="C9" s="3" t="s">
        <v>7</v>
      </c>
      <c r="D9" s="3" t="s">
        <v>11</v>
      </c>
      <c r="E9" s="3" t="s">
        <v>12</v>
      </c>
      <c r="F9" s="5" t="s">
        <v>13</v>
      </c>
    </row>
    <row r="10">
      <c r="A10" s="1">
        <v>9.0</v>
      </c>
      <c r="B10" s="3" t="s">
        <v>18</v>
      </c>
      <c r="C10" s="3" t="s">
        <v>7</v>
      </c>
      <c r="D10" s="4"/>
      <c r="E10" s="4"/>
      <c r="F10" s="4"/>
    </row>
    <row r="11">
      <c r="A11" s="1">
        <v>10.0</v>
      </c>
      <c r="B11" s="3" t="s">
        <v>19</v>
      </c>
      <c r="C11" s="3" t="s">
        <v>7</v>
      </c>
      <c r="D11" s="4"/>
      <c r="E11" s="4"/>
      <c r="F11" s="4"/>
    </row>
    <row r="12">
      <c r="A12" s="1">
        <v>11.0</v>
      </c>
      <c r="B12" s="3" t="s">
        <v>20</v>
      </c>
      <c r="C12" s="3" t="s">
        <v>7</v>
      </c>
      <c r="D12" s="4"/>
      <c r="E12" s="4"/>
      <c r="F12" s="4"/>
    </row>
    <row r="13">
      <c r="A13" s="1">
        <v>12.0</v>
      </c>
      <c r="B13" s="3" t="s">
        <v>21</v>
      </c>
      <c r="C13" s="3" t="s">
        <v>7</v>
      </c>
      <c r="D13" s="3" t="s">
        <v>11</v>
      </c>
      <c r="E13" s="3" t="s">
        <v>22</v>
      </c>
      <c r="F13" s="5" t="s">
        <v>13</v>
      </c>
    </row>
    <row r="14">
      <c r="A14" s="1">
        <v>13.0</v>
      </c>
      <c r="B14" s="3" t="s">
        <v>23</v>
      </c>
      <c r="C14" s="3" t="s">
        <v>7</v>
      </c>
      <c r="D14" s="3" t="s">
        <v>11</v>
      </c>
      <c r="E14" s="3" t="s">
        <v>12</v>
      </c>
      <c r="F14" s="5" t="s">
        <v>13</v>
      </c>
    </row>
    <row r="15">
      <c r="A15" s="1">
        <v>14.0</v>
      </c>
      <c r="B15" s="3" t="s">
        <v>24</v>
      </c>
      <c r="C15" s="3" t="s">
        <v>7</v>
      </c>
      <c r="D15" s="3" t="s">
        <v>11</v>
      </c>
      <c r="E15" s="3" t="s">
        <v>12</v>
      </c>
      <c r="F15" s="5" t="s">
        <v>13</v>
      </c>
    </row>
    <row r="16">
      <c r="A16" s="1">
        <v>15.0</v>
      </c>
      <c r="B16" s="3" t="s">
        <v>25</v>
      </c>
      <c r="C16" s="3" t="s">
        <v>7</v>
      </c>
      <c r="D16" s="4"/>
      <c r="E16" s="4"/>
      <c r="F16" s="4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ataValidations>
    <dataValidation type="list" allowBlank="1" showErrorMessage="1" sqref="D2:D16">
      <formula1>"Đạt,Chưa đạt"</formula1>
    </dataValidation>
    <dataValidation type="list" allowBlank="1" showErrorMessage="1" sqref="E2:E16">
      <formula1>"Đã có KN,Chưa có "</formula1>
    </dataValidation>
  </dataValidations>
  <hyperlinks>
    <hyperlink r:id="rId1" ref="F5"/>
    <hyperlink r:id="rId2" ref="F8"/>
    <hyperlink r:id="rId3" ref="F9"/>
    <hyperlink r:id="rId4" ref="F13"/>
    <hyperlink r:id="rId5" ref="F14"/>
    <hyperlink r:id="rId6" ref="F15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7.25"/>
    <col customWidth="1" min="3" max="3" width="26.5"/>
    <col customWidth="1" min="4" max="4" width="27.13"/>
    <col customWidth="1" min="5" max="6" width="16.38"/>
    <col customWidth="1" min="7" max="7" width="25.13"/>
  </cols>
  <sheetData>
    <row r="1" ht="36.0" customHeight="1">
      <c r="A1" s="6" t="s">
        <v>26</v>
      </c>
      <c r="B1" s="7"/>
      <c r="C1" s="7"/>
      <c r="D1" s="7"/>
      <c r="E1" s="7"/>
      <c r="F1" s="7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30.0" customHeight="1">
      <c r="A2" s="10" t="s">
        <v>0</v>
      </c>
      <c r="B2" s="10" t="s">
        <v>27</v>
      </c>
      <c r="C2" s="10" t="s">
        <v>28</v>
      </c>
      <c r="D2" s="11" t="s">
        <v>29</v>
      </c>
      <c r="E2" s="10" t="s">
        <v>30</v>
      </c>
      <c r="F2" s="11" t="s">
        <v>31</v>
      </c>
      <c r="G2" s="12" t="s">
        <v>32</v>
      </c>
      <c r="H2" s="9" t="s">
        <v>33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3">
        <v>1.0</v>
      </c>
      <c r="B3" s="13" t="s">
        <v>34</v>
      </c>
      <c r="C3" s="13" t="s">
        <v>35</v>
      </c>
      <c r="D3" s="14" t="s">
        <v>36</v>
      </c>
      <c r="E3" s="13" t="s">
        <v>37</v>
      </c>
      <c r="F3" s="13"/>
      <c r="G3" s="13" t="s">
        <v>38</v>
      </c>
      <c r="H3" s="9" t="s">
        <v>39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3">
        <v>2.0</v>
      </c>
      <c r="B4" s="13" t="s">
        <v>40</v>
      </c>
      <c r="C4" s="13"/>
      <c r="D4" s="14" t="s">
        <v>41</v>
      </c>
      <c r="E4" s="13" t="s">
        <v>42</v>
      </c>
      <c r="F4" s="13" t="s">
        <v>43</v>
      </c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3">
        <v>3.0</v>
      </c>
      <c r="B5" s="15" t="s">
        <v>34</v>
      </c>
      <c r="C5" s="15" t="s">
        <v>44</v>
      </c>
      <c r="D5" s="16" t="s">
        <v>45</v>
      </c>
      <c r="E5" s="15" t="s">
        <v>46</v>
      </c>
      <c r="F5" s="15"/>
      <c r="G5" s="15" t="s">
        <v>47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3">
        <v>4.0</v>
      </c>
      <c r="B6" s="13" t="s">
        <v>34</v>
      </c>
      <c r="C6" s="13" t="s">
        <v>48</v>
      </c>
      <c r="D6" s="14" t="s">
        <v>49</v>
      </c>
      <c r="E6" s="13" t="s">
        <v>50</v>
      </c>
      <c r="F6" s="13" t="s">
        <v>51</v>
      </c>
      <c r="G6" s="13"/>
      <c r="H6" s="9" t="s">
        <v>52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>
        <v>5.0</v>
      </c>
      <c r="B7" s="13" t="s">
        <v>34</v>
      </c>
      <c r="C7" s="13" t="s">
        <v>53</v>
      </c>
      <c r="D7" s="14" t="s">
        <v>54</v>
      </c>
      <c r="E7" s="13" t="s">
        <v>55</v>
      </c>
      <c r="F7" s="13" t="s">
        <v>56</v>
      </c>
      <c r="G7" s="13"/>
      <c r="H7" s="9" t="s">
        <v>57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3">
        <v>6.0</v>
      </c>
      <c r="B8" s="15" t="s">
        <v>34</v>
      </c>
      <c r="C8" s="15" t="s">
        <v>58</v>
      </c>
      <c r="D8" s="16" t="s">
        <v>59</v>
      </c>
      <c r="E8" s="15" t="s">
        <v>60</v>
      </c>
      <c r="F8" s="15"/>
      <c r="G8" s="15" t="s">
        <v>61</v>
      </c>
      <c r="H8" s="9" t="s">
        <v>39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3">
        <v>7.0</v>
      </c>
      <c r="B9" s="13" t="s">
        <v>34</v>
      </c>
      <c r="C9" s="13" t="s">
        <v>35</v>
      </c>
      <c r="D9" s="14" t="s">
        <v>62</v>
      </c>
      <c r="E9" s="13" t="s">
        <v>63</v>
      </c>
      <c r="F9" s="13"/>
      <c r="G9" s="13" t="s">
        <v>38</v>
      </c>
      <c r="H9" s="9" t="s">
        <v>52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3">
        <v>8.0</v>
      </c>
      <c r="B10" s="13" t="s">
        <v>34</v>
      </c>
      <c r="C10" s="13" t="s">
        <v>48</v>
      </c>
      <c r="D10" s="14" t="s">
        <v>49</v>
      </c>
      <c r="E10" s="13" t="s">
        <v>64</v>
      </c>
      <c r="F10" s="13" t="s">
        <v>64</v>
      </c>
      <c r="G10" s="13"/>
      <c r="H10" s="9" t="s">
        <v>57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3">
        <v>9.0</v>
      </c>
      <c r="B11" s="13" t="s">
        <v>34</v>
      </c>
      <c r="C11" s="13" t="s">
        <v>53</v>
      </c>
      <c r="D11" s="14" t="s">
        <v>54</v>
      </c>
      <c r="E11" s="13" t="s">
        <v>65</v>
      </c>
      <c r="F11" s="13" t="s">
        <v>65</v>
      </c>
      <c r="G11" s="13"/>
      <c r="H11" s="9" t="s">
        <v>66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3">
        <v>10.0</v>
      </c>
      <c r="B12" s="13" t="s">
        <v>34</v>
      </c>
      <c r="C12" s="13" t="s">
        <v>67</v>
      </c>
      <c r="D12" s="14" t="s">
        <v>68</v>
      </c>
      <c r="E12" s="13" t="s">
        <v>69</v>
      </c>
      <c r="F12" s="13" t="s">
        <v>69</v>
      </c>
      <c r="G12" s="13"/>
      <c r="H12" s="9" t="s">
        <v>52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3">
        <v>11.0</v>
      </c>
      <c r="B13" s="13" t="s">
        <v>34</v>
      </c>
      <c r="C13" s="13" t="s">
        <v>35</v>
      </c>
      <c r="D13" s="14" t="s">
        <v>70</v>
      </c>
      <c r="E13" s="13" t="s">
        <v>71</v>
      </c>
      <c r="F13" s="13"/>
      <c r="G13" s="13" t="s">
        <v>38</v>
      </c>
      <c r="H13" s="9" t="s">
        <v>72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3">
        <v>12.0</v>
      </c>
      <c r="B14" s="13" t="s">
        <v>34</v>
      </c>
      <c r="C14" s="13" t="s">
        <v>58</v>
      </c>
      <c r="D14" s="14" t="s">
        <v>59</v>
      </c>
      <c r="E14" s="13" t="s">
        <v>73</v>
      </c>
      <c r="F14" s="13"/>
      <c r="G14" s="13" t="s">
        <v>38</v>
      </c>
      <c r="H14" s="9" t="s">
        <v>52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3">
        <v>13.0</v>
      </c>
      <c r="B15" s="13" t="s">
        <v>34</v>
      </c>
      <c r="C15" s="13" t="s">
        <v>74</v>
      </c>
      <c r="D15" s="14" t="s">
        <v>75</v>
      </c>
      <c r="E15" s="13" t="s">
        <v>76</v>
      </c>
      <c r="F15" s="13" t="s">
        <v>76</v>
      </c>
      <c r="G15" s="13"/>
      <c r="H15" s="9" t="s">
        <v>77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3">
        <v>14.0</v>
      </c>
      <c r="B16" s="13" t="s">
        <v>34</v>
      </c>
      <c r="C16" s="13" t="s">
        <v>48</v>
      </c>
      <c r="D16" s="14" t="s">
        <v>49</v>
      </c>
      <c r="E16" s="13" t="s">
        <v>78</v>
      </c>
      <c r="F16" s="13" t="s">
        <v>78</v>
      </c>
      <c r="G16" s="13"/>
      <c r="H16" s="9" t="s">
        <v>77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3">
        <v>15.0</v>
      </c>
      <c r="B17" s="13" t="s">
        <v>34</v>
      </c>
      <c r="C17" s="13" t="s">
        <v>74</v>
      </c>
      <c r="D17" s="14" t="s">
        <v>75</v>
      </c>
      <c r="E17" s="13" t="s">
        <v>79</v>
      </c>
      <c r="F17" s="13" t="s">
        <v>79</v>
      </c>
      <c r="G17" s="13"/>
      <c r="H17" s="9" t="s">
        <v>77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3">
        <v>16.0</v>
      </c>
      <c r="B18" s="13" t="s">
        <v>34</v>
      </c>
      <c r="C18" s="13" t="s">
        <v>80</v>
      </c>
      <c r="D18" s="14" t="s">
        <v>81</v>
      </c>
      <c r="E18" s="13" t="s">
        <v>82</v>
      </c>
      <c r="F18" s="13" t="s">
        <v>82</v>
      </c>
      <c r="G18" s="13"/>
      <c r="H18" s="9" t="s">
        <v>52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3">
        <v>17.0</v>
      </c>
      <c r="B19" s="13" t="s">
        <v>34</v>
      </c>
      <c r="C19" s="13" t="s">
        <v>83</v>
      </c>
      <c r="D19" s="14" t="s">
        <v>84</v>
      </c>
      <c r="E19" s="13" t="s">
        <v>85</v>
      </c>
      <c r="F19" s="13" t="s">
        <v>85</v>
      </c>
      <c r="G19" s="13"/>
      <c r="H19" s="9" t="s">
        <v>77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3">
        <v>18.0</v>
      </c>
      <c r="B20" s="13" t="s">
        <v>34</v>
      </c>
      <c r="C20" s="13" t="s">
        <v>86</v>
      </c>
      <c r="D20" s="14" t="s">
        <v>87</v>
      </c>
      <c r="E20" s="13" t="s">
        <v>88</v>
      </c>
      <c r="F20" s="13" t="s">
        <v>88</v>
      </c>
      <c r="G20" s="13"/>
      <c r="H20" s="9" t="s">
        <v>57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3">
        <v>19.0</v>
      </c>
      <c r="B21" s="13" t="s">
        <v>34</v>
      </c>
      <c r="C21" s="13" t="s">
        <v>89</v>
      </c>
      <c r="D21" s="14" t="s">
        <v>90</v>
      </c>
      <c r="E21" s="13" t="s">
        <v>91</v>
      </c>
      <c r="F21" s="13" t="s">
        <v>91</v>
      </c>
      <c r="G21" s="13"/>
      <c r="H21" s="9" t="s">
        <v>72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3">
        <v>20.0</v>
      </c>
      <c r="B22" s="13" t="s">
        <v>34</v>
      </c>
      <c r="C22" s="13" t="s">
        <v>74</v>
      </c>
      <c r="D22" s="14" t="s">
        <v>75</v>
      </c>
      <c r="E22" s="13" t="s">
        <v>92</v>
      </c>
      <c r="F22" s="13" t="s">
        <v>92</v>
      </c>
      <c r="G22" s="13"/>
      <c r="H22" s="9" t="s">
        <v>93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3">
        <v>21.0</v>
      </c>
      <c r="B23" s="13" t="s">
        <v>34</v>
      </c>
      <c r="C23" s="13" t="s">
        <v>94</v>
      </c>
      <c r="D23" s="14" t="s">
        <v>95</v>
      </c>
      <c r="E23" s="13" t="s">
        <v>96</v>
      </c>
      <c r="F23" s="13"/>
      <c r="G23" s="13" t="s">
        <v>38</v>
      </c>
      <c r="H23" s="9" t="s">
        <v>72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3">
        <v>22.0</v>
      </c>
      <c r="B24" s="13" t="s">
        <v>34</v>
      </c>
      <c r="C24" s="13" t="s">
        <v>58</v>
      </c>
      <c r="D24" s="14" t="s">
        <v>97</v>
      </c>
      <c r="E24" s="13" t="s">
        <v>98</v>
      </c>
      <c r="F24" s="13"/>
      <c r="G24" s="13" t="s">
        <v>38</v>
      </c>
      <c r="H24" s="9" t="s">
        <v>52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3">
        <v>23.0</v>
      </c>
      <c r="B25" s="13" t="s">
        <v>34</v>
      </c>
      <c r="C25" s="13" t="s">
        <v>86</v>
      </c>
      <c r="D25" s="14" t="s">
        <v>87</v>
      </c>
      <c r="E25" s="13" t="s">
        <v>99</v>
      </c>
      <c r="F25" s="13" t="s">
        <v>99</v>
      </c>
      <c r="G25" s="13"/>
      <c r="H25" s="9" t="s">
        <v>100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3">
        <v>24.0</v>
      </c>
      <c r="B26" s="13" t="s">
        <v>34</v>
      </c>
      <c r="C26" s="17" t="s">
        <v>101</v>
      </c>
      <c r="D26" s="14" t="s">
        <v>102</v>
      </c>
      <c r="E26" s="13" t="s">
        <v>103</v>
      </c>
      <c r="F26" s="13" t="s">
        <v>103</v>
      </c>
      <c r="G26" s="13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3">
        <v>25.0</v>
      </c>
      <c r="B27" s="13" t="s">
        <v>34</v>
      </c>
      <c r="C27" s="13" t="s">
        <v>104</v>
      </c>
      <c r="D27" s="14" t="s">
        <v>105</v>
      </c>
      <c r="E27" s="13" t="s">
        <v>106</v>
      </c>
      <c r="F27" s="13" t="s">
        <v>106</v>
      </c>
      <c r="G27" s="13"/>
      <c r="H27" s="9" t="s">
        <v>52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3">
        <v>26.0</v>
      </c>
      <c r="B28" s="13" t="s">
        <v>34</v>
      </c>
      <c r="C28" s="13" t="s">
        <v>107</v>
      </c>
      <c r="D28" s="14" t="s">
        <v>108</v>
      </c>
      <c r="E28" s="13" t="s">
        <v>109</v>
      </c>
      <c r="F28" s="13"/>
      <c r="G28" s="13" t="s">
        <v>38</v>
      </c>
      <c r="H28" s="9" t="s">
        <v>110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3">
        <v>27.0</v>
      </c>
      <c r="B29" s="13" t="s">
        <v>34</v>
      </c>
      <c r="C29" s="13" t="s">
        <v>111</v>
      </c>
      <c r="D29" s="14" t="s">
        <v>112</v>
      </c>
      <c r="E29" s="13" t="s">
        <v>113</v>
      </c>
      <c r="F29" s="13" t="s">
        <v>114</v>
      </c>
      <c r="G29" s="13"/>
      <c r="H29" s="9" t="s">
        <v>115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3">
        <v>28.0</v>
      </c>
      <c r="B30" s="13" t="s">
        <v>34</v>
      </c>
      <c r="C30" s="13" t="s">
        <v>116</v>
      </c>
      <c r="D30" s="14" t="s">
        <v>75</v>
      </c>
      <c r="E30" s="13" t="s">
        <v>117</v>
      </c>
      <c r="F30" s="13" t="s">
        <v>117</v>
      </c>
      <c r="G30" s="13"/>
      <c r="H30" s="9" t="s">
        <v>118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3">
        <v>29.0</v>
      </c>
      <c r="B31" s="13" t="s">
        <v>34</v>
      </c>
      <c r="C31" s="13" t="s">
        <v>119</v>
      </c>
      <c r="D31" s="14" t="s">
        <v>120</v>
      </c>
      <c r="E31" s="13" t="s">
        <v>121</v>
      </c>
      <c r="F31" s="13" t="s">
        <v>121</v>
      </c>
      <c r="G31" s="13"/>
      <c r="H31" s="9" t="s">
        <v>115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3">
        <v>30.0</v>
      </c>
      <c r="B32" s="13" t="s">
        <v>34</v>
      </c>
      <c r="C32" s="13" t="s">
        <v>101</v>
      </c>
      <c r="D32" s="14" t="s">
        <v>122</v>
      </c>
      <c r="E32" s="13" t="s">
        <v>123</v>
      </c>
      <c r="F32" s="13" t="s">
        <v>123</v>
      </c>
      <c r="G32" s="13"/>
      <c r="H32" s="9" t="s">
        <v>124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3">
        <v>31.0</v>
      </c>
      <c r="B33" s="13" t="s">
        <v>34</v>
      </c>
      <c r="C33" s="13" t="s">
        <v>58</v>
      </c>
      <c r="D33" s="14" t="s">
        <v>97</v>
      </c>
      <c r="E33" s="13" t="s">
        <v>125</v>
      </c>
      <c r="F33" s="13"/>
      <c r="G33" s="13" t="s">
        <v>38</v>
      </c>
      <c r="H33" s="9" t="s">
        <v>115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3">
        <v>32.0</v>
      </c>
      <c r="B34" s="13" t="s">
        <v>34</v>
      </c>
      <c r="C34" s="13" t="s">
        <v>116</v>
      </c>
      <c r="D34" s="14" t="s">
        <v>126</v>
      </c>
      <c r="E34" s="13" t="s">
        <v>127</v>
      </c>
      <c r="F34" s="13" t="s">
        <v>127</v>
      </c>
      <c r="G34" s="13"/>
      <c r="H34" s="9" t="s">
        <v>128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3">
        <v>33.0</v>
      </c>
      <c r="B35" s="13" t="s">
        <v>34</v>
      </c>
      <c r="C35" s="13" t="s">
        <v>53</v>
      </c>
      <c r="D35" s="14" t="s">
        <v>129</v>
      </c>
      <c r="E35" s="13" t="s">
        <v>130</v>
      </c>
      <c r="F35" s="13" t="s">
        <v>130</v>
      </c>
      <c r="G35" s="13"/>
      <c r="H35" s="9" t="s">
        <v>128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3">
        <v>34.0</v>
      </c>
      <c r="B36" s="13" t="s">
        <v>34</v>
      </c>
      <c r="C36" s="13" t="s">
        <v>131</v>
      </c>
      <c r="D36" s="14" t="s">
        <v>132</v>
      </c>
      <c r="E36" s="13" t="s">
        <v>133</v>
      </c>
      <c r="F36" s="13" t="s">
        <v>133</v>
      </c>
      <c r="G36" s="13"/>
      <c r="H36" s="9" t="s">
        <v>124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3">
        <v>35.0</v>
      </c>
      <c r="B37" s="13" t="s">
        <v>34</v>
      </c>
      <c r="C37" s="13" t="s">
        <v>101</v>
      </c>
      <c r="D37" s="14" t="s">
        <v>134</v>
      </c>
      <c r="E37" s="13" t="s">
        <v>135</v>
      </c>
      <c r="F37" s="13" t="s">
        <v>135</v>
      </c>
      <c r="G37" s="13"/>
      <c r="H37" s="9" t="s">
        <v>136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3">
        <v>11.0</v>
      </c>
      <c r="B38" s="13" t="s">
        <v>34</v>
      </c>
      <c r="C38" s="13" t="s">
        <v>137</v>
      </c>
      <c r="D38" s="14" t="s">
        <v>138</v>
      </c>
      <c r="E38" s="13" t="s">
        <v>139</v>
      </c>
      <c r="F38" s="13"/>
      <c r="G38" s="13" t="s">
        <v>38</v>
      </c>
      <c r="H38" s="9" t="s">
        <v>72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3">
        <v>36.0</v>
      </c>
      <c r="B39" s="13" t="s">
        <v>34</v>
      </c>
      <c r="C39" s="13" t="s">
        <v>140</v>
      </c>
      <c r="D39" s="14" t="s">
        <v>141</v>
      </c>
      <c r="E39" s="13" t="s">
        <v>142</v>
      </c>
      <c r="F39" s="13"/>
      <c r="G39" s="13" t="s">
        <v>38</v>
      </c>
      <c r="H39" s="9" t="s">
        <v>143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3">
        <v>37.0</v>
      </c>
      <c r="B40" s="13" t="s">
        <v>34</v>
      </c>
      <c r="C40" s="13" t="s">
        <v>67</v>
      </c>
      <c r="D40" s="14" t="s">
        <v>144</v>
      </c>
      <c r="E40" s="13" t="s">
        <v>145</v>
      </c>
      <c r="F40" s="13" t="s">
        <v>145</v>
      </c>
      <c r="G40" s="13"/>
      <c r="H40" s="9" t="s">
        <v>128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3">
        <v>38.0</v>
      </c>
      <c r="B41" s="13" t="s">
        <v>34</v>
      </c>
      <c r="C41" s="13" t="s">
        <v>86</v>
      </c>
      <c r="D41" s="14" t="s">
        <v>146</v>
      </c>
      <c r="E41" s="13" t="s">
        <v>147</v>
      </c>
      <c r="F41" s="13" t="s">
        <v>147</v>
      </c>
      <c r="G41" s="13"/>
      <c r="H41" s="9" t="s">
        <v>148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3">
        <v>39.0</v>
      </c>
      <c r="B42" s="13" t="s">
        <v>34</v>
      </c>
      <c r="C42" s="13" t="s">
        <v>104</v>
      </c>
      <c r="D42" s="14" t="s">
        <v>149</v>
      </c>
      <c r="E42" s="13" t="s">
        <v>150</v>
      </c>
      <c r="F42" s="13" t="s">
        <v>150</v>
      </c>
      <c r="G42" s="13"/>
      <c r="H42" s="9" t="s">
        <v>148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3">
        <v>40.0</v>
      </c>
      <c r="B43" s="13" t="s">
        <v>34</v>
      </c>
      <c r="C43" s="13" t="s">
        <v>74</v>
      </c>
      <c r="D43" s="14" t="s">
        <v>151</v>
      </c>
      <c r="E43" s="13" t="s">
        <v>152</v>
      </c>
      <c r="F43" s="13" t="s">
        <v>152</v>
      </c>
      <c r="G43" s="13"/>
      <c r="H43" s="9" t="s">
        <v>148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13">
        <v>41.0</v>
      </c>
      <c r="B44" s="13" t="s">
        <v>34</v>
      </c>
      <c r="C44" s="13" t="s">
        <v>119</v>
      </c>
      <c r="D44" s="14" t="s">
        <v>153</v>
      </c>
      <c r="E44" s="13" t="s">
        <v>154</v>
      </c>
      <c r="F44" s="13" t="s">
        <v>154</v>
      </c>
      <c r="G44" s="13"/>
      <c r="H44" s="9" t="s">
        <v>155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3">
        <v>42.0</v>
      </c>
      <c r="B45" s="13" t="s">
        <v>34</v>
      </c>
      <c r="C45" s="13" t="s">
        <v>53</v>
      </c>
      <c r="D45" s="14" t="s">
        <v>156</v>
      </c>
      <c r="E45" s="13" t="s">
        <v>157</v>
      </c>
      <c r="F45" s="13" t="s">
        <v>157</v>
      </c>
      <c r="G45" s="13"/>
      <c r="H45" s="9" t="s">
        <v>155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3">
        <v>43.0</v>
      </c>
      <c r="B46" s="13" t="s">
        <v>34</v>
      </c>
      <c r="C46" s="13" t="s">
        <v>158</v>
      </c>
      <c r="D46" s="14" t="s">
        <v>159</v>
      </c>
      <c r="E46" s="13" t="s">
        <v>160</v>
      </c>
      <c r="F46" s="13" t="s">
        <v>160</v>
      </c>
      <c r="G46" s="13"/>
      <c r="H46" s="9" t="s">
        <v>155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3">
        <v>44.0</v>
      </c>
      <c r="B47" s="13" t="s">
        <v>34</v>
      </c>
      <c r="C47" s="13" t="s">
        <v>131</v>
      </c>
      <c r="D47" s="14" t="s">
        <v>161</v>
      </c>
      <c r="E47" s="13" t="s">
        <v>162</v>
      </c>
      <c r="F47" s="13"/>
      <c r="G47" s="13" t="s">
        <v>38</v>
      </c>
      <c r="H47" s="9" t="s">
        <v>163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13">
        <v>45.0</v>
      </c>
      <c r="B48" s="13" t="s">
        <v>34</v>
      </c>
      <c r="C48" s="13" t="s">
        <v>164</v>
      </c>
      <c r="D48" s="14" t="s">
        <v>165</v>
      </c>
      <c r="E48" s="13" t="s">
        <v>166</v>
      </c>
      <c r="F48" s="13"/>
      <c r="G48" s="13" t="s">
        <v>38</v>
      </c>
      <c r="H48" s="9" t="s">
        <v>163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3">
        <v>46.0</v>
      </c>
      <c r="B49" s="13" t="s">
        <v>34</v>
      </c>
      <c r="C49" s="13" t="s">
        <v>167</v>
      </c>
      <c r="D49" s="14" t="s">
        <v>168</v>
      </c>
      <c r="E49" s="13" t="s">
        <v>169</v>
      </c>
      <c r="F49" s="13" t="s">
        <v>169</v>
      </c>
      <c r="G49" s="13"/>
      <c r="H49" s="9" t="s">
        <v>163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3">
        <v>47.0</v>
      </c>
      <c r="B50" s="13" t="s">
        <v>34</v>
      </c>
      <c r="C50" s="13" t="s">
        <v>170</v>
      </c>
      <c r="D50" s="14" t="s">
        <v>171</v>
      </c>
      <c r="E50" s="13" t="s">
        <v>172</v>
      </c>
      <c r="F50" s="13" t="s">
        <v>172</v>
      </c>
      <c r="G50" s="13"/>
      <c r="H50" s="9" t="s">
        <v>173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13">
        <v>48.0</v>
      </c>
      <c r="B51" s="13" t="s">
        <v>34</v>
      </c>
      <c r="C51" s="13" t="s">
        <v>174</v>
      </c>
      <c r="D51" s="14" t="s">
        <v>175</v>
      </c>
      <c r="E51" s="13" t="s">
        <v>176</v>
      </c>
      <c r="F51" s="13" t="s">
        <v>176</v>
      </c>
      <c r="G51" s="13"/>
      <c r="H51" s="9" t="s">
        <v>163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13">
        <v>49.0</v>
      </c>
      <c r="B52" s="13" t="s">
        <v>34</v>
      </c>
      <c r="C52" s="13" t="s">
        <v>177</v>
      </c>
      <c r="D52" s="14" t="s">
        <v>178</v>
      </c>
      <c r="E52" s="13" t="s">
        <v>179</v>
      </c>
      <c r="F52" s="13" t="s">
        <v>179</v>
      </c>
      <c r="G52" s="13"/>
      <c r="H52" s="9" t="s">
        <v>163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13">
        <v>50.0</v>
      </c>
      <c r="B53" s="13" t="s">
        <v>34</v>
      </c>
      <c r="C53" s="18" t="s">
        <v>180</v>
      </c>
      <c r="D53" s="19" t="s">
        <v>181</v>
      </c>
      <c r="E53" s="13" t="s">
        <v>182</v>
      </c>
      <c r="F53" s="13" t="s">
        <v>182</v>
      </c>
      <c r="G53" s="18"/>
      <c r="H53" s="9" t="s">
        <v>183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3">
        <v>51.0</v>
      </c>
      <c r="B54" s="13" t="s">
        <v>34</v>
      </c>
      <c r="C54" s="18" t="s">
        <v>184</v>
      </c>
      <c r="D54" s="19" t="s">
        <v>185</v>
      </c>
      <c r="E54" s="18" t="s">
        <v>186</v>
      </c>
      <c r="F54" s="18" t="s">
        <v>186</v>
      </c>
      <c r="G54" s="18"/>
      <c r="H54" s="9" t="s">
        <v>183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13">
        <v>52.0</v>
      </c>
      <c r="B55" s="13" t="s">
        <v>34</v>
      </c>
      <c r="C55" s="18" t="s">
        <v>187</v>
      </c>
      <c r="D55" s="19" t="s">
        <v>188</v>
      </c>
      <c r="E55" s="13" t="s">
        <v>189</v>
      </c>
      <c r="F55" s="13" t="s">
        <v>189</v>
      </c>
      <c r="G55" s="18"/>
      <c r="H55" s="9" t="s">
        <v>183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3">
        <v>53.0</v>
      </c>
      <c r="B56" s="13" t="s">
        <v>34</v>
      </c>
      <c r="C56" s="18" t="s">
        <v>190</v>
      </c>
      <c r="D56" s="19" t="s">
        <v>191</v>
      </c>
      <c r="E56" s="18" t="s">
        <v>192</v>
      </c>
      <c r="F56" s="18" t="s">
        <v>192</v>
      </c>
      <c r="G56" s="18"/>
      <c r="H56" s="9" t="s">
        <v>193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13">
        <v>54.0</v>
      </c>
      <c r="B57" s="13" t="s">
        <v>34</v>
      </c>
      <c r="C57" s="18" t="s">
        <v>167</v>
      </c>
      <c r="D57" s="19" t="s">
        <v>194</v>
      </c>
      <c r="E57" s="18" t="s">
        <v>195</v>
      </c>
      <c r="F57" s="18" t="s">
        <v>195</v>
      </c>
      <c r="G57" s="18"/>
      <c r="H57" s="9" t="s">
        <v>193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13">
        <v>55.0</v>
      </c>
      <c r="B58" s="13" t="s">
        <v>34</v>
      </c>
      <c r="C58" s="18" t="s">
        <v>196</v>
      </c>
      <c r="D58" s="19" t="s">
        <v>197</v>
      </c>
      <c r="E58" s="18" t="s">
        <v>198</v>
      </c>
      <c r="F58" s="18"/>
      <c r="G58" s="18" t="s">
        <v>38</v>
      </c>
      <c r="H58" s="9" t="s">
        <v>193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13">
        <v>56.0</v>
      </c>
      <c r="B59" s="13" t="s">
        <v>34</v>
      </c>
      <c r="C59" s="18" t="s">
        <v>199</v>
      </c>
      <c r="D59" s="19" t="s">
        <v>200</v>
      </c>
      <c r="E59" s="18" t="s">
        <v>201</v>
      </c>
      <c r="F59" s="18" t="s">
        <v>201</v>
      </c>
      <c r="G59" s="18"/>
      <c r="H59" s="9" t="s">
        <v>202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13">
        <v>57.0</v>
      </c>
      <c r="B60" s="13" t="s">
        <v>34</v>
      </c>
      <c r="C60" s="18" t="s">
        <v>203</v>
      </c>
      <c r="D60" s="19" t="s">
        <v>204</v>
      </c>
      <c r="E60" s="18" t="s">
        <v>205</v>
      </c>
      <c r="F60" s="18" t="s">
        <v>205</v>
      </c>
      <c r="G60" s="18"/>
      <c r="H60" s="9" t="s">
        <v>202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13">
        <v>58.0</v>
      </c>
      <c r="B61" s="13" t="s">
        <v>34</v>
      </c>
      <c r="C61" s="18"/>
      <c r="D61" s="18"/>
      <c r="E61" s="18"/>
      <c r="F61" s="18"/>
      <c r="G61" s="1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13">
        <v>59.0</v>
      </c>
      <c r="B62" s="13" t="s">
        <v>34</v>
      </c>
      <c r="C62" s="18"/>
      <c r="D62" s="18"/>
      <c r="E62" s="18"/>
      <c r="F62" s="18"/>
      <c r="G62" s="1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13">
        <v>60.0</v>
      </c>
      <c r="B63" s="13" t="s">
        <v>34</v>
      </c>
      <c r="C63" s="18"/>
      <c r="D63" s="18"/>
      <c r="E63" s="18"/>
      <c r="F63" s="18"/>
      <c r="G63" s="1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3">
        <v>61.0</v>
      </c>
      <c r="B64" s="13" t="s">
        <v>34</v>
      </c>
      <c r="C64" s="18"/>
      <c r="D64" s="18"/>
      <c r="E64" s="18"/>
      <c r="F64" s="18"/>
      <c r="G64" s="1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13">
        <v>62.0</v>
      </c>
      <c r="B65" s="13" t="s">
        <v>34</v>
      </c>
      <c r="C65" s="18"/>
      <c r="D65" s="18"/>
      <c r="E65" s="18"/>
      <c r="F65" s="18"/>
      <c r="G65" s="1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13">
        <v>63.0</v>
      </c>
      <c r="B66" s="13" t="s">
        <v>34</v>
      </c>
      <c r="C66" s="18"/>
      <c r="D66" s="18"/>
      <c r="E66" s="18"/>
      <c r="F66" s="18"/>
      <c r="G66" s="1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13">
        <v>64.0</v>
      </c>
      <c r="B67" s="13" t="s">
        <v>34</v>
      </c>
      <c r="C67" s="18"/>
      <c r="D67" s="18"/>
      <c r="E67" s="18"/>
      <c r="F67" s="18"/>
      <c r="G67" s="1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13">
        <v>65.0</v>
      </c>
      <c r="B68" s="13" t="s">
        <v>34</v>
      </c>
      <c r="C68" s="18"/>
      <c r="D68" s="18"/>
      <c r="E68" s="18"/>
      <c r="F68" s="18"/>
      <c r="G68" s="1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13">
        <v>66.0</v>
      </c>
      <c r="B69" s="13" t="s">
        <v>34</v>
      </c>
      <c r="C69" s="18"/>
      <c r="D69" s="18"/>
      <c r="E69" s="18"/>
      <c r="F69" s="18"/>
      <c r="G69" s="1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13">
        <v>67.0</v>
      </c>
      <c r="B70" s="13" t="s">
        <v>34</v>
      </c>
      <c r="C70" s="18"/>
      <c r="D70" s="18"/>
      <c r="E70" s="18"/>
      <c r="F70" s="18"/>
      <c r="G70" s="1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13">
        <v>68.0</v>
      </c>
      <c r="B71" s="13" t="s">
        <v>34</v>
      </c>
      <c r="C71" s="18"/>
      <c r="D71" s="18"/>
      <c r="E71" s="18"/>
      <c r="F71" s="18"/>
      <c r="G71" s="1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13">
        <v>69.0</v>
      </c>
      <c r="B72" s="13" t="s">
        <v>34</v>
      </c>
      <c r="C72" s="18"/>
      <c r="D72" s="18"/>
      <c r="E72" s="18"/>
      <c r="F72" s="18"/>
      <c r="G72" s="1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13">
        <v>70.0</v>
      </c>
      <c r="B73" s="13" t="s">
        <v>34</v>
      </c>
      <c r="C73" s="18"/>
      <c r="D73" s="18"/>
      <c r="E73" s="18"/>
      <c r="F73" s="18"/>
      <c r="G73" s="1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13">
        <v>71.0</v>
      </c>
      <c r="B74" s="13"/>
      <c r="C74" s="18"/>
      <c r="D74" s="18"/>
      <c r="E74" s="18"/>
      <c r="F74" s="18"/>
      <c r="G74" s="1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20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2"/>
    </row>
    <row r="76">
      <c r="A76" s="23">
        <v>1.0</v>
      </c>
      <c r="B76" s="23" t="s">
        <v>34</v>
      </c>
      <c r="C76" s="23" t="s">
        <v>206</v>
      </c>
      <c r="D76" s="24" t="s">
        <v>207</v>
      </c>
      <c r="E76" s="23" t="s">
        <v>208</v>
      </c>
      <c r="F76" s="23" t="s">
        <v>209</v>
      </c>
      <c r="G76" s="23"/>
      <c r="H76" s="9" t="s">
        <v>39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13">
        <v>2.0</v>
      </c>
      <c r="B77" s="13" t="s">
        <v>34</v>
      </c>
      <c r="C77" s="13" t="s">
        <v>210</v>
      </c>
      <c r="D77" s="14" t="s">
        <v>211</v>
      </c>
      <c r="E77" s="13" t="s">
        <v>212</v>
      </c>
      <c r="F77" s="13" t="s">
        <v>212</v>
      </c>
      <c r="G77" s="13"/>
      <c r="H77" s="9" t="s">
        <v>39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13">
        <v>3.0</v>
      </c>
      <c r="B78" s="13" t="s">
        <v>34</v>
      </c>
      <c r="C78" s="13" t="s">
        <v>213</v>
      </c>
      <c r="D78" s="14" t="s">
        <v>214</v>
      </c>
      <c r="E78" s="13" t="s">
        <v>215</v>
      </c>
      <c r="F78" s="13" t="s">
        <v>215</v>
      </c>
      <c r="G78" s="13"/>
      <c r="H78" s="9" t="s">
        <v>52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13">
        <v>4.0</v>
      </c>
      <c r="B79" s="13" t="s">
        <v>34</v>
      </c>
      <c r="C79" s="13" t="s">
        <v>213</v>
      </c>
      <c r="D79" s="14" t="s">
        <v>216</v>
      </c>
      <c r="E79" s="13" t="s">
        <v>217</v>
      </c>
      <c r="F79" s="13" t="s">
        <v>217</v>
      </c>
      <c r="G79" s="13"/>
      <c r="H79" s="9" t="s">
        <v>52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3">
        <v>5.0</v>
      </c>
      <c r="B80" s="13" t="s">
        <v>34</v>
      </c>
      <c r="C80" s="13" t="s">
        <v>218</v>
      </c>
      <c r="D80" s="14" t="s">
        <v>219</v>
      </c>
      <c r="E80" s="13" t="s">
        <v>220</v>
      </c>
      <c r="F80" s="13"/>
      <c r="G80" s="13" t="s">
        <v>38</v>
      </c>
      <c r="H80" s="9" t="s">
        <v>57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13">
        <v>6.0</v>
      </c>
      <c r="B81" s="13" t="s">
        <v>34</v>
      </c>
      <c r="C81" s="13" t="s">
        <v>221</v>
      </c>
      <c r="D81" s="14" t="s">
        <v>222</v>
      </c>
      <c r="E81" s="13" t="s">
        <v>223</v>
      </c>
      <c r="F81" s="13"/>
      <c r="G81" s="13" t="s">
        <v>38</v>
      </c>
      <c r="H81" s="9" t="s">
        <v>57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13">
        <v>7.0</v>
      </c>
      <c r="B82" s="13" t="s">
        <v>34</v>
      </c>
      <c r="C82" s="13" t="s">
        <v>210</v>
      </c>
      <c r="D82" s="14" t="s">
        <v>224</v>
      </c>
      <c r="E82" s="13" t="s">
        <v>225</v>
      </c>
      <c r="F82" s="13" t="s">
        <v>225</v>
      </c>
      <c r="G82" s="13"/>
      <c r="H82" s="9" t="s">
        <v>57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13">
        <v>8.0</v>
      </c>
      <c r="B83" s="13" t="s">
        <v>34</v>
      </c>
      <c r="C83" s="13" t="s">
        <v>226</v>
      </c>
      <c r="D83" s="14" t="s">
        <v>227</v>
      </c>
      <c r="E83" s="13" t="s">
        <v>228</v>
      </c>
      <c r="F83" s="13" t="s">
        <v>228</v>
      </c>
      <c r="G83" s="13"/>
      <c r="H83" s="9" t="s">
        <v>72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13">
        <v>9.0</v>
      </c>
      <c r="B84" s="13" t="s">
        <v>34</v>
      </c>
      <c r="C84" s="13" t="s">
        <v>229</v>
      </c>
      <c r="D84" s="14" t="s">
        <v>230</v>
      </c>
      <c r="E84" s="13" t="s">
        <v>231</v>
      </c>
      <c r="F84" s="13" t="s">
        <v>231</v>
      </c>
      <c r="G84" s="13"/>
      <c r="H84" s="9" t="s">
        <v>52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13">
        <v>10.0</v>
      </c>
      <c r="B85" s="13" t="s">
        <v>34</v>
      </c>
      <c r="C85" s="13" t="s">
        <v>232</v>
      </c>
      <c r="D85" s="14" t="s">
        <v>233</v>
      </c>
      <c r="E85" s="13" t="s">
        <v>234</v>
      </c>
      <c r="F85" s="13" t="s">
        <v>234</v>
      </c>
      <c r="G85" s="13"/>
      <c r="H85" s="9" t="s">
        <v>57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13">
        <v>12.0</v>
      </c>
      <c r="B86" s="13" t="s">
        <v>34</v>
      </c>
      <c r="C86" s="13" t="s">
        <v>210</v>
      </c>
      <c r="D86" s="14" t="s">
        <v>235</v>
      </c>
      <c r="E86" s="13" t="s">
        <v>236</v>
      </c>
      <c r="F86" s="13" t="s">
        <v>236</v>
      </c>
      <c r="G86" s="13"/>
      <c r="H86" s="9" t="s">
        <v>39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13">
        <v>3.0</v>
      </c>
      <c r="B87" s="13" t="s">
        <v>34</v>
      </c>
      <c r="C87" s="13" t="s">
        <v>213</v>
      </c>
      <c r="D87" s="14" t="s">
        <v>214</v>
      </c>
      <c r="E87" s="13" t="s">
        <v>237</v>
      </c>
      <c r="F87" s="13" t="s">
        <v>237</v>
      </c>
      <c r="G87" s="13"/>
      <c r="H87" s="9" t="s">
        <v>57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3">
        <v>14.0</v>
      </c>
      <c r="B88" s="13" t="s">
        <v>34</v>
      </c>
      <c r="C88" s="13" t="s">
        <v>238</v>
      </c>
      <c r="D88" s="14" t="s">
        <v>239</v>
      </c>
      <c r="E88" s="13" t="s">
        <v>240</v>
      </c>
      <c r="F88" s="13" t="s">
        <v>240</v>
      </c>
      <c r="G88" s="13"/>
      <c r="H88" s="9" t="s">
        <v>72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13">
        <v>15.0</v>
      </c>
      <c r="B89" s="13" t="s">
        <v>34</v>
      </c>
      <c r="C89" s="13" t="s">
        <v>241</v>
      </c>
      <c r="D89" s="14" t="s">
        <v>242</v>
      </c>
      <c r="E89" s="13" t="s">
        <v>243</v>
      </c>
      <c r="F89" s="13" t="s">
        <v>243</v>
      </c>
      <c r="G89" s="13"/>
      <c r="H89" s="9" t="s">
        <v>57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3">
        <v>16.0</v>
      </c>
      <c r="B90" s="13" t="s">
        <v>34</v>
      </c>
      <c r="C90" s="13" t="s">
        <v>244</v>
      </c>
      <c r="D90" s="14" t="s">
        <v>245</v>
      </c>
      <c r="E90" s="13" t="s">
        <v>246</v>
      </c>
      <c r="F90" s="13" t="s">
        <v>246</v>
      </c>
      <c r="G90" s="13"/>
      <c r="H90" s="9" t="s">
        <v>77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13">
        <v>17.0</v>
      </c>
      <c r="B91" s="13" t="s">
        <v>34</v>
      </c>
      <c r="C91" s="13" t="s">
        <v>247</v>
      </c>
      <c r="D91" s="14" t="s">
        <v>248</v>
      </c>
      <c r="E91" s="13" t="s">
        <v>249</v>
      </c>
      <c r="F91" s="13" t="s">
        <v>249</v>
      </c>
      <c r="G91" s="13"/>
      <c r="H91" s="9" t="s">
        <v>250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3">
        <v>18.0</v>
      </c>
      <c r="B92" s="13" t="s">
        <v>34</v>
      </c>
      <c r="C92" s="13" t="s">
        <v>251</v>
      </c>
      <c r="D92" s="14" t="s">
        <v>252</v>
      </c>
      <c r="E92" s="13" t="s">
        <v>253</v>
      </c>
      <c r="F92" s="13" t="s">
        <v>253</v>
      </c>
      <c r="G92" s="13"/>
      <c r="H92" s="9" t="s">
        <v>254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13">
        <v>19.0</v>
      </c>
      <c r="B93" s="13" t="s">
        <v>34</v>
      </c>
      <c r="C93" s="13" t="s">
        <v>255</v>
      </c>
      <c r="D93" s="14" t="s">
        <v>256</v>
      </c>
      <c r="E93" s="13" t="s">
        <v>257</v>
      </c>
      <c r="F93" s="13" t="s">
        <v>257</v>
      </c>
      <c r="G93" s="13"/>
      <c r="H93" s="9" t="s">
        <v>254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13">
        <v>20.0</v>
      </c>
      <c r="B94" s="13" t="s">
        <v>34</v>
      </c>
      <c r="C94" s="13" t="s">
        <v>232</v>
      </c>
      <c r="D94" s="14" t="s">
        <v>258</v>
      </c>
      <c r="E94" s="13" t="s">
        <v>259</v>
      </c>
      <c r="F94" s="13" t="s">
        <v>259</v>
      </c>
      <c r="G94" s="13"/>
      <c r="H94" s="9" t="s">
        <v>93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13">
        <v>21.0</v>
      </c>
      <c r="B95" s="13" t="s">
        <v>34</v>
      </c>
      <c r="C95" s="13" t="s">
        <v>260</v>
      </c>
      <c r="D95" s="14" t="s">
        <v>261</v>
      </c>
      <c r="E95" s="13" t="s">
        <v>262</v>
      </c>
      <c r="F95" s="13"/>
      <c r="G95" s="13" t="s">
        <v>263</v>
      </c>
      <c r="H95" s="9" t="s">
        <v>93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13">
        <v>22.0</v>
      </c>
      <c r="B96" s="13" t="s">
        <v>34</v>
      </c>
      <c r="C96" s="13" t="s">
        <v>232</v>
      </c>
      <c r="D96" s="14" t="s">
        <v>264</v>
      </c>
      <c r="E96" s="13" t="s">
        <v>265</v>
      </c>
      <c r="F96" s="13" t="s">
        <v>265</v>
      </c>
      <c r="G96" s="13"/>
      <c r="H96" s="9" t="s">
        <v>93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13">
        <v>23.0</v>
      </c>
      <c r="B97" s="13" t="s">
        <v>34</v>
      </c>
      <c r="C97" s="13" t="s">
        <v>266</v>
      </c>
      <c r="D97" s="14" t="s">
        <v>267</v>
      </c>
      <c r="E97" s="13" t="s">
        <v>268</v>
      </c>
      <c r="F97" s="13" t="s">
        <v>268</v>
      </c>
      <c r="G97" s="13"/>
      <c r="H97" s="9" t="s">
        <v>202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13">
        <v>24.0</v>
      </c>
      <c r="B98" s="13" t="s">
        <v>34</v>
      </c>
      <c r="C98" s="13" t="s">
        <v>269</v>
      </c>
      <c r="D98" s="14" t="s">
        <v>270</v>
      </c>
      <c r="E98" s="13" t="s">
        <v>271</v>
      </c>
      <c r="F98" s="13" t="s">
        <v>271</v>
      </c>
      <c r="G98" s="13"/>
      <c r="H98" s="9" t="s">
        <v>202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13">
        <v>25.0</v>
      </c>
      <c r="B99" s="13" t="s">
        <v>34</v>
      </c>
      <c r="C99" s="13" t="s">
        <v>272</v>
      </c>
      <c r="D99" s="14" t="s">
        <v>273</v>
      </c>
      <c r="E99" s="13" t="s">
        <v>274</v>
      </c>
      <c r="F99" s="13" t="s">
        <v>274</v>
      </c>
      <c r="G99" s="13"/>
      <c r="H99" s="9" t="s">
        <v>202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13">
        <v>26.0</v>
      </c>
      <c r="B100" s="13" t="s">
        <v>34</v>
      </c>
      <c r="C100" s="13" t="s">
        <v>275</v>
      </c>
      <c r="D100" s="14" t="s">
        <v>276</v>
      </c>
      <c r="E100" s="13" t="s">
        <v>277</v>
      </c>
      <c r="F100" s="13" t="s">
        <v>277</v>
      </c>
      <c r="G100" s="13"/>
      <c r="H100" s="9" t="s">
        <v>173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13">
        <v>27.0</v>
      </c>
      <c r="B101" s="13" t="s">
        <v>34</v>
      </c>
      <c r="C101" s="13" t="s">
        <v>278</v>
      </c>
      <c r="D101" s="14" t="s">
        <v>279</v>
      </c>
      <c r="E101" s="13" t="s">
        <v>280</v>
      </c>
      <c r="F101" s="13" t="s">
        <v>280</v>
      </c>
      <c r="G101" s="13"/>
      <c r="H101" s="9" t="s">
        <v>173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3">
        <v>28.0</v>
      </c>
      <c r="B102" s="13" t="s">
        <v>34</v>
      </c>
      <c r="C102" s="13" t="s">
        <v>281</v>
      </c>
      <c r="D102" s="14" t="s">
        <v>282</v>
      </c>
      <c r="E102" s="18" t="s">
        <v>283</v>
      </c>
      <c r="F102" s="18" t="s">
        <v>283</v>
      </c>
      <c r="G102" s="13"/>
      <c r="H102" s="9" t="s">
        <v>173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13">
        <v>29.0</v>
      </c>
      <c r="B103" s="13" t="s">
        <v>34</v>
      </c>
      <c r="C103" s="13" t="s">
        <v>284</v>
      </c>
      <c r="D103" s="14" t="s">
        <v>285</v>
      </c>
      <c r="E103" s="13" t="s">
        <v>286</v>
      </c>
      <c r="F103" s="13" t="s">
        <v>286</v>
      </c>
      <c r="G103" s="13"/>
      <c r="H103" s="9" t="s">
        <v>118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3">
        <v>30.0</v>
      </c>
      <c r="B104" s="13" t="s">
        <v>34</v>
      </c>
      <c r="C104" s="13" t="s">
        <v>287</v>
      </c>
      <c r="D104" s="14" t="s">
        <v>288</v>
      </c>
      <c r="E104" s="18" t="s">
        <v>289</v>
      </c>
      <c r="F104" s="18" t="s">
        <v>289</v>
      </c>
      <c r="G104" s="13"/>
      <c r="H104" s="9" t="s">
        <v>118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13">
        <v>31.0</v>
      </c>
      <c r="B105" s="13" t="s">
        <v>34</v>
      </c>
      <c r="C105" s="13" t="s">
        <v>275</v>
      </c>
      <c r="D105" s="14" t="s">
        <v>290</v>
      </c>
      <c r="E105" s="13" t="s">
        <v>291</v>
      </c>
      <c r="F105" s="13" t="s">
        <v>291</v>
      </c>
      <c r="G105" s="13"/>
      <c r="H105" s="9" t="s">
        <v>118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3">
        <v>32.0</v>
      </c>
      <c r="B106" s="13" t="s">
        <v>34</v>
      </c>
      <c r="C106" s="13" t="s">
        <v>292</v>
      </c>
      <c r="D106" s="14" t="s">
        <v>293</v>
      </c>
      <c r="E106" s="13" t="s">
        <v>294</v>
      </c>
      <c r="F106" s="13" t="s">
        <v>294</v>
      </c>
      <c r="G106" s="13"/>
      <c r="H106" s="9" t="s">
        <v>143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13">
        <v>32.0</v>
      </c>
      <c r="B107" s="13" t="s">
        <v>34</v>
      </c>
      <c r="C107" s="13" t="s">
        <v>287</v>
      </c>
      <c r="D107" s="14" t="s">
        <v>295</v>
      </c>
      <c r="E107" s="18" t="s">
        <v>296</v>
      </c>
      <c r="F107" s="18" t="s">
        <v>296</v>
      </c>
      <c r="G107" s="13"/>
      <c r="H107" s="9" t="s">
        <v>143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13">
        <v>32.0</v>
      </c>
      <c r="B108" s="13" t="s">
        <v>34</v>
      </c>
      <c r="C108" s="13" t="s">
        <v>297</v>
      </c>
      <c r="D108" s="14" t="s">
        <v>298</v>
      </c>
      <c r="E108" s="18" t="s">
        <v>299</v>
      </c>
      <c r="F108" s="18" t="s">
        <v>299</v>
      </c>
      <c r="G108" s="13"/>
      <c r="H108" s="9" t="s">
        <v>143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13">
        <v>32.0</v>
      </c>
      <c r="B109" s="13" t="s">
        <v>34</v>
      </c>
      <c r="C109" s="13"/>
      <c r="D109" s="13"/>
      <c r="E109" s="13"/>
      <c r="F109" s="13"/>
      <c r="G109" s="13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3">
        <v>32.0</v>
      </c>
      <c r="B110" s="13" t="s">
        <v>34</v>
      </c>
      <c r="C110" s="13"/>
      <c r="D110" s="13"/>
      <c r="E110" s="13"/>
      <c r="F110" s="13"/>
      <c r="G110" s="13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13">
        <v>32.0</v>
      </c>
      <c r="B111" s="13" t="s">
        <v>34</v>
      </c>
      <c r="C111" s="13"/>
      <c r="D111" s="13"/>
      <c r="E111" s="13"/>
      <c r="F111" s="13"/>
      <c r="G111" s="13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13">
        <v>32.0</v>
      </c>
      <c r="B112" s="13" t="s">
        <v>34</v>
      </c>
      <c r="C112" s="13"/>
      <c r="D112" s="13"/>
      <c r="E112" s="13"/>
      <c r="F112" s="13"/>
      <c r="G112" s="13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13">
        <v>32.0</v>
      </c>
      <c r="B113" s="13" t="s">
        <v>34</v>
      </c>
      <c r="C113" s="13"/>
      <c r="D113" s="13"/>
      <c r="E113" s="13"/>
      <c r="F113" s="13"/>
      <c r="G113" s="13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13">
        <v>32.0</v>
      </c>
      <c r="B114" s="13" t="s">
        <v>34</v>
      </c>
      <c r="C114" s="13"/>
      <c r="D114" s="13"/>
      <c r="E114" s="13"/>
      <c r="F114" s="13"/>
      <c r="G114" s="13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13"/>
      <c r="B115" s="13"/>
      <c r="C115" s="13"/>
      <c r="D115" s="13"/>
      <c r="E115" s="13"/>
      <c r="F115" s="13"/>
      <c r="G115" s="13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13"/>
      <c r="B116" s="13"/>
      <c r="C116" s="13"/>
      <c r="D116" s="13"/>
      <c r="E116" s="13"/>
      <c r="F116" s="13"/>
      <c r="G116" s="13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13"/>
      <c r="B117" s="13"/>
      <c r="C117" s="13"/>
      <c r="D117" s="13"/>
      <c r="E117" s="13"/>
      <c r="F117" s="13"/>
      <c r="G117" s="13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13"/>
      <c r="B118" s="13"/>
      <c r="C118" s="13"/>
      <c r="D118" s="13"/>
      <c r="E118" s="13"/>
      <c r="F118" s="13"/>
      <c r="G118" s="13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13"/>
      <c r="B119" s="13"/>
      <c r="C119" s="13"/>
      <c r="D119" s="13"/>
      <c r="E119" s="13"/>
      <c r="F119" s="13"/>
      <c r="G119" s="13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25"/>
      <c r="B120" s="25"/>
      <c r="C120" s="25"/>
      <c r="D120" s="25"/>
      <c r="E120" s="25"/>
      <c r="F120" s="25"/>
      <c r="G120" s="25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25"/>
      <c r="B121" s="25"/>
      <c r="C121" s="25"/>
      <c r="D121" s="25"/>
      <c r="E121" s="25"/>
      <c r="F121" s="25"/>
      <c r="G121" s="25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25"/>
      <c r="B122" s="25"/>
      <c r="C122" s="25"/>
      <c r="D122" s="25"/>
      <c r="E122" s="25"/>
      <c r="F122" s="25"/>
      <c r="G122" s="25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25"/>
      <c r="B123" s="25"/>
      <c r="C123" s="25"/>
      <c r="D123" s="25"/>
      <c r="E123" s="25"/>
      <c r="F123" s="25"/>
      <c r="G123" s="25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25"/>
      <c r="B124" s="25"/>
      <c r="C124" s="25"/>
      <c r="D124" s="25"/>
      <c r="E124" s="25"/>
      <c r="F124" s="25"/>
      <c r="G124" s="25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</sheetData>
  <mergeCells count="2">
    <mergeCell ref="A1:G1"/>
    <mergeCell ref="A75:AB75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76"/>
    <hyperlink r:id="rId60" ref="D77"/>
    <hyperlink r:id="rId61" ref="D78"/>
    <hyperlink r:id="rId62" ref="D79"/>
    <hyperlink r:id="rId63" ref="D80"/>
    <hyperlink r:id="rId64" ref="D81"/>
    <hyperlink r:id="rId65" ref="D82"/>
    <hyperlink r:id="rId66" ref="D83"/>
    <hyperlink r:id="rId67" ref="D84"/>
    <hyperlink r:id="rId68" ref="D85"/>
    <hyperlink r:id="rId69" ref="D86"/>
    <hyperlink r:id="rId70" ref="D87"/>
    <hyperlink r:id="rId71" ref="D88"/>
    <hyperlink r:id="rId72" ref="D89"/>
    <hyperlink r:id="rId73" ref="D90"/>
    <hyperlink r:id="rId74" ref="D91"/>
    <hyperlink r:id="rId75" ref="D92"/>
    <hyperlink r:id="rId76" ref="D93"/>
    <hyperlink r:id="rId77" ref="D94"/>
    <hyperlink r:id="rId78" ref="D95"/>
    <hyperlink r:id="rId79" ref="D96"/>
    <hyperlink r:id="rId80" ref="D97"/>
    <hyperlink r:id="rId81" ref="D98"/>
    <hyperlink r:id="rId82" ref="D99"/>
    <hyperlink r:id="rId83" ref="D100"/>
    <hyperlink r:id="rId84" ref="D101"/>
    <hyperlink r:id="rId85" ref="D102"/>
    <hyperlink r:id="rId86" ref="D103"/>
    <hyperlink r:id="rId87" ref="D104"/>
    <hyperlink r:id="rId88" ref="D105"/>
    <hyperlink r:id="rId89" ref="D106"/>
    <hyperlink r:id="rId90" ref="D107"/>
    <hyperlink r:id="rId91" ref="D108"/>
  </hyperlinks>
  <drawing r:id="rId9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5.75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15.75" customHeight="1">
      <c r="A2" s="31" t="s">
        <v>300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5.7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58.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34" t="s">
        <v>308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6.0</v>
      </c>
      <c r="C6" s="38">
        <v>4.0</v>
      </c>
      <c r="D6" s="38">
        <v>2.0</v>
      </c>
      <c r="E6" s="38">
        <v>2.0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9" t="s">
        <v>309</v>
      </c>
      <c r="B8" s="40">
        <f>SUM(B6:B7)</f>
        <v>6</v>
      </c>
      <c r="C8" s="40">
        <f>SUM(C5:C7)</f>
        <v>4</v>
      </c>
      <c r="D8" s="40">
        <f>SUM(D6:D7)</f>
        <v>2</v>
      </c>
      <c r="E8" s="40">
        <f>SUM(E5:E7)</f>
        <v>2</v>
      </c>
      <c r="F8" s="40">
        <v>0.0</v>
      </c>
      <c r="G8" s="40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4" t="s">
        <v>310</v>
      </c>
      <c r="B9" s="35"/>
      <c r="C9" s="35"/>
      <c r="D9" s="35"/>
      <c r="E9" s="35"/>
      <c r="F9" s="35"/>
      <c r="G9" s="3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37" t="s">
        <v>40</v>
      </c>
      <c r="B10" s="38">
        <f>sum('T82024 BC ngày'!B18,'T82024 BC ngày'!B22,'T82024 BC ngày'!B26)</f>
        <v>11</v>
      </c>
      <c r="C10" s="38">
        <f>sum('T82024 BC ngày'!C18,'T82024 BC ngày'!C22,'T82024 BC ngày'!C26)</f>
        <v>9</v>
      </c>
      <c r="D10" s="38">
        <f>sum('T82024 BC ngày'!D18,'T82024 BC ngày'!D22,'T82024 BC ngày'!D26)</f>
        <v>5</v>
      </c>
      <c r="E10" s="38">
        <f>sum('T82024 BC ngày'!E18,'T82024 BC ngày'!E22,'T82024 BC ngày'!E26)</f>
        <v>5</v>
      </c>
      <c r="F10" s="38">
        <v>3.0</v>
      </c>
      <c r="G10" s="38">
        <v>0.0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34</v>
      </c>
      <c r="B11" s="38">
        <v>1.0</v>
      </c>
      <c r="C11" s="38">
        <v>1.0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9" t="s">
        <v>309</v>
      </c>
      <c r="B12" s="40">
        <f>SUM(B10:B11)</f>
        <v>12</v>
      </c>
      <c r="C12" s="40">
        <f>SUM(C9:C11)</f>
        <v>10</v>
      </c>
      <c r="D12" s="40">
        <f>SUM(D10:D11)</f>
        <v>5</v>
      </c>
      <c r="E12" s="40">
        <f>SUM(E9:E11)</f>
        <v>5</v>
      </c>
      <c r="F12" s="40">
        <f>SUM(F10:F11)</f>
        <v>3</v>
      </c>
      <c r="G12" s="40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4" t="s">
        <v>311</v>
      </c>
      <c r="B13" s="35"/>
      <c r="C13" s="35"/>
      <c r="D13" s="35"/>
      <c r="E13" s="35"/>
      <c r="F13" s="35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7" t="s">
        <v>40</v>
      </c>
      <c r="B14" s="38">
        <f>SUM('T92024 BC ngày'!B6,'T92024 BC ngày'!B10,'T92024 BC ngày'!B14)</f>
        <v>16</v>
      </c>
      <c r="C14" s="38">
        <f>SUM('T92024 BC ngày'!C6,'T92024 BC ngày'!C10,'T92024 BC ngày'!C14,)</f>
        <v>12</v>
      </c>
      <c r="D14" s="38">
        <f>SUM('T92024 BC ngày'!D6,'T92024 BC ngày'!D10,'T92024 BC ngày'!D14,)</f>
        <v>4</v>
      </c>
      <c r="E14" s="38">
        <f>SUM('T92024 BC ngày'!E6,'T92024 BC ngày'!E10,'T92024 BC ngày'!E14)</f>
        <v>3</v>
      </c>
      <c r="F14" s="38">
        <f>SUM('T92024 BC ngày'!F6,'T92024 BC ngày'!F10,'T92024 BC ngày'!F14,)</f>
        <v>4</v>
      </c>
      <c r="G14" s="38">
        <f>SUM('T92024 BC ngày'!G6,'T92024 BC ngày'!G10,'T92024 BC ngày'!G14)</f>
        <v>3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37" t="s">
        <v>34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f>SUM('T92024 BC ngày'!G7,'T92024 BC ngày'!G11,'T92024 BC ngày'!G15)</f>
        <v>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9" t="s">
        <v>309</v>
      </c>
      <c r="B16" s="40">
        <v>0.0</v>
      </c>
      <c r="C16" s="40">
        <f>SUM(C13:C15)</f>
        <v>12</v>
      </c>
      <c r="D16" s="40">
        <v>0.0</v>
      </c>
      <c r="E16" s="40">
        <f>SUM(E13:E15)</f>
        <v>3</v>
      </c>
      <c r="F16" s="40">
        <f t="shared" ref="F16:G16" si="1">SUM(F14:F15)</f>
        <v>4</v>
      </c>
      <c r="G16" s="40">
        <f t="shared" si="1"/>
        <v>3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4" t="s">
        <v>312</v>
      </c>
      <c r="B17" s="35"/>
      <c r="C17" s="35"/>
      <c r="D17" s="35"/>
      <c r="E17" s="35"/>
      <c r="F17" s="35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40</v>
      </c>
      <c r="B18" s="38">
        <f>SUM('T92024 BC ngày'!B18,'T92024 BC ngày'!B22,'T92024 BC ngày'!B26)</f>
        <v>18</v>
      </c>
      <c r="C18" s="38">
        <f>SUM('T92024 BC ngày'!C18,'T92024 BC ngày'!C22,'T92024 BC ngày'!C26)</f>
        <v>15</v>
      </c>
      <c r="D18" s="38">
        <f>SUM('T92024 BC ngày'!D18,'T92024 BC ngày'!D22,'T92024 BC ngày'!D26)</f>
        <v>3</v>
      </c>
      <c r="E18" s="38">
        <f>SUM('T92024 BC ngày'!E18,'T92024 BC ngày'!E22,'T92024 BC ngày'!E26)</f>
        <v>3</v>
      </c>
      <c r="F18" s="38">
        <f>SUM('T92024 BC ngày'!F18,'T92024 BC ngày'!F22,'T92024 BC ngày'!F26)</f>
        <v>4</v>
      </c>
      <c r="G18" s="38">
        <f>SUM('T92024 BC ngày'!G18,'T92024 BC ngày'!G22,'T92024 BC ngày'!G26)</f>
        <v>4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7" t="s">
        <v>34</v>
      </c>
      <c r="B19" s="38">
        <f>SUM('T92024 BC ngày'!B19,'T92024 BC ngày'!B23,'T92024 BC ngày'!B27)</f>
        <v>5</v>
      </c>
      <c r="C19" s="38">
        <f>SUM('T92024 BC ngày'!C19,'T92024 BC ngày'!C23,'T92024 BC ngày'!C27)</f>
        <v>5</v>
      </c>
      <c r="D19" s="38">
        <f>SUM('T92024 BC ngày'!D19,'T92024 BC ngày'!D23,'T92024 BC ngày'!D27)</f>
        <v>0</v>
      </c>
      <c r="E19" s="38">
        <f>SUM('T92024 BC ngày'!E19,'T92024 BC ngày'!E23,'T92024 BC ngày'!E27)</f>
        <v>0</v>
      </c>
      <c r="F19" s="38">
        <f>SUM('T92024 BC ngày'!F19,'T92024 BC ngày'!F23,'T92024 BC ngày'!F27)</f>
        <v>0</v>
      </c>
      <c r="G19" s="38">
        <f>SUM('T92024 BC ngày'!G19,'T92024 BC ngày'!G23,'T92024 BC ngày'!G27)</f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39" t="s">
        <v>309</v>
      </c>
      <c r="B20" s="40">
        <f>SUM(B18:B19)</f>
        <v>23</v>
      </c>
      <c r="C20" s="40">
        <f>SUM(C17:C19)</f>
        <v>20</v>
      </c>
      <c r="D20" s="40">
        <f t="shared" ref="D20:G20" si="2">SUM(D18:D19)</f>
        <v>3</v>
      </c>
      <c r="E20" s="40">
        <f t="shared" si="2"/>
        <v>3</v>
      </c>
      <c r="F20" s="40">
        <f t="shared" si="2"/>
        <v>4</v>
      </c>
      <c r="G20" s="40">
        <f t="shared" si="2"/>
        <v>4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4" t="s">
        <v>313</v>
      </c>
      <c r="B21" s="35"/>
      <c r="C21" s="35"/>
      <c r="D21" s="35"/>
      <c r="E21" s="35"/>
      <c r="F21" s="35"/>
      <c r="G21" s="36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40</v>
      </c>
      <c r="B22" s="38">
        <f>'T92024 BC ngày'!B30+'T92024 BC ngày'!B34+'T92024 BC ngày'!B38</f>
        <v>22</v>
      </c>
      <c r="C22" s="38">
        <f>'T92024 BC ngày'!C30+'T92024 BC ngày'!C34+'T92024 BC ngày'!C38</f>
        <v>16</v>
      </c>
      <c r="D22" s="38">
        <f>'T92024 BC ngày'!D30+'T92024 BC ngày'!D34+'T92024 BC ngày'!D38</f>
        <v>6</v>
      </c>
      <c r="E22" s="38">
        <f>'T92024 BC ngày'!E30+'T92024 BC ngày'!E34+'T92024 BC ngày'!E38</f>
        <v>5</v>
      </c>
      <c r="F22" s="38">
        <f>'T92024 BC ngày'!F30+'T92024 BC ngày'!F34+'T92024 BC ngày'!F38</f>
        <v>3</v>
      </c>
      <c r="G22" s="38">
        <f>'T92024 BC ngày'!G30+'T92024 BC ngày'!G34+'T92024 BC ngày'!G38</f>
        <v>3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34</v>
      </c>
      <c r="B23" s="38">
        <f>'T92024 BC ngày'!B31+'T92024 BC ngày'!B35+'T92024 BC ngày'!B39</f>
        <v>0</v>
      </c>
      <c r="C23" s="38">
        <f>'T92024 BC ngày'!C31+'T92024 BC ngày'!C35+'T92024 BC ngày'!C39</f>
        <v>0</v>
      </c>
      <c r="D23" s="38">
        <f>'T92024 BC ngày'!D31+'T92024 BC ngày'!D35+'T92024 BC ngày'!D39</f>
        <v>0</v>
      </c>
      <c r="E23" s="38">
        <f>'T92024 BC ngày'!E31+'T92024 BC ngày'!E35+'T92024 BC ngày'!E39</f>
        <v>0</v>
      </c>
      <c r="F23" s="38">
        <f>'T92024 BC ngày'!F31+'T92024 BC ngày'!F35+'T92024 BC ngày'!F39</f>
        <v>0</v>
      </c>
      <c r="G23" s="38">
        <f>'T92024 BC ngày'!G31+'T92024 BC ngày'!G35+'T92024 BC ngày'!G39</f>
        <v>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>'T92024 BC ngày'!B32+'T92024 BC ngày'!B36+'T92024 BC ngày'!B40</f>
        <v>22</v>
      </c>
      <c r="C24" s="38">
        <f>'T92024 BC ngày'!C32+'T92024 BC ngày'!C36+'T92024 BC ngày'!C40</f>
        <v>16</v>
      </c>
      <c r="D24" s="40">
        <f>'T92024 BC ngày'!D32+'T92024 BC ngày'!D36+'T92024 BC ngày'!D40</f>
        <v>6</v>
      </c>
      <c r="E24" s="40">
        <f>'T92024 BC ngày'!E32+'T92024 BC ngày'!E36+'T92024 BC ngày'!E40</f>
        <v>5</v>
      </c>
      <c r="F24" s="40">
        <f>'T92024 BC ngày'!F32+'T92024 BC ngày'!F36+'T92024 BC ngày'!F40</f>
        <v>3</v>
      </c>
      <c r="G24" s="40">
        <f>'T92024 BC ngày'!G32+'T92024 BC ngày'!G36+'T92024 BC ngày'!G40</f>
        <v>3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34" t="s">
        <v>314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f>SUM('T92024 BC ngày'!B42,'T92024 BC ngày'!B46,'T92024 BC ngày'!B50)</f>
        <v>9</v>
      </c>
      <c r="C26" s="38">
        <f>SUM('T92024 BC ngày'!C42,'T92024 BC ngày'!C46,'T92024 BC ngày'!C50)</f>
        <v>7</v>
      </c>
      <c r="D26" s="38">
        <f>SUM('T92024 BC ngày'!D42,'T92024 BC ngày'!D46,'T92024 BC ngày'!D50)</f>
        <v>5</v>
      </c>
      <c r="E26" s="38">
        <f>SUM('T92024 BC ngày'!E42,'T92024 BC ngày'!E46,'T92024 BC ngày'!E50)</f>
        <v>4</v>
      </c>
      <c r="F26" s="38">
        <f>SUM('T92024 BC ngày'!F42,'T92024 BC ngày'!F46,'T92024 BC ngày'!F50)</f>
        <v>3</v>
      </c>
      <c r="G26" s="38">
        <f>SUM('T92024 BC ngày'!G42,'T92024 BC ngày'!G46,'T92024 BC ngày'!G50)</f>
        <v>3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f>SUM('T92024 BC ngày'!B43,'T92024 BC ngày'!B47,'T92024 BC ngày'!B51)</f>
        <v>7</v>
      </c>
      <c r="C27" s="38">
        <f>SUM('T92024 BC ngày'!C43,'T92024 BC ngày'!C47,'T92024 BC ngày'!C51)</f>
        <v>6</v>
      </c>
      <c r="D27" s="38">
        <f>SUM('T92024 BC ngày'!D43,'T92024 BC ngày'!D47,'T92024 BC ngày'!D51)</f>
        <v>0</v>
      </c>
      <c r="E27" s="38">
        <f>SUM('T92024 BC ngày'!E43,'T92024 BC ngày'!E47,'T92024 BC ngày'!E51)</f>
        <v>0</v>
      </c>
      <c r="F27" s="38">
        <f>SUM('T92024 BC ngày'!F43,'T92024 BC ngày'!F47,'T92024 BC ngày'!F51)</f>
        <v>0</v>
      </c>
      <c r="G27" s="38">
        <f>SUM('T92024 BC ngày'!G43,'T92024 BC ngày'!G47,'T92024 BC ngày'!G51)</f>
        <v>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9" t="s">
        <v>309</v>
      </c>
      <c r="B28" s="40">
        <f>SUM('T92024 BC ngày'!B44,'T92024 BC ngày'!B48,'T92024 BC ngày'!B52)</f>
        <v>16</v>
      </c>
      <c r="C28" s="40">
        <f>SUM('T92024 BC ngày'!C44,'T92024 BC ngày'!C48,'T92024 BC ngày'!C52)</f>
        <v>13</v>
      </c>
      <c r="D28" s="40">
        <f>SUM('T92024 BC ngày'!D44,'T92024 BC ngày'!D48,'T92024 BC ngày'!D52)</f>
        <v>5</v>
      </c>
      <c r="E28" s="40">
        <f>SUM('T92024 BC ngày'!E44,'T92024 BC ngày'!E48,'T92024 BC ngày'!E52)</f>
        <v>4</v>
      </c>
      <c r="F28" s="40">
        <f>SUM('T92024 BC ngày'!F44,'T92024 BC ngày'!F48,'T92024 BC ngày'!F52)</f>
        <v>3</v>
      </c>
      <c r="G28" s="40">
        <f>SUM('T92024 BC ngày'!G44,'T92024 BC ngày'!G48,'T92024 BC ngày'!G52)</f>
        <v>3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4" t="s">
        <v>315</v>
      </c>
      <c r="B29" s="35"/>
      <c r="C29" s="35"/>
      <c r="D29" s="35"/>
      <c r="E29" s="35"/>
      <c r="F29" s="35"/>
      <c r="G29" s="36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37" t="s">
        <v>40</v>
      </c>
      <c r="B30" s="38">
        <f>SUM('T102024 BC ngày'!B6,'T102024 BC ngày'!B10,'T102024 BC ngày'!B14,'T102024 BC ngày'!B18)</f>
        <v>15</v>
      </c>
      <c r="C30" s="38">
        <f>SUM('T102024 BC ngày'!C6,'T102024 BC ngày'!C10,'T102024 BC ngày'!C14,'T102024 BC ngày'!C18)</f>
        <v>13</v>
      </c>
      <c r="D30" s="38">
        <f>SUM('T102024 BC ngày'!D6,'T102024 BC ngày'!D10,'T102024 BC ngày'!D14,'T102024 BC ngày'!D18)</f>
        <v>1</v>
      </c>
      <c r="E30" s="38">
        <f>SUM('T102024 BC ngày'!E6,'T102024 BC ngày'!E10,'T102024 BC ngày'!E14,'T102024 BC ngày'!E18)</f>
        <v>0</v>
      </c>
      <c r="F30" s="38">
        <f>SUM('T102024 BC ngày'!F6,'T102024 BC ngày'!F10,'T102024 BC ngày'!F14,'T102024 BC ngày'!F18)</f>
        <v>3</v>
      </c>
      <c r="G30" s="38">
        <f>SUM('T102024 BC ngày'!G6,'T102024 BC ngày'!G10,'T102024 BC ngày'!G14,'T102024 BC ngày'!G18)</f>
        <v>2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34</v>
      </c>
      <c r="B31" s="38">
        <f>SUM('T102024 BC ngày'!B7,'T102024 BC ngày'!B11,'T102024 BC ngày'!B15,'T102024 BC ngày'!B19)</f>
        <v>1</v>
      </c>
      <c r="C31" s="38">
        <f>SUM('T102024 BC ngày'!C7,'T102024 BC ngày'!C11,'T102024 BC ngày'!C15,'T102024 BC ngày'!C19)</f>
        <v>1</v>
      </c>
      <c r="D31" s="38">
        <f>SUM('T102024 BC ngày'!D7,'T102024 BC ngày'!D11,'T102024 BC ngày'!D15,'T102024 BC ngày'!D19)</f>
        <v>0</v>
      </c>
      <c r="E31" s="38">
        <f>SUM('T102024 BC ngày'!E7,'T102024 BC ngày'!E11,'T102024 BC ngày'!E15,'T102024 BC ngày'!E19)</f>
        <v>0</v>
      </c>
      <c r="F31" s="38">
        <f>SUM('T102024 BC ngày'!F7,'T102024 BC ngày'!F11,'T102024 BC ngày'!F15,'T102024 BC ngày'!F19)</f>
        <v>0</v>
      </c>
      <c r="G31" s="38">
        <f>SUM('T102024 BC ngày'!G7,'T102024 BC ngày'!G11,'T102024 BC ngày'!G15,'T102024 BC ngày'!G19)</f>
        <v>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9" t="s">
        <v>309</v>
      </c>
      <c r="B32" s="40">
        <f t="shared" ref="B32:G32" si="3">SUM(B30:B31)</f>
        <v>16</v>
      </c>
      <c r="C32" s="40">
        <f t="shared" si="3"/>
        <v>14</v>
      </c>
      <c r="D32" s="40">
        <f t="shared" si="3"/>
        <v>1</v>
      </c>
      <c r="E32" s="40">
        <f t="shared" si="3"/>
        <v>0</v>
      </c>
      <c r="F32" s="40">
        <f t="shared" si="3"/>
        <v>3</v>
      </c>
      <c r="G32" s="40">
        <f t="shared" si="3"/>
        <v>2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5.75" customHeight="1">
      <c r="A33" s="34" t="s">
        <v>316</v>
      </c>
      <c r="B33" s="35"/>
      <c r="C33" s="35"/>
      <c r="D33" s="35"/>
      <c r="E33" s="35"/>
      <c r="F33" s="35"/>
      <c r="G33" s="36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5.75" customHeight="1">
      <c r="A34" s="37" t="s">
        <v>40</v>
      </c>
      <c r="B34" s="38">
        <f>SUM('T102024 BC ngày'!B22,'T102024 BC ngày'!B26)</f>
        <v>19</v>
      </c>
      <c r="C34" s="38">
        <f>SUM('T102024 BC ngày'!C22,'T102024 BC ngày'!C26)</f>
        <v>8</v>
      </c>
      <c r="D34" s="38">
        <f>SUM('T102024 BC ngày'!D22,'T102024 BC ngày'!D26)</f>
        <v>0</v>
      </c>
      <c r="E34" s="38">
        <f>SUM('T102024 BC ngày'!E22,'T102024 BC ngày'!E26)</f>
        <v>0</v>
      </c>
      <c r="F34" s="38">
        <f>SUM('T102024 BC ngày'!F22,'T102024 BC ngày'!F26)</f>
        <v>2</v>
      </c>
      <c r="G34" s="38">
        <f>SUM('T102024 BC ngày'!G22,'T102024 BC ngày'!G26)</f>
        <v>3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5.75" customHeight="1">
      <c r="A35" s="37" t="s">
        <v>34</v>
      </c>
      <c r="B35" s="38">
        <f>SUM('T102024 BC ngày'!B23,'T102024 BC ngày'!B27)</f>
        <v>1</v>
      </c>
      <c r="C35" s="38">
        <f>SUM('T102024 BC ngày'!C23,'T102024 BC ngày'!C27)</f>
        <v>1</v>
      </c>
      <c r="D35" s="38">
        <f>SUM('T102024 BC ngày'!D23,'T102024 BC ngày'!D27)</f>
        <v>0</v>
      </c>
      <c r="E35" s="38">
        <f>SUM('T102024 BC ngày'!E23,'T102024 BC ngày'!E27)</f>
        <v>0</v>
      </c>
      <c r="F35" s="38">
        <f>SUM('T102024 BC ngày'!F23,'T102024 BC ngày'!F27)</f>
        <v>0</v>
      </c>
      <c r="G35" s="38">
        <f>SUM('T102024 BC ngày'!G23,'T102024 BC ngày'!G27)</f>
        <v>0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5.75" customHeight="1">
      <c r="A36" s="39" t="s">
        <v>309</v>
      </c>
      <c r="B36" s="40">
        <f t="shared" ref="B36:G36" si="4">SUM(B34:B35)</f>
        <v>20</v>
      </c>
      <c r="C36" s="40">
        <f t="shared" si="4"/>
        <v>9</v>
      </c>
      <c r="D36" s="40">
        <f t="shared" si="4"/>
        <v>0</v>
      </c>
      <c r="E36" s="40">
        <f t="shared" si="4"/>
        <v>0</v>
      </c>
      <c r="F36" s="40">
        <f t="shared" si="4"/>
        <v>2</v>
      </c>
      <c r="G36" s="40">
        <f t="shared" si="4"/>
        <v>3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5.75" customHeight="1">
      <c r="A37" s="34" t="s">
        <v>317</v>
      </c>
      <c r="B37" s="35"/>
      <c r="C37" s="35"/>
      <c r="D37" s="35"/>
      <c r="E37" s="35"/>
      <c r="F37" s="35"/>
      <c r="G37" s="36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5.75" customHeight="1">
      <c r="A38" s="37" t="s">
        <v>40</v>
      </c>
      <c r="B38" s="38">
        <f>SUM('T102024 BC ngày'!B30,'T102024 BC ngày'!B34,'T102024 BC ngày'!B38)</f>
        <v>14</v>
      </c>
      <c r="C38" s="38">
        <f>SUM('T102024 BC ngày'!C30,'T102024 BC ngày'!C34,'T102024 BC ngày'!C38)</f>
        <v>6</v>
      </c>
      <c r="D38" s="38">
        <f>SUM('T102024 BC ngày'!D30,'T102024 BC ngày'!D34,'T102024 BC ngày'!D38)</f>
        <v>0</v>
      </c>
      <c r="E38" s="38">
        <f>SUM('T102024 BC ngày'!E30,'T102024 BC ngày'!E34,'T102024 BC ngày'!E38)</f>
        <v>0</v>
      </c>
      <c r="F38" s="38">
        <f>SUM('T102024 BC ngày'!F30,'T102024 BC ngày'!F34,'T102024 BC ngày'!F38)</f>
        <v>0</v>
      </c>
      <c r="G38" s="38">
        <f>SUM('T102024 BC ngày'!G30,'T102024 BC ngày'!G34,'T102024 BC ngày'!G38)</f>
        <v>1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5.75" customHeight="1">
      <c r="A39" s="37" t="s">
        <v>34</v>
      </c>
      <c r="B39" s="38">
        <f>SUM('T102024 BC ngày'!B31,'T102024 BC ngày'!B35,'T102024 BC ngày'!B39)</f>
        <v>0</v>
      </c>
      <c r="C39" s="38">
        <f>SUM('T102024 BC ngày'!C31,'T102024 BC ngày'!C35,'T102024 BC ngày'!C39)</f>
        <v>0</v>
      </c>
      <c r="D39" s="38">
        <f>SUM('T102024 BC ngày'!D31,'T102024 BC ngày'!D35,'T102024 BC ngày'!D39)</f>
        <v>0</v>
      </c>
      <c r="E39" s="38">
        <f>SUM('T102024 BC ngày'!E31,'T102024 BC ngày'!E35,'T102024 BC ngày'!E39)</f>
        <v>0</v>
      </c>
      <c r="F39" s="38">
        <f>SUM('T102024 BC ngày'!F31,'T102024 BC ngày'!F35,'T102024 BC ngày'!F39)</f>
        <v>0</v>
      </c>
      <c r="G39" s="38">
        <f>SUM('T102024 BC ngày'!G31,'T102024 BC ngày'!G35,'T102024 BC ngày'!G39)</f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5.75" customHeight="1">
      <c r="A40" s="39" t="s">
        <v>309</v>
      </c>
      <c r="B40" s="40">
        <f t="shared" ref="B40:G40" si="5">SUM(B38:B39)</f>
        <v>14</v>
      </c>
      <c r="C40" s="40">
        <f t="shared" si="5"/>
        <v>6</v>
      </c>
      <c r="D40" s="40">
        <f t="shared" si="5"/>
        <v>0</v>
      </c>
      <c r="E40" s="40">
        <f t="shared" si="5"/>
        <v>0</v>
      </c>
      <c r="F40" s="40">
        <f t="shared" si="5"/>
        <v>0</v>
      </c>
      <c r="G40" s="40">
        <f t="shared" si="5"/>
        <v>1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5.75" customHeight="1">
      <c r="A41" s="34" t="s">
        <v>318</v>
      </c>
      <c r="B41" s="35"/>
      <c r="C41" s="35"/>
      <c r="D41" s="35"/>
      <c r="E41" s="35"/>
      <c r="F41" s="35"/>
      <c r="G41" s="36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5.75" customHeight="1">
      <c r="A42" s="37" t="s">
        <v>40</v>
      </c>
      <c r="B42" s="38">
        <f>SUM('T102024 BC ngày'!B42,'T102024 BC ngày'!B46,'T102024 BC ngày'!B50)</f>
        <v>8</v>
      </c>
      <c r="C42" s="38">
        <f>SUM('T102024 BC ngày'!C42,'T102024 BC ngày'!C46,'T102024 BC ngày'!C50)</f>
        <v>6</v>
      </c>
      <c r="D42" s="38">
        <f>SUM('T102024 BC ngày'!D42,'T102024 BC ngày'!D46,'T102024 BC ngày'!D50)</f>
        <v>0</v>
      </c>
      <c r="E42" s="38">
        <f>SUM('T102024 BC ngày'!E42,'T102024 BC ngày'!E46,'T102024 BC ngày'!E50)</f>
        <v>0</v>
      </c>
      <c r="F42" s="38">
        <f>SUM('T102024 BC ngày'!F42,'T102024 BC ngày'!F46,'T102024 BC ngày'!F50)</f>
        <v>0</v>
      </c>
      <c r="G42" s="38">
        <f>SUM('T102024 BC ngày'!G42,'T102024 BC ngày'!G46,'T102024 BC ngày'!G50)</f>
        <v>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5.75" customHeight="1">
      <c r="A43" s="37" t="s">
        <v>34</v>
      </c>
      <c r="B43" s="38">
        <f>SUM('T102024 BC ngày'!B43,'T102024 BC ngày'!B47,'T102024 BC ngày'!B51)</f>
        <v>0</v>
      </c>
      <c r="C43" s="38">
        <f>SUM('T102024 BC ngày'!C43,'T102024 BC ngày'!C47,'T102024 BC ngày'!C51)</f>
        <v>0</v>
      </c>
      <c r="D43" s="38">
        <f>SUM('T102024 BC ngày'!D43,'T102024 BC ngày'!D47,'T102024 BC ngày'!D51)</f>
        <v>0</v>
      </c>
      <c r="E43" s="38">
        <f>SUM('T102024 BC ngày'!E43,'T102024 BC ngày'!E47,'T102024 BC ngày'!E51)</f>
        <v>0</v>
      </c>
      <c r="F43" s="38">
        <f>SUM('T102024 BC ngày'!F43,'T102024 BC ngày'!F47,'T102024 BC ngày'!F51)</f>
        <v>0</v>
      </c>
      <c r="G43" s="38">
        <f>SUM('T102024 BC ngày'!G43,'T102024 BC ngày'!G47,'T102024 BC ngày'!G51)</f>
        <v>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5.75" customHeight="1">
      <c r="A44" s="39" t="s">
        <v>309</v>
      </c>
      <c r="B44" s="40">
        <f t="shared" ref="B44:G44" si="6">SUM(B42:B43)</f>
        <v>8</v>
      </c>
      <c r="C44" s="40">
        <f t="shared" si="6"/>
        <v>6</v>
      </c>
      <c r="D44" s="40">
        <f t="shared" si="6"/>
        <v>0</v>
      </c>
      <c r="E44" s="40">
        <f t="shared" si="6"/>
        <v>0</v>
      </c>
      <c r="F44" s="40">
        <f t="shared" si="6"/>
        <v>0</v>
      </c>
      <c r="G44" s="40">
        <f t="shared" si="6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5.75" customHeight="1">
      <c r="A45" s="34" t="s">
        <v>319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5.75" customHeight="1">
      <c r="A46" s="37" t="s">
        <v>40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5.75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5.75" customHeight="1">
      <c r="A48" s="39" t="s">
        <v>309</v>
      </c>
      <c r="B48" s="40">
        <v>0.0</v>
      </c>
      <c r="C48" s="40">
        <f>SUM(C45:C47)</f>
        <v>0</v>
      </c>
      <c r="D48" s="40">
        <v>0.0</v>
      </c>
      <c r="E48" s="40">
        <f>SUM(E45:E47)</f>
        <v>0</v>
      </c>
      <c r="F48" s="40">
        <v>0.0</v>
      </c>
      <c r="G48" s="40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5.75" customHeight="1">
      <c r="A49" s="34" t="s">
        <v>320</v>
      </c>
      <c r="B49" s="35"/>
      <c r="C49" s="35"/>
      <c r="D49" s="35"/>
      <c r="E49" s="35"/>
      <c r="F49" s="35"/>
      <c r="G49" s="36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5.75" customHeight="1">
      <c r="A50" s="37" t="s">
        <v>40</v>
      </c>
      <c r="B50" s="38">
        <v>0.0</v>
      </c>
      <c r="C50" s="38">
        <v>0.0</v>
      </c>
      <c r="D50" s="38">
        <v>0.0</v>
      </c>
      <c r="E50" s="38">
        <v>0.0</v>
      </c>
      <c r="F50" s="38">
        <v>0.0</v>
      </c>
      <c r="G50" s="38">
        <v>0.0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5.75" customHeight="1">
      <c r="A51" s="37" t="s">
        <v>34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5.75" customHeight="1">
      <c r="A52" s="39" t="s">
        <v>309</v>
      </c>
      <c r="B52" s="40">
        <v>0.0</v>
      </c>
      <c r="C52" s="40">
        <f>SUM(C49:C51)</f>
        <v>0</v>
      </c>
      <c r="D52" s="40">
        <v>0.0</v>
      </c>
      <c r="E52" s="40">
        <f>SUM(E49:E51)</f>
        <v>0</v>
      </c>
      <c r="F52" s="40">
        <v>0.0</v>
      </c>
      <c r="G52" s="40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5.75" customHeight="1">
      <c r="A53" s="34" t="s">
        <v>321</v>
      </c>
      <c r="B53" s="35"/>
      <c r="C53" s="35"/>
      <c r="D53" s="35"/>
      <c r="E53" s="35"/>
      <c r="F53" s="35"/>
      <c r="G53" s="36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5.75" customHeight="1">
      <c r="A54" s="37" t="s">
        <v>40</v>
      </c>
      <c r="B54" s="38">
        <v>0.0</v>
      </c>
      <c r="C54" s="38">
        <v>0.0</v>
      </c>
      <c r="D54" s="38">
        <v>0.0</v>
      </c>
      <c r="E54" s="38">
        <v>0.0</v>
      </c>
      <c r="F54" s="38">
        <v>0.0</v>
      </c>
      <c r="G54" s="38">
        <v>0.0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5.75" customHeight="1">
      <c r="A55" s="37" t="s">
        <v>34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5.75" customHeight="1">
      <c r="A56" s="39" t="s">
        <v>309</v>
      </c>
      <c r="B56" s="40">
        <v>0.0</v>
      </c>
      <c r="C56" s="40">
        <f>SUM(C53:C55)</f>
        <v>0</v>
      </c>
      <c r="D56" s="40">
        <v>0.0</v>
      </c>
      <c r="E56" s="40">
        <f>SUM(E53:E55)</f>
        <v>0</v>
      </c>
      <c r="F56" s="40">
        <v>0.0</v>
      </c>
      <c r="G56" s="40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5.75" customHeight="1">
      <c r="A57" s="34" t="s">
        <v>322</v>
      </c>
      <c r="B57" s="35"/>
      <c r="C57" s="35"/>
      <c r="D57" s="35"/>
      <c r="E57" s="35"/>
      <c r="F57" s="35"/>
      <c r="G57" s="36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5.75" customHeight="1">
      <c r="A58" s="37" t="s">
        <v>40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5.75" customHeight="1">
      <c r="A59" s="37" t="s">
        <v>34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5.75" customHeight="1">
      <c r="A60" s="39" t="s">
        <v>309</v>
      </c>
      <c r="B60" s="40">
        <v>0.0</v>
      </c>
      <c r="C60" s="40">
        <f>SUM(C57:C59)</f>
        <v>0</v>
      </c>
      <c r="D60" s="40">
        <v>0.0</v>
      </c>
      <c r="E60" s="40">
        <f>SUM(E57:E59)</f>
        <v>0</v>
      </c>
      <c r="F60" s="40">
        <v>0.0</v>
      </c>
      <c r="G60" s="40">
        <v>0.0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5.75" customHeight="1">
      <c r="A61" s="34" t="s">
        <v>323</v>
      </c>
      <c r="B61" s="35"/>
      <c r="C61" s="35"/>
      <c r="D61" s="35"/>
      <c r="E61" s="35"/>
      <c r="F61" s="35"/>
      <c r="G61" s="36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5.75" customHeight="1">
      <c r="A62" s="37" t="s">
        <v>40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5.75" customHeight="1">
      <c r="A63" s="37" t="s">
        <v>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5.75" customHeight="1">
      <c r="A64" s="39" t="s">
        <v>309</v>
      </c>
      <c r="B64" s="40">
        <v>0.0</v>
      </c>
      <c r="C64" s="40">
        <f>SUM(C61:C63)</f>
        <v>0</v>
      </c>
      <c r="D64" s="40">
        <v>0.0</v>
      </c>
      <c r="E64" s="40">
        <f>SUM(E61:E63)</f>
        <v>0</v>
      </c>
      <c r="F64" s="40">
        <v>0.0</v>
      </c>
      <c r="G64" s="40">
        <v>0.0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5.75" customHeight="1">
      <c r="A65" s="34" t="s">
        <v>324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5.75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5.75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5.75" customHeight="1">
      <c r="A68" s="39" t="s">
        <v>309</v>
      </c>
      <c r="B68" s="40">
        <v>0.0</v>
      </c>
      <c r="C68" s="40">
        <f>SUM(C65:C67)</f>
        <v>0</v>
      </c>
      <c r="D68" s="40">
        <v>0.0</v>
      </c>
      <c r="E68" s="40">
        <f>SUM(E65:E67)</f>
        <v>0</v>
      </c>
      <c r="F68" s="40">
        <v>0.0</v>
      </c>
      <c r="G68" s="40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5.75" customHeight="1">
      <c r="A69" s="34" t="s">
        <v>325</v>
      </c>
      <c r="B69" s="35"/>
      <c r="C69" s="35"/>
      <c r="D69" s="35"/>
      <c r="E69" s="35"/>
      <c r="F69" s="35"/>
      <c r="G69" s="36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5.75" customHeight="1">
      <c r="A70" s="37" t="s">
        <v>40</v>
      </c>
      <c r="B70" s="38">
        <v>0.0</v>
      </c>
      <c r="C70" s="38">
        <v>0.0</v>
      </c>
      <c r="D70" s="38">
        <v>0.0</v>
      </c>
      <c r="E70" s="38">
        <v>0.0</v>
      </c>
      <c r="F70" s="38">
        <v>0.0</v>
      </c>
      <c r="G70" s="38">
        <v>0.0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5.75" customHeight="1">
      <c r="A71" s="37" t="s">
        <v>34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5.75" customHeight="1">
      <c r="A72" s="39" t="s">
        <v>309</v>
      </c>
      <c r="B72" s="40">
        <v>0.0</v>
      </c>
      <c r="C72" s="40">
        <f>SUM(C69:C71)</f>
        <v>0</v>
      </c>
      <c r="D72" s="40">
        <v>0.0</v>
      </c>
      <c r="E72" s="40">
        <f>SUM(E69:E71)</f>
        <v>0</v>
      </c>
      <c r="F72" s="40">
        <v>0.0</v>
      </c>
      <c r="G72" s="40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5.75" customHeight="1">
      <c r="A73" s="34" t="s">
        <v>326</v>
      </c>
      <c r="B73" s="35"/>
      <c r="C73" s="35"/>
      <c r="D73" s="35"/>
      <c r="E73" s="35"/>
      <c r="F73" s="35"/>
      <c r="G73" s="36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5.75" customHeight="1">
      <c r="A74" s="37" t="s">
        <v>40</v>
      </c>
      <c r="B74" s="38">
        <v>0.0</v>
      </c>
      <c r="C74" s="38">
        <v>0.0</v>
      </c>
      <c r="D74" s="38">
        <v>0.0</v>
      </c>
      <c r="E74" s="38">
        <v>0.0</v>
      </c>
      <c r="F74" s="38">
        <v>0.0</v>
      </c>
      <c r="G74" s="38">
        <v>0.0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5.75" customHeight="1">
      <c r="A75" s="37" t="s">
        <v>34</v>
      </c>
      <c r="B75" s="38">
        <v>0.0</v>
      </c>
      <c r="C75" s="38">
        <v>0.0</v>
      </c>
      <c r="D75" s="38">
        <v>0.0</v>
      </c>
      <c r="E75" s="38">
        <v>0.0</v>
      </c>
      <c r="F75" s="38">
        <v>0.0</v>
      </c>
      <c r="G75" s="38">
        <v>0.0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5.75" customHeight="1">
      <c r="A76" s="39" t="s">
        <v>309</v>
      </c>
      <c r="B76" s="40">
        <v>0.0</v>
      </c>
      <c r="C76" s="40">
        <f>SUM(C73:C75)</f>
        <v>0</v>
      </c>
      <c r="D76" s="40">
        <v>0.0</v>
      </c>
      <c r="E76" s="40">
        <f>SUM(E73:E75)</f>
        <v>0</v>
      </c>
      <c r="F76" s="40">
        <v>0.0</v>
      </c>
      <c r="G76" s="40">
        <v>0.0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4" t="s">
        <v>327</v>
      </c>
      <c r="B77" s="35"/>
      <c r="C77" s="35"/>
      <c r="D77" s="35"/>
      <c r="E77" s="35"/>
      <c r="F77" s="35"/>
      <c r="G77" s="36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7" t="s">
        <v>40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7" t="s">
        <v>34</v>
      </c>
      <c r="B79" s="38">
        <v>0.0</v>
      </c>
      <c r="C79" s="38">
        <v>0.0</v>
      </c>
      <c r="D79" s="38">
        <v>0.0</v>
      </c>
      <c r="E79" s="38">
        <v>0.0</v>
      </c>
      <c r="F79" s="38">
        <v>0.0</v>
      </c>
      <c r="G79" s="38">
        <v>0.0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9" t="s">
        <v>309</v>
      </c>
      <c r="B80" s="40">
        <v>0.0</v>
      </c>
      <c r="C80" s="40">
        <f>SUM(C77:C79)</f>
        <v>0</v>
      </c>
      <c r="D80" s="40">
        <v>0.0</v>
      </c>
      <c r="E80" s="40">
        <f>SUM(E77:E79)</f>
        <v>0</v>
      </c>
      <c r="F80" s="40">
        <v>0.0</v>
      </c>
      <c r="G80" s="40">
        <v>0.0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4" t="s">
        <v>328</v>
      </c>
      <c r="B81" s="35"/>
      <c r="C81" s="35"/>
      <c r="D81" s="35"/>
      <c r="E81" s="35"/>
      <c r="F81" s="35"/>
      <c r="G81" s="36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7" t="s">
        <v>40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7" t="s">
        <v>34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9" t="s">
        <v>309</v>
      </c>
      <c r="B84" s="40">
        <v>0.0</v>
      </c>
      <c r="C84" s="40">
        <f>SUM(C81:C83)</f>
        <v>0</v>
      </c>
      <c r="D84" s="40">
        <v>0.0</v>
      </c>
      <c r="E84" s="40">
        <f>SUM(E81:E83)</f>
        <v>0</v>
      </c>
      <c r="F84" s="40">
        <v>0.0</v>
      </c>
      <c r="G84" s="40">
        <v>0.0</v>
      </c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</row>
  </sheetData>
  <mergeCells count="21">
    <mergeCell ref="A2:G2"/>
    <mergeCell ref="A5:G5"/>
    <mergeCell ref="A9:G9"/>
    <mergeCell ref="A13:G13"/>
    <mergeCell ref="A17:G17"/>
    <mergeCell ref="A21:G21"/>
    <mergeCell ref="A25:G25"/>
    <mergeCell ref="A57:G57"/>
    <mergeCell ref="A61:G61"/>
    <mergeCell ref="A65:G65"/>
    <mergeCell ref="A69:G69"/>
    <mergeCell ref="A73:G73"/>
    <mergeCell ref="A77:G77"/>
    <mergeCell ref="A81:G81"/>
    <mergeCell ref="A29:G29"/>
    <mergeCell ref="A33:G33"/>
    <mergeCell ref="A37:G37"/>
    <mergeCell ref="A41:G41"/>
    <mergeCell ref="A45:G45"/>
    <mergeCell ref="A49:G49"/>
    <mergeCell ref="A53:G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329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45565.0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6.0</v>
      </c>
      <c r="C6" s="38">
        <v>4.0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9" t="s">
        <v>309</v>
      </c>
      <c r="B8" s="40">
        <f t="shared" ref="B8:G8" si="1">SUM(B6:B7)</f>
        <v>6</v>
      </c>
      <c r="C8" s="40">
        <f t="shared" si="1"/>
        <v>4</v>
      </c>
      <c r="D8" s="40">
        <f t="shared" si="1"/>
        <v>0</v>
      </c>
      <c r="E8" s="40">
        <f t="shared" si="1"/>
        <v>0</v>
      </c>
      <c r="F8" s="40">
        <f t="shared" si="1"/>
        <v>0</v>
      </c>
      <c r="G8" s="40">
        <f t="shared" si="1"/>
        <v>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41">
        <v>45566.0</v>
      </c>
      <c r="B9" s="35"/>
      <c r="C9" s="35"/>
      <c r="D9" s="35"/>
      <c r="E9" s="35"/>
      <c r="F9" s="35"/>
      <c r="G9" s="3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37" t="s">
        <v>40</v>
      </c>
      <c r="B10" s="38">
        <v>5.0</v>
      </c>
      <c r="C10" s="38">
        <v>5.0</v>
      </c>
      <c r="D10" s="38">
        <v>0.0</v>
      </c>
      <c r="E10" s="38">
        <v>0.0</v>
      </c>
      <c r="F10" s="38">
        <v>0.0</v>
      </c>
      <c r="G10" s="38">
        <v>0.0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34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9" t="s">
        <v>309</v>
      </c>
      <c r="B12" s="40">
        <f t="shared" ref="B12:G12" si="2">SUM(B10:B11)</f>
        <v>5</v>
      </c>
      <c r="C12" s="40">
        <f t="shared" si="2"/>
        <v>5</v>
      </c>
      <c r="D12" s="40">
        <f t="shared" si="2"/>
        <v>0</v>
      </c>
      <c r="E12" s="40">
        <f t="shared" si="2"/>
        <v>0</v>
      </c>
      <c r="F12" s="40">
        <f t="shared" si="2"/>
        <v>0</v>
      </c>
      <c r="G12" s="40">
        <f t="shared" si="2"/>
        <v>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41">
        <v>45567.0</v>
      </c>
      <c r="B13" s="35"/>
      <c r="C13" s="35"/>
      <c r="D13" s="35"/>
      <c r="E13" s="35"/>
      <c r="F13" s="35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7" t="s">
        <v>40</v>
      </c>
      <c r="B14" s="38">
        <v>3.0</v>
      </c>
      <c r="C14" s="38">
        <v>3.0</v>
      </c>
      <c r="D14" s="38">
        <v>0.0</v>
      </c>
      <c r="E14" s="38">
        <v>0.0</v>
      </c>
      <c r="F14" s="38">
        <v>3.0</v>
      </c>
      <c r="G14" s="38">
        <v>2.0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37" t="s">
        <v>34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9" t="s">
        <v>309</v>
      </c>
      <c r="B16" s="40">
        <f t="shared" ref="B16:G16" si="3">SUM(B14:B15)</f>
        <v>3</v>
      </c>
      <c r="C16" s="40">
        <f t="shared" si="3"/>
        <v>3</v>
      </c>
      <c r="D16" s="40">
        <f t="shared" si="3"/>
        <v>0</v>
      </c>
      <c r="E16" s="40">
        <f t="shared" si="3"/>
        <v>0</v>
      </c>
      <c r="F16" s="40">
        <f t="shared" si="3"/>
        <v>3</v>
      </c>
      <c r="G16" s="40">
        <f t="shared" si="3"/>
        <v>2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41">
        <v>45568.0</v>
      </c>
      <c r="B17" s="35"/>
      <c r="C17" s="35"/>
      <c r="D17" s="35"/>
      <c r="E17" s="35"/>
      <c r="F17" s="35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40</v>
      </c>
      <c r="B18" s="38">
        <v>1.0</v>
      </c>
      <c r="C18" s="38">
        <v>1.0</v>
      </c>
      <c r="D18" s="38">
        <v>1.0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7" t="s">
        <v>34</v>
      </c>
      <c r="B19" s="38">
        <v>1.0</v>
      </c>
      <c r="C19" s="38">
        <v>1.0</v>
      </c>
      <c r="D19" s="38">
        <v>0.0</v>
      </c>
      <c r="E19" s="38">
        <v>0.0</v>
      </c>
      <c r="F19" s="38">
        <v>0.0</v>
      </c>
      <c r="G19" s="38">
        <v>0.0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39" t="s">
        <v>309</v>
      </c>
      <c r="B20" s="40">
        <f t="shared" ref="B20:G20" si="4">SUM(B18:B19)</f>
        <v>2</v>
      </c>
      <c r="C20" s="40">
        <f t="shared" si="4"/>
        <v>2</v>
      </c>
      <c r="D20" s="40">
        <f t="shared" si="4"/>
        <v>1</v>
      </c>
      <c r="E20" s="40">
        <f t="shared" si="4"/>
        <v>0</v>
      </c>
      <c r="F20" s="40">
        <f t="shared" si="4"/>
        <v>0</v>
      </c>
      <c r="G20" s="40">
        <f t="shared" si="4"/>
        <v>0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41">
        <v>45575.0</v>
      </c>
      <c r="B21" s="35"/>
      <c r="C21" s="35"/>
      <c r="D21" s="35"/>
      <c r="E21" s="35"/>
      <c r="F21" s="35"/>
      <c r="G21" s="36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40</v>
      </c>
      <c r="B22" s="38">
        <v>1.0</v>
      </c>
      <c r="C22" s="38">
        <v>0.0</v>
      </c>
      <c r="D22" s="38">
        <v>0.0</v>
      </c>
      <c r="E22" s="38">
        <v>0.0</v>
      </c>
      <c r="F22" s="38">
        <v>2.0</v>
      </c>
      <c r="G22" s="38">
        <v>3.0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5">SUM(B22:B23)</f>
        <v>1</v>
      </c>
      <c r="C24" s="40">
        <f t="shared" si="5"/>
        <v>0</v>
      </c>
      <c r="D24" s="40">
        <f t="shared" si="5"/>
        <v>0</v>
      </c>
      <c r="E24" s="40">
        <f t="shared" si="5"/>
        <v>0</v>
      </c>
      <c r="F24" s="40">
        <f t="shared" si="5"/>
        <v>2</v>
      </c>
      <c r="G24" s="40">
        <f t="shared" si="5"/>
        <v>3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45576.0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18.0</v>
      </c>
      <c r="C26" s="38">
        <v>8.0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1.0</v>
      </c>
      <c r="C27" s="38">
        <v>1.0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9" t="s">
        <v>309</v>
      </c>
      <c r="B28" s="40">
        <f t="shared" ref="B28:G28" si="6">SUM(B26:B27)</f>
        <v>19</v>
      </c>
      <c r="C28" s="40">
        <f t="shared" si="6"/>
        <v>9</v>
      </c>
      <c r="D28" s="40">
        <f t="shared" si="6"/>
        <v>0</v>
      </c>
      <c r="E28" s="40">
        <f t="shared" si="6"/>
        <v>0</v>
      </c>
      <c r="F28" s="40">
        <f t="shared" si="6"/>
        <v>0</v>
      </c>
      <c r="G28" s="40">
        <f t="shared" si="6"/>
        <v>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41">
        <v>45579.0</v>
      </c>
      <c r="B29" s="35"/>
      <c r="C29" s="35"/>
      <c r="D29" s="35"/>
      <c r="E29" s="35"/>
      <c r="F29" s="35"/>
      <c r="G29" s="36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37" t="s">
        <v>40</v>
      </c>
      <c r="B30" s="38">
        <v>12.0</v>
      </c>
      <c r="C30" s="38">
        <v>6.0</v>
      </c>
      <c r="D30" s="38">
        <v>0.0</v>
      </c>
      <c r="E30" s="38">
        <v>0.0</v>
      </c>
      <c r="F30" s="38">
        <v>0.0</v>
      </c>
      <c r="G30" s="38">
        <v>0.0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34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9" t="s">
        <v>309</v>
      </c>
      <c r="B32" s="40">
        <f t="shared" ref="B32:G32" si="7">SUM(B30:B31)</f>
        <v>12</v>
      </c>
      <c r="C32" s="40">
        <f t="shared" si="7"/>
        <v>6</v>
      </c>
      <c r="D32" s="40">
        <f t="shared" si="7"/>
        <v>0</v>
      </c>
      <c r="E32" s="40">
        <f t="shared" si="7"/>
        <v>0</v>
      </c>
      <c r="F32" s="40">
        <f t="shared" si="7"/>
        <v>0</v>
      </c>
      <c r="G32" s="40">
        <f t="shared" si="7"/>
        <v>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41">
        <v>45580.0</v>
      </c>
      <c r="B33" s="35"/>
      <c r="C33" s="35"/>
      <c r="D33" s="35"/>
      <c r="E33" s="35"/>
      <c r="F33" s="35"/>
      <c r="G33" s="36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7" t="s">
        <v>40</v>
      </c>
      <c r="B34" s="38">
        <v>1.0</v>
      </c>
      <c r="C34" s="38">
        <v>0.0</v>
      </c>
      <c r="D34" s="38">
        <v>0.0</v>
      </c>
      <c r="E34" s="38">
        <v>0.0</v>
      </c>
      <c r="F34" s="38">
        <v>0.0</v>
      </c>
      <c r="G34" s="38">
        <v>1.0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37" t="s">
        <v>34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9" t="s">
        <v>309</v>
      </c>
      <c r="B36" s="40">
        <f t="shared" ref="B36:G36" si="8">SUM(B34:B35)</f>
        <v>1</v>
      </c>
      <c r="C36" s="40">
        <f t="shared" si="8"/>
        <v>0</v>
      </c>
      <c r="D36" s="40">
        <f t="shared" si="8"/>
        <v>0</v>
      </c>
      <c r="E36" s="40">
        <f t="shared" si="8"/>
        <v>0</v>
      </c>
      <c r="F36" s="40">
        <f t="shared" si="8"/>
        <v>0</v>
      </c>
      <c r="G36" s="40">
        <f t="shared" si="8"/>
        <v>1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41">
        <v>45581.0</v>
      </c>
      <c r="B37" s="35"/>
      <c r="C37" s="35"/>
      <c r="D37" s="35"/>
      <c r="E37" s="35"/>
      <c r="F37" s="35"/>
      <c r="G37" s="36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40</v>
      </c>
      <c r="B38" s="38">
        <v>1.0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7" t="s">
        <v>34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39" t="s">
        <v>309</v>
      </c>
      <c r="B40" s="40">
        <v>0.0</v>
      </c>
      <c r="C40" s="40">
        <f>SUM(C37:C39)</f>
        <v>0</v>
      </c>
      <c r="D40" s="40">
        <v>0.0</v>
      </c>
      <c r="E40" s="40">
        <f>SUM(E37:E39)</f>
        <v>0</v>
      </c>
      <c r="F40" s="40">
        <v>0.0</v>
      </c>
      <c r="G40" s="40">
        <v>0.0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41">
        <v>45587.0</v>
      </c>
      <c r="B41" s="35"/>
      <c r="C41" s="35"/>
      <c r="D41" s="35"/>
      <c r="E41" s="35"/>
      <c r="F41" s="35"/>
      <c r="G41" s="36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40</v>
      </c>
      <c r="B42" s="38">
        <v>6.0</v>
      </c>
      <c r="C42" s="38">
        <v>4.0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9">SUM(B42:B43)</f>
        <v>6</v>
      </c>
      <c r="C44" s="40">
        <f t="shared" si="9"/>
        <v>4</v>
      </c>
      <c r="D44" s="40">
        <f t="shared" si="9"/>
        <v>0</v>
      </c>
      <c r="E44" s="40">
        <f t="shared" si="9"/>
        <v>0</v>
      </c>
      <c r="F44" s="40">
        <f t="shared" si="9"/>
        <v>0</v>
      </c>
      <c r="G44" s="40">
        <f t="shared" si="9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45588.0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1.0</v>
      </c>
      <c r="C46" s="38">
        <v>1.0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9" t="s">
        <v>309</v>
      </c>
      <c r="B48" s="40">
        <f>SUM(B46:B47)</f>
        <v>1</v>
      </c>
      <c r="C48" s="40">
        <f>SUM(C45:C47)</f>
        <v>1</v>
      </c>
      <c r="D48" s="40">
        <v>0.0</v>
      </c>
      <c r="E48" s="40">
        <f>SUM(E45:E47)</f>
        <v>0</v>
      </c>
      <c r="F48" s="40">
        <v>0.0</v>
      </c>
      <c r="G48" s="40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41">
        <v>45589.0</v>
      </c>
      <c r="B49" s="35"/>
      <c r="C49" s="35"/>
      <c r="D49" s="35"/>
      <c r="E49" s="35"/>
      <c r="F49" s="35"/>
      <c r="G49" s="36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37" t="s">
        <v>40</v>
      </c>
      <c r="B50" s="38">
        <v>1.0</v>
      </c>
      <c r="C50" s="38">
        <v>1.0</v>
      </c>
      <c r="D50" s="38">
        <v>0.0</v>
      </c>
      <c r="E50" s="38">
        <v>0.0</v>
      </c>
      <c r="F50" s="38">
        <v>0.0</v>
      </c>
      <c r="G50" s="38">
        <v>0.0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34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9" t="s">
        <v>309</v>
      </c>
      <c r="B52" s="40">
        <f>SUM(B50:B51)</f>
        <v>1</v>
      </c>
      <c r="C52" s="40">
        <f>SUM(C49:C51)</f>
        <v>1</v>
      </c>
      <c r="D52" s="40">
        <v>0.0</v>
      </c>
      <c r="E52" s="40">
        <f>SUM(E49:E51)</f>
        <v>0</v>
      </c>
      <c r="F52" s="40">
        <v>0.0</v>
      </c>
      <c r="G52" s="40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41">
        <v>45594.0</v>
      </c>
      <c r="B53" s="35"/>
      <c r="C53" s="35"/>
      <c r="D53" s="35"/>
      <c r="E53" s="35"/>
      <c r="F53" s="35"/>
      <c r="G53" s="36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7" t="s">
        <v>40</v>
      </c>
      <c r="B54" s="38">
        <v>4.0</v>
      </c>
      <c r="C54" s="38">
        <v>3.0</v>
      </c>
      <c r="D54" s="38">
        <v>0.0</v>
      </c>
      <c r="E54" s="38">
        <v>0.0</v>
      </c>
      <c r="F54" s="38">
        <v>0.0</v>
      </c>
      <c r="G54" s="38">
        <v>0.0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37" t="s">
        <v>34</v>
      </c>
      <c r="B55" s="38">
        <v>0.0</v>
      </c>
      <c r="C55" s="38">
        <v>0.0</v>
      </c>
      <c r="D55" s="38">
        <v>0.0</v>
      </c>
      <c r="E55" s="38">
        <v>0.0</v>
      </c>
      <c r="F55" s="38">
        <v>0.0</v>
      </c>
      <c r="G55" s="38">
        <v>0.0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9" t="s">
        <v>309</v>
      </c>
      <c r="B56" s="40">
        <v>0.0</v>
      </c>
      <c r="C56" s="40">
        <f>SUM(C53:C55)</f>
        <v>3</v>
      </c>
      <c r="D56" s="40">
        <v>0.0</v>
      </c>
      <c r="E56" s="40">
        <f>SUM(E53:E55)</f>
        <v>0</v>
      </c>
      <c r="F56" s="40">
        <v>0.0</v>
      </c>
      <c r="G56" s="40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41">
        <v>45595.0</v>
      </c>
      <c r="B57" s="35"/>
      <c r="C57" s="35"/>
      <c r="D57" s="35"/>
      <c r="E57" s="35"/>
      <c r="F57" s="35"/>
      <c r="G57" s="36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40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7" t="s">
        <v>34</v>
      </c>
      <c r="B59" s="38">
        <v>0.0</v>
      </c>
      <c r="C59" s="38">
        <v>0.0</v>
      </c>
      <c r="D59" s="38">
        <v>0.0</v>
      </c>
      <c r="E59" s="38">
        <v>0.0</v>
      </c>
      <c r="F59" s="38">
        <v>0.0</v>
      </c>
      <c r="G59" s="38">
        <v>0.0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39" t="s">
        <v>309</v>
      </c>
      <c r="B60" s="40">
        <v>0.0</v>
      </c>
      <c r="C60" s="40">
        <f>SUM(C57:C59)</f>
        <v>0</v>
      </c>
      <c r="D60" s="40">
        <v>0.0</v>
      </c>
      <c r="E60" s="40">
        <f>SUM(E57:E59)</f>
        <v>0</v>
      </c>
      <c r="F60" s="40">
        <v>0.0</v>
      </c>
      <c r="G60" s="40">
        <v>0.0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41">
        <v>45596.0</v>
      </c>
      <c r="B61" s="35"/>
      <c r="C61" s="35"/>
      <c r="D61" s="35"/>
      <c r="E61" s="35"/>
      <c r="F61" s="35"/>
      <c r="G61" s="36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40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v>0.0</v>
      </c>
      <c r="C64" s="40">
        <f>SUM(C61:C63)</f>
        <v>0</v>
      </c>
      <c r="D64" s="40">
        <v>0.0</v>
      </c>
      <c r="E64" s="40">
        <f>SUM(E61:E63)</f>
        <v>0</v>
      </c>
      <c r="F64" s="40">
        <v>0.0</v>
      </c>
      <c r="G64" s="40">
        <v>0.0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42" t="s">
        <v>330</v>
      </c>
      <c r="B66" s="43">
        <f t="shared" ref="B66:G66" si="10">SUM(B8,B12,B16,B20,B24,B28,B32,B36,B40,B44,B48,B52,B56,B60,B64)</f>
        <v>57</v>
      </c>
      <c r="C66" s="43">
        <f t="shared" si="10"/>
        <v>38</v>
      </c>
      <c r="D66" s="43">
        <f t="shared" si="10"/>
        <v>1</v>
      </c>
      <c r="E66" s="43">
        <f t="shared" si="10"/>
        <v>0</v>
      </c>
      <c r="F66" s="43">
        <f t="shared" si="10"/>
        <v>5</v>
      </c>
      <c r="G66" s="43">
        <f t="shared" si="10"/>
        <v>6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</sheetData>
  <mergeCells count="16">
    <mergeCell ref="A2:G2"/>
    <mergeCell ref="A5:G5"/>
    <mergeCell ref="A9:G9"/>
    <mergeCell ref="A13:G13"/>
    <mergeCell ref="A17:G17"/>
    <mergeCell ref="A21:G21"/>
    <mergeCell ref="A25:G25"/>
    <mergeCell ref="A57:G57"/>
    <mergeCell ref="A61:G61"/>
    <mergeCell ref="A29:G29"/>
    <mergeCell ref="A33:G33"/>
    <mergeCell ref="A37:G37"/>
    <mergeCell ref="A41:G41"/>
    <mergeCell ref="A45:G45"/>
    <mergeCell ref="A49:G49"/>
    <mergeCell ref="A53:G5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7.5" customHeight="1">
      <c r="A2" s="31" t="s">
        <v>331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26.2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5.2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45524.0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1.0</v>
      </c>
      <c r="C7" s="38">
        <v>1.0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9" t="s">
        <v>309</v>
      </c>
      <c r="B8" s="40">
        <f>SUM(B6:B7)</f>
        <v>1</v>
      </c>
      <c r="C8" s="40">
        <f>SUM(C5:C7)</f>
        <v>1</v>
      </c>
      <c r="D8" s="40">
        <v>0.0</v>
      </c>
      <c r="E8" s="40">
        <f>SUM(E5:E7)</f>
        <v>0</v>
      </c>
      <c r="F8" s="40">
        <v>0.0</v>
      </c>
      <c r="G8" s="40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41">
        <v>45525.0</v>
      </c>
      <c r="B9" s="35"/>
      <c r="C9" s="35"/>
      <c r="D9" s="35"/>
      <c r="E9" s="35"/>
      <c r="F9" s="35"/>
      <c r="G9" s="3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37" t="s">
        <v>40</v>
      </c>
      <c r="B10" s="38">
        <v>3.0</v>
      </c>
      <c r="C10" s="38">
        <v>3.0</v>
      </c>
      <c r="D10" s="38">
        <v>0.0</v>
      </c>
      <c r="E10" s="38">
        <v>0.0</v>
      </c>
      <c r="F10" s="38">
        <v>0.0</v>
      </c>
      <c r="G10" s="38">
        <v>0.0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34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9" t="s">
        <v>309</v>
      </c>
      <c r="B12" s="40">
        <f>SUM(B10:B11)</f>
        <v>3</v>
      </c>
      <c r="C12" s="40">
        <f>SUM(C9:C11)</f>
        <v>3</v>
      </c>
      <c r="D12" s="40">
        <v>0.0</v>
      </c>
      <c r="E12" s="40">
        <f>SUM(E9:E11)</f>
        <v>0</v>
      </c>
      <c r="F12" s="40">
        <v>0.0</v>
      </c>
      <c r="G12" s="40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41">
        <v>45526.0</v>
      </c>
      <c r="B13" s="35"/>
      <c r="C13" s="35"/>
      <c r="D13" s="35"/>
      <c r="E13" s="35"/>
      <c r="F13" s="35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7" t="s">
        <v>40</v>
      </c>
      <c r="B14" s="38">
        <v>2.0</v>
      </c>
      <c r="C14" s="38">
        <v>0.0</v>
      </c>
      <c r="D14" s="38">
        <v>2.0</v>
      </c>
      <c r="E14" s="38">
        <v>2.0</v>
      </c>
      <c r="F14" s="38">
        <v>0.0</v>
      </c>
      <c r="G14" s="38">
        <v>0.0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37" t="s">
        <v>34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9" t="s">
        <v>309</v>
      </c>
      <c r="B16" s="40">
        <f>SUM(B14:B15)</f>
        <v>2</v>
      </c>
      <c r="C16" s="40">
        <f>SUM(C13:C15)</f>
        <v>0</v>
      </c>
      <c r="D16" s="40">
        <f>SUM(D14:D15)</f>
        <v>2</v>
      </c>
      <c r="E16" s="40">
        <f>SUM(E13:E15)</f>
        <v>2</v>
      </c>
      <c r="F16" s="40">
        <v>0.0</v>
      </c>
      <c r="G16" s="40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41">
        <v>45530.0</v>
      </c>
      <c r="B17" s="35"/>
      <c r="C17" s="35"/>
      <c r="D17" s="35"/>
      <c r="E17" s="35"/>
      <c r="F17" s="35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40</v>
      </c>
      <c r="B18" s="38">
        <v>4.0</v>
      </c>
      <c r="C18" s="38">
        <v>3.0</v>
      </c>
      <c r="D18" s="38">
        <v>1.0</v>
      </c>
      <c r="E18" s="38">
        <v>1.0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7" t="s">
        <v>34</v>
      </c>
      <c r="B19" s="38">
        <v>0.0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39" t="s">
        <v>309</v>
      </c>
      <c r="B20" s="40">
        <f>SUM(B18:B19)</f>
        <v>4</v>
      </c>
      <c r="C20" s="40">
        <f>SUM(C17:C19)</f>
        <v>3</v>
      </c>
      <c r="D20" s="40">
        <f>SUM(D18:D19)</f>
        <v>1</v>
      </c>
      <c r="E20" s="40">
        <f>SUM(E17:E19)</f>
        <v>1</v>
      </c>
      <c r="F20" s="40">
        <v>0.0</v>
      </c>
      <c r="G20" s="40">
        <v>0.0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41">
        <v>45531.0</v>
      </c>
      <c r="B21" s="35"/>
      <c r="C21" s="35"/>
      <c r="D21" s="35"/>
      <c r="E21" s="35"/>
      <c r="F21" s="35"/>
      <c r="G21" s="36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40</v>
      </c>
      <c r="B22" s="38">
        <v>3.0</v>
      </c>
      <c r="C22" s="38">
        <v>2.0</v>
      </c>
      <c r="D22" s="38">
        <v>1.0</v>
      </c>
      <c r="E22" s="38">
        <v>1.0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>SUM(B22:B23)</f>
        <v>3</v>
      </c>
      <c r="C24" s="40">
        <f>SUM(C21:C23)</f>
        <v>2</v>
      </c>
      <c r="D24" s="40">
        <f>SUM(D22:D23)</f>
        <v>1</v>
      </c>
      <c r="E24" s="40">
        <f>SUM(E21:E23)</f>
        <v>1</v>
      </c>
      <c r="F24" s="40">
        <v>0.0</v>
      </c>
      <c r="G24" s="40">
        <v>0.0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45532.0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4.0</v>
      </c>
      <c r="C26" s="38">
        <v>4.0</v>
      </c>
      <c r="D26" s="38">
        <v>3.0</v>
      </c>
      <c r="E26" s="38">
        <v>3.0</v>
      </c>
      <c r="F26" s="38">
        <v>3.0</v>
      </c>
      <c r="G26" s="38">
        <v>0.0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</row>
    <row r="27" ht="18.0" customHeight="1">
      <c r="A27" s="37" t="s">
        <v>34</v>
      </c>
      <c r="B27" s="38">
        <v>1.0</v>
      </c>
      <c r="C27" s="38">
        <v>1.0</v>
      </c>
      <c r="D27" s="38">
        <v>0.0</v>
      </c>
      <c r="E27" s="38">
        <v>0.0</v>
      </c>
      <c r="F27" s="38">
        <v>0.0</v>
      </c>
      <c r="G27" s="38">
        <v>0.0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ht="18.0" customHeight="1">
      <c r="A28" s="39" t="s">
        <v>309</v>
      </c>
      <c r="B28" s="40">
        <f>SUM(B26:B27)</f>
        <v>5</v>
      </c>
      <c r="C28" s="40">
        <f>SUM(C25:C27)</f>
        <v>5</v>
      </c>
      <c r="D28" s="40">
        <f>SUM(D26:D27)</f>
        <v>3</v>
      </c>
      <c r="E28" s="40">
        <f>SUM(E25:E27)</f>
        <v>3</v>
      </c>
      <c r="F28" s="40">
        <f>SUM(F26:F27)</f>
        <v>3</v>
      </c>
      <c r="G28" s="40">
        <v>0.0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</row>
    <row r="29" ht="18.0" customHeight="1">
      <c r="A29" s="42" t="s">
        <v>330</v>
      </c>
      <c r="B29" s="43">
        <f t="shared" ref="B29:G29" si="1">SUM(B8,B12,B16,B20,B24,B28)</f>
        <v>18</v>
      </c>
      <c r="C29" s="43">
        <f t="shared" si="1"/>
        <v>14</v>
      </c>
      <c r="D29" s="43">
        <f t="shared" si="1"/>
        <v>7</v>
      </c>
      <c r="E29" s="43">
        <f t="shared" si="1"/>
        <v>7</v>
      </c>
      <c r="F29" s="43">
        <f t="shared" si="1"/>
        <v>3</v>
      </c>
      <c r="G29" s="43">
        <f t="shared" si="1"/>
        <v>0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</row>
  </sheetData>
  <mergeCells count="7">
    <mergeCell ref="A2:G2"/>
    <mergeCell ref="A5:G5"/>
    <mergeCell ref="A9:G9"/>
    <mergeCell ref="A13:G13"/>
    <mergeCell ref="A17:G17"/>
    <mergeCell ref="A21:G21"/>
    <mergeCell ref="A25:G2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7.5" customHeight="1">
      <c r="A2" s="31" t="s">
        <v>332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45539.0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13.0</v>
      </c>
      <c r="C6" s="38">
        <v>9.0</v>
      </c>
      <c r="D6" s="38">
        <v>1.0</v>
      </c>
      <c r="E6" s="38">
        <v>0.0</v>
      </c>
      <c r="F6" s="38">
        <v>4.0</v>
      </c>
      <c r="G6" s="38">
        <v>3.0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1.0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9" t="s">
        <v>309</v>
      </c>
      <c r="B8" s="40">
        <f>SUM(B6:B7)</f>
        <v>13</v>
      </c>
      <c r="C8" s="40">
        <f>SUM(C5:C7)</f>
        <v>9</v>
      </c>
      <c r="D8" s="40">
        <f>SUM(D6:D7)</f>
        <v>2</v>
      </c>
      <c r="E8" s="40">
        <f>SUM(E5:E7)</f>
        <v>0</v>
      </c>
      <c r="F8" s="40">
        <f t="shared" ref="F8:G8" si="1">SUM(F6:F7)</f>
        <v>4</v>
      </c>
      <c r="G8" s="40">
        <f t="shared" si="1"/>
        <v>3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41">
        <v>45540.0</v>
      </c>
      <c r="B9" s="35"/>
      <c r="C9" s="35"/>
      <c r="D9" s="35"/>
      <c r="E9" s="35"/>
      <c r="F9" s="35"/>
      <c r="G9" s="36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37" t="s">
        <v>40</v>
      </c>
      <c r="B10" s="38">
        <v>1.0</v>
      </c>
      <c r="C10" s="38">
        <v>1.0</v>
      </c>
      <c r="D10" s="38">
        <v>1.0</v>
      </c>
      <c r="E10" s="38">
        <v>1.0</v>
      </c>
      <c r="F10" s="38">
        <v>0.0</v>
      </c>
      <c r="G10" s="38">
        <v>0.0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34</v>
      </c>
      <c r="B11" s="38">
        <v>2.0</v>
      </c>
      <c r="C11" s="38">
        <v>2.0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9" t="s">
        <v>309</v>
      </c>
      <c r="B12" s="40">
        <f>SUM(B10:B11)</f>
        <v>3</v>
      </c>
      <c r="C12" s="40">
        <f>SUM(C9:C11)</f>
        <v>3</v>
      </c>
      <c r="D12" s="40">
        <f>SUM(D10:D11)</f>
        <v>1</v>
      </c>
      <c r="E12" s="40">
        <f>SUM(E9:E11)</f>
        <v>1</v>
      </c>
      <c r="F12" s="40">
        <v>0.0</v>
      </c>
      <c r="G12" s="40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41">
        <v>45541.0</v>
      </c>
      <c r="B13" s="35"/>
      <c r="C13" s="35"/>
      <c r="D13" s="35"/>
      <c r="E13" s="35"/>
      <c r="F13" s="35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7" t="s">
        <v>40</v>
      </c>
      <c r="B14" s="38">
        <v>2.0</v>
      </c>
      <c r="C14" s="38">
        <v>2.0</v>
      </c>
      <c r="D14" s="38">
        <v>2.0</v>
      </c>
      <c r="E14" s="38">
        <v>2.0</v>
      </c>
      <c r="F14" s="38">
        <v>0.0</v>
      </c>
      <c r="G14" s="38">
        <v>0.0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37" t="s">
        <v>34</v>
      </c>
      <c r="B15" s="38">
        <v>0.0</v>
      </c>
      <c r="C15" s="38">
        <v>0.0</v>
      </c>
      <c r="D15" s="38">
        <v>0.0</v>
      </c>
      <c r="E15" s="38">
        <v>0.0</v>
      </c>
      <c r="F15" s="38">
        <v>0.0</v>
      </c>
      <c r="G15" s="38">
        <v>0.0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9" t="s">
        <v>309</v>
      </c>
      <c r="B16" s="40">
        <f>SUM(B14:B15)</f>
        <v>2</v>
      </c>
      <c r="C16" s="40">
        <f>SUM(C13:C15)</f>
        <v>2</v>
      </c>
      <c r="D16" s="40">
        <f>SUM(D14:D15)</f>
        <v>2</v>
      </c>
      <c r="E16" s="40">
        <f>SUM(E13:E15)</f>
        <v>2</v>
      </c>
      <c r="F16" s="40">
        <v>0.0</v>
      </c>
      <c r="G16" s="40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41">
        <v>45544.0</v>
      </c>
      <c r="B17" s="35"/>
      <c r="C17" s="35"/>
      <c r="D17" s="35"/>
      <c r="E17" s="35"/>
      <c r="F17" s="35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40</v>
      </c>
      <c r="B18" s="38">
        <v>7.0</v>
      </c>
      <c r="C18" s="38">
        <v>5.0</v>
      </c>
      <c r="D18" s="38">
        <v>2.0</v>
      </c>
      <c r="E18" s="38">
        <v>2.0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7" t="s">
        <v>34</v>
      </c>
      <c r="B19" s="38">
        <v>4.0</v>
      </c>
      <c r="C19" s="38">
        <v>4.0</v>
      </c>
      <c r="D19" s="38">
        <v>0.0</v>
      </c>
      <c r="E19" s="38">
        <v>0.0</v>
      </c>
      <c r="F19" s="38">
        <v>0.0</v>
      </c>
      <c r="G19" s="38">
        <v>0.0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39" t="s">
        <v>309</v>
      </c>
      <c r="B20" s="40">
        <f>SUM(B18:B19)</f>
        <v>11</v>
      </c>
      <c r="C20" s="40">
        <f>SUM(C17:C19)</f>
        <v>9</v>
      </c>
      <c r="D20" s="40">
        <f>SUM(D18:D19)</f>
        <v>2</v>
      </c>
      <c r="E20" s="40">
        <f>SUM(E17:E19)</f>
        <v>2</v>
      </c>
      <c r="F20" s="40">
        <v>0.0</v>
      </c>
      <c r="G20" s="40">
        <v>0.0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41">
        <v>45546.0</v>
      </c>
      <c r="B21" s="35"/>
      <c r="C21" s="35"/>
      <c r="D21" s="35"/>
      <c r="E21" s="35"/>
      <c r="F21" s="35"/>
      <c r="G21" s="36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40</v>
      </c>
      <c r="B22" s="38">
        <v>6.0</v>
      </c>
      <c r="C22" s="38">
        <v>5.0</v>
      </c>
      <c r="D22" s="38">
        <v>1.0</v>
      </c>
      <c r="E22" s="38">
        <v>1.0</v>
      </c>
      <c r="F22" s="38">
        <v>4.0</v>
      </c>
      <c r="G22" s="38">
        <v>4.0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>SUM(B22:B23)</f>
        <v>6</v>
      </c>
      <c r="C24" s="40">
        <f>SUM(C21:C23)</f>
        <v>5</v>
      </c>
      <c r="D24" s="40">
        <f>SUM(D22:D23)</f>
        <v>1</v>
      </c>
      <c r="E24" s="40">
        <f>SUM(E21:E23)</f>
        <v>1</v>
      </c>
      <c r="F24" s="40">
        <f t="shared" ref="F24:G24" si="2">SUM(F22:F23)</f>
        <v>4</v>
      </c>
      <c r="G24" s="40">
        <f t="shared" si="2"/>
        <v>4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45547.0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5.0</v>
      </c>
      <c r="C26" s="38">
        <v>5.0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1.0</v>
      </c>
      <c r="C27" s="38">
        <v>1.0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9" t="s">
        <v>309</v>
      </c>
      <c r="B28" s="40">
        <f>SUM(B26:B27)</f>
        <v>6</v>
      </c>
      <c r="C28" s="40">
        <f>SUM(C25:C27)</f>
        <v>6</v>
      </c>
      <c r="D28" s="40">
        <v>0.0</v>
      </c>
      <c r="E28" s="40">
        <f>SUM(E25:E27)</f>
        <v>0</v>
      </c>
      <c r="F28" s="40">
        <v>0.0</v>
      </c>
      <c r="G28" s="40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41">
        <v>45552.0</v>
      </c>
      <c r="B29" s="35"/>
      <c r="C29" s="35"/>
      <c r="D29" s="35"/>
      <c r="E29" s="35"/>
      <c r="F29" s="35"/>
      <c r="G29" s="36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37" t="s">
        <v>40</v>
      </c>
      <c r="B30" s="38">
        <v>15.0</v>
      </c>
      <c r="C30" s="38">
        <v>11.0</v>
      </c>
      <c r="D30" s="38">
        <v>0.0</v>
      </c>
      <c r="E30" s="38">
        <v>0.0</v>
      </c>
      <c r="F30" s="38">
        <v>3.0</v>
      </c>
      <c r="G30" s="38">
        <v>3.0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34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9" t="s">
        <v>309</v>
      </c>
      <c r="B32" s="40">
        <f t="shared" ref="B32:G32" si="3">SUM(B30:B31)</f>
        <v>15</v>
      </c>
      <c r="C32" s="40">
        <f t="shared" si="3"/>
        <v>11</v>
      </c>
      <c r="D32" s="40">
        <f t="shared" si="3"/>
        <v>0</v>
      </c>
      <c r="E32" s="40">
        <f t="shared" si="3"/>
        <v>0</v>
      </c>
      <c r="F32" s="40">
        <f t="shared" si="3"/>
        <v>3</v>
      </c>
      <c r="G32" s="40">
        <f t="shared" si="3"/>
        <v>3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41">
        <v>45553.0</v>
      </c>
      <c r="B33" s="35"/>
      <c r="C33" s="35"/>
      <c r="D33" s="35"/>
      <c r="E33" s="35"/>
      <c r="F33" s="35"/>
      <c r="G33" s="36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7" t="s">
        <v>40</v>
      </c>
      <c r="B34" s="38">
        <v>2.0</v>
      </c>
      <c r="C34" s="38">
        <v>2.0</v>
      </c>
      <c r="D34" s="38">
        <v>1.0</v>
      </c>
      <c r="E34" s="38">
        <v>0.0</v>
      </c>
      <c r="F34" s="38">
        <v>0.0</v>
      </c>
      <c r="G34" s="38">
        <v>0.0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37" t="s">
        <v>34</v>
      </c>
      <c r="B35" s="38">
        <v>0.0</v>
      </c>
      <c r="C35" s="38">
        <v>0.0</v>
      </c>
      <c r="D35" s="38">
        <v>0.0</v>
      </c>
      <c r="E35" s="38">
        <v>0.0</v>
      </c>
      <c r="F35" s="38">
        <v>0.0</v>
      </c>
      <c r="G35" s="38">
        <v>0.0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9" t="s">
        <v>309</v>
      </c>
      <c r="B36" s="40">
        <f t="shared" ref="B36:G36" si="4">SUM(B34:B35)</f>
        <v>2</v>
      </c>
      <c r="C36" s="40">
        <f t="shared" si="4"/>
        <v>2</v>
      </c>
      <c r="D36" s="40">
        <f t="shared" si="4"/>
        <v>1</v>
      </c>
      <c r="E36" s="40">
        <f t="shared" si="4"/>
        <v>0</v>
      </c>
      <c r="F36" s="40">
        <f t="shared" si="4"/>
        <v>0</v>
      </c>
      <c r="G36" s="40">
        <f t="shared" si="4"/>
        <v>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41">
        <v>45554.0</v>
      </c>
      <c r="B37" s="35"/>
      <c r="C37" s="35"/>
      <c r="D37" s="35"/>
      <c r="E37" s="35"/>
      <c r="F37" s="35"/>
      <c r="G37" s="36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40</v>
      </c>
      <c r="B38" s="38">
        <v>5.0</v>
      </c>
      <c r="C38" s="38">
        <v>3.0</v>
      </c>
      <c r="D38" s="38">
        <v>5.0</v>
      </c>
      <c r="E38" s="38">
        <v>5.0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7" t="s">
        <v>34</v>
      </c>
      <c r="B39" s="38">
        <v>0.0</v>
      </c>
      <c r="C39" s="38">
        <v>0.0</v>
      </c>
      <c r="D39" s="38">
        <v>0.0</v>
      </c>
      <c r="E39" s="38">
        <v>0.0</v>
      </c>
      <c r="F39" s="38">
        <v>0.0</v>
      </c>
      <c r="G39" s="38">
        <v>0.0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39" t="s">
        <v>309</v>
      </c>
      <c r="B40" s="40">
        <f t="shared" ref="B40:G40" si="5">SUM(B38:B39)</f>
        <v>5</v>
      </c>
      <c r="C40" s="40">
        <f t="shared" si="5"/>
        <v>3</v>
      </c>
      <c r="D40" s="40">
        <f t="shared" si="5"/>
        <v>5</v>
      </c>
      <c r="E40" s="40">
        <f t="shared" si="5"/>
        <v>5</v>
      </c>
      <c r="F40" s="40">
        <f t="shared" si="5"/>
        <v>0</v>
      </c>
      <c r="G40" s="40">
        <f t="shared" si="5"/>
        <v>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41">
        <v>45559.0</v>
      </c>
      <c r="B41" s="35"/>
      <c r="C41" s="35"/>
      <c r="D41" s="35"/>
      <c r="E41" s="35"/>
      <c r="F41" s="35"/>
      <c r="G41" s="36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40</v>
      </c>
      <c r="B42" s="38">
        <v>2.0</v>
      </c>
      <c r="C42" s="38">
        <v>2.0</v>
      </c>
      <c r="D42" s="38">
        <v>2.0</v>
      </c>
      <c r="E42" s="38">
        <v>2.0</v>
      </c>
      <c r="F42" s="38">
        <v>0.0</v>
      </c>
      <c r="G42" s="38">
        <v>3.0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34</v>
      </c>
      <c r="B43" s="38">
        <v>6.0</v>
      </c>
      <c r="C43" s="38">
        <v>6.0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6">SUM(B42:B43)</f>
        <v>8</v>
      </c>
      <c r="C44" s="40">
        <f t="shared" si="6"/>
        <v>8</v>
      </c>
      <c r="D44" s="40">
        <f t="shared" si="6"/>
        <v>2</v>
      </c>
      <c r="E44" s="40">
        <f t="shared" si="6"/>
        <v>2</v>
      </c>
      <c r="F44" s="40">
        <f t="shared" si="6"/>
        <v>0</v>
      </c>
      <c r="G44" s="40">
        <f t="shared" si="6"/>
        <v>3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45560.0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6.0</v>
      </c>
      <c r="C46" s="38">
        <v>5.0</v>
      </c>
      <c r="D46" s="38">
        <v>2.0</v>
      </c>
      <c r="E46" s="38">
        <v>1.0</v>
      </c>
      <c r="F46" s="38">
        <v>3.0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1.0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9" t="s">
        <v>309</v>
      </c>
      <c r="B48" s="40">
        <f t="shared" ref="B48:G48" si="7">SUM(B46:B47)</f>
        <v>7</v>
      </c>
      <c r="C48" s="40">
        <f t="shared" si="7"/>
        <v>5</v>
      </c>
      <c r="D48" s="40">
        <f t="shared" si="7"/>
        <v>2</v>
      </c>
      <c r="E48" s="40">
        <f t="shared" si="7"/>
        <v>1</v>
      </c>
      <c r="F48" s="40">
        <f t="shared" si="7"/>
        <v>3</v>
      </c>
      <c r="G48" s="40">
        <f t="shared" si="7"/>
        <v>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41">
        <v>45561.0</v>
      </c>
      <c r="B49" s="35"/>
      <c r="C49" s="35"/>
      <c r="D49" s="35"/>
      <c r="E49" s="35"/>
      <c r="F49" s="35"/>
      <c r="G49" s="36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37" t="s">
        <v>40</v>
      </c>
      <c r="B50" s="38">
        <v>1.0</v>
      </c>
      <c r="C50" s="38">
        <v>0.0</v>
      </c>
      <c r="D50" s="38">
        <v>1.0</v>
      </c>
      <c r="E50" s="38">
        <v>1.0</v>
      </c>
      <c r="F50" s="38">
        <v>0.0</v>
      </c>
      <c r="G50" s="38">
        <v>0.0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34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9" t="s">
        <v>309</v>
      </c>
      <c r="B52" s="40">
        <f t="shared" ref="B52:G52" si="8">SUM(B50:B51)</f>
        <v>1</v>
      </c>
      <c r="C52" s="40">
        <f t="shared" si="8"/>
        <v>0</v>
      </c>
      <c r="D52" s="40">
        <f t="shared" si="8"/>
        <v>1</v>
      </c>
      <c r="E52" s="40">
        <f t="shared" si="8"/>
        <v>1</v>
      </c>
      <c r="F52" s="40">
        <f t="shared" si="8"/>
        <v>0</v>
      </c>
      <c r="G52" s="40">
        <f t="shared" si="8"/>
        <v>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42" t="s">
        <v>330</v>
      </c>
      <c r="B54" s="43">
        <f>SUM(B8, B12, B16,B20,B24,B28,B32,B36,B40,B44,B48,B52)</f>
        <v>79</v>
      </c>
      <c r="C54" s="43">
        <f>SUM(C8,C12,C16,C20,C24,C28,C32,C36,C40,C44,C48,C52,)</f>
        <v>63</v>
      </c>
      <c r="D54" s="43">
        <f t="shared" ref="D54:G54" si="9">SUM(D8,D12,D16,D20,D24,D28,D32,D36,D40,D44,D48,D52)</f>
        <v>19</v>
      </c>
      <c r="E54" s="43">
        <f t="shared" si="9"/>
        <v>15</v>
      </c>
      <c r="F54" s="43">
        <f t="shared" si="9"/>
        <v>14</v>
      </c>
      <c r="G54" s="43">
        <f t="shared" si="9"/>
        <v>13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</sheetData>
  <mergeCells count="13">
    <mergeCell ref="A29:G29"/>
    <mergeCell ref="A33:G33"/>
    <mergeCell ref="A37:G37"/>
    <mergeCell ref="A41:G41"/>
    <mergeCell ref="A45:G45"/>
    <mergeCell ref="A49:G49"/>
    <mergeCell ref="A2:G2"/>
    <mergeCell ref="A5:G5"/>
    <mergeCell ref="A9:G9"/>
    <mergeCell ref="A13:G13"/>
    <mergeCell ref="A17:G17"/>
    <mergeCell ref="A21:G21"/>
    <mergeCell ref="A25:G2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333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45600.0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7" t="s">
        <v>334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9" t="s">
        <v>309</v>
      </c>
      <c r="B9" s="40">
        <f t="shared" ref="B9:G9" si="1">SUM(B6:B8)</f>
        <v>0</v>
      </c>
      <c r="C9" s="40">
        <f t="shared" si="1"/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41">
        <v>45601.0</v>
      </c>
      <c r="B10" s="35"/>
      <c r="C10" s="35"/>
      <c r="D10" s="35"/>
      <c r="E10" s="35"/>
      <c r="F10" s="35"/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40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7" t="s">
        <v>34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7" t="s">
        <v>334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9" t="s">
        <v>309</v>
      </c>
      <c r="B14" s="40">
        <f t="shared" ref="B14:G14" si="2">SUM(B11:B13)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40">
        <f t="shared" si="2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41">
        <v>45602.0</v>
      </c>
      <c r="B15" s="35"/>
      <c r="C15" s="35"/>
      <c r="D15" s="35"/>
      <c r="E15" s="35"/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7" t="s">
        <v>40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7" t="s">
        <v>34</v>
      </c>
      <c r="B17" s="38">
        <v>0.0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334</v>
      </c>
      <c r="B18" s="38">
        <v>0.0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9" t="s">
        <v>309</v>
      </c>
      <c r="B19" s="40">
        <f t="shared" ref="B19:G19" si="3">SUM(B16:B18)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41">
        <v>45607.0</v>
      </c>
      <c r="B20" s="35"/>
      <c r="C20" s="35"/>
      <c r="D20" s="35"/>
      <c r="E20" s="35"/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7" t="s">
        <v>40</v>
      </c>
      <c r="B21" s="38">
        <v>0.0</v>
      </c>
      <c r="C21" s="38">
        <v>0.0</v>
      </c>
      <c r="D21" s="38">
        <v>0.0</v>
      </c>
      <c r="E21" s="38">
        <v>0.0</v>
      </c>
      <c r="F21" s="38">
        <v>0.0</v>
      </c>
      <c r="G21" s="38">
        <v>0.0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34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4">SUM(B21:B23)</f>
        <v>0</v>
      </c>
      <c r="C24" s="40">
        <f t="shared" si="4"/>
        <v>0</v>
      </c>
      <c r="D24" s="40">
        <f t="shared" si="4"/>
        <v>0</v>
      </c>
      <c r="E24" s="40">
        <f t="shared" si="4"/>
        <v>0</v>
      </c>
      <c r="F24" s="40">
        <f t="shared" si="4"/>
        <v>0</v>
      </c>
      <c r="G24" s="40">
        <f t="shared" si="4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45608.0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7" t="s">
        <v>334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9" t="s">
        <v>309</v>
      </c>
      <c r="B29" s="40">
        <f t="shared" ref="B29:G29" si="5">SUM(B26:B28)</f>
        <v>0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41">
        <v>45615.0</v>
      </c>
      <c r="B30" s="35"/>
      <c r="C30" s="35"/>
      <c r="D30" s="35"/>
      <c r="E30" s="35"/>
      <c r="F30" s="35"/>
      <c r="G30" s="36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40</v>
      </c>
      <c r="B31" s="38">
        <v>4.0</v>
      </c>
      <c r="C31" s="38">
        <v>3.0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7" t="s">
        <v>34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37" t="s">
        <v>334</v>
      </c>
      <c r="B33" s="38">
        <v>0.0</v>
      </c>
      <c r="C33" s="38">
        <v>0.0</v>
      </c>
      <c r="D33" s="38">
        <v>0.0</v>
      </c>
      <c r="E33" s="38">
        <v>0.0</v>
      </c>
      <c r="F33" s="38">
        <v>0.0</v>
      </c>
      <c r="G33" s="38">
        <v>0.0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9" t="s">
        <v>309</v>
      </c>
      <c r="B34" s="40">
        <f t="shared" ref="B34:G34" si="6">SUM(B31:B32)</f>
        <v>4</v>
      </c>
      <c r="C34" s="40">
        <f t="shared" si="6"/>
        <v>3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41">
        <v>45616.0</v>
      </c>
      <c r="B35" s="35"/>
      <c r="C35" s="35"/>
      <c r="D35" s="35"/>
      <c r="E35" s="35"/>
      <c r="F35" s="35"/>
      <c r="G35" s="3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7" t="s">
        <v>40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37" t="s">
        <v>34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334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9" t="s">
        <v>309</v>
      </c>
      <c r="B39" s="40">
        <f t="shared" ref="B39:G39" si="7">SUM(B36:B38)</f>
        <v>0</v>
      </c>
      <c r="C39" s="40">
        <f t="shared" si="7"/>
        <v>0</v>
      </c>
      <c r="D39" s="40">
        <f t="shared" si="7"/>
        <v>0</v>
      </c>
      <c r="E39" s="40">
        <f t="shared" si="7"/>
        <v>0</v>
      </c>
      <c r="F39" s="40">
        <f t="shared" si="7"/>
        <v>0</v>
      </c>
      <c r="G39" s="40">
        <f t="shared" si="7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41">
        <v>45617.0</v>
      </c>
      <c r="B40" s="35"/>
      <c r="C40" s="35"/>
      <c r="D40" s="35"/>
      <c r="E40" s="35"/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37" t="s">
        <v>40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34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8">SUM(B41:B43)</f>
        <v>0</v>
      </c>
      <c r="C44" s="40">
        <f t="shared" si="8"/>
        <v>0</v>
      </c>
      <c r="D44" s="40">
        <f t="shared" si="8"/>
        <v>0</v>
      </c>
      <c r="E44" s="40">
        <f t="shared" si="8"/>
        <v>0</v>
      </c>
      <c r="F44" s="40">
        <f t="shared" si="8"/>
        <v>0</v>
      </c>
      <c r="G44" s="40">
        <f t="shared" si="8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45618.0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7" t="s">
        <v>334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39" t="s">
        <v>309</v>
      </c>
      <c r="B49" s="40">
        <f t="shared" ref="B49:G49" si="9">SUM(B46:B48)</f>
        <v>0</v>
      </c>
      <c r="C49" s="40">
        <f t="shared" si="9"/>
        <v>0</v>
      </c>
      <c r="D49" s="40">
        <f t="shared" si="9"/>
        <v>0</v>
      </c>
      <c r="E49" s="40">
        <f t="shared" si="9"/>
        <v>0</v>
      </c>
      <c r="F49" s="40">
        <f t="shared" si="9"/>
        <v>0</v>
      </c>
      <c r="G49" s="40">
        <f t="shared" si="9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41">
        <v>45622.0</v>
      </c>
      <c r="B50" s="35"/>
      <c r="C50" s="35"/>
      <c r="D50" s="35"/>
      <c r="E50" s="35"/>
      <c r="F50" s="35"/>
      <c r="G50" s="3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40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7" t="s">
        <v>34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7" t="s">
        <v>334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9" t="s">
        <v>309</v>
      </c>
      <c r="B54" s="40">
        <f t="shared" ref="B54:G54" si="10">SUM(B51:B53)</f>
        <v>0</v>
      </c>
      <c r="C54" s="40">
        <f t="shared" si="10"/>
        <v>0</v>
      </c>
      <c r="D54" s="40">
        <f t="shared" si="10"/>
        <v>0</v>
      </c>
      <c r="E54" s="40">
        <f t="shared" si="10"/>
        <v>0</v>
      </c>
      <c r="F54" s="40">
        <f t="shared" si="10"/>
        <v>0</v>
      </c>
      <c r="G54" s="40">
        <f t="shared" si="10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41">
        <v>45623.0</v>
      </c>
      <c r="B55" s="35"/>
      <c r="C55" s="35"/>
      <c r="D55" s="35"/>
      <c r="E55" s="35"/>
      <c r="F55" s="35"/>
      <c r="G55" s="36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7" t="s">
        <v>40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37" t="s">
        <v>34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334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9" t="s">
        <v>309</v>
      </c>
      <c r="B59" s="40">
        <f t="shared" ref="B59:G59" si="11">SUM(B56:B58)</f>
        <v>0</v>
      </c>
      <c r="C59" s="40">
        <f t="shared" si="11"/>
        <v>0</v>
      </c>
      <c r="D59" s="40">
        <f t="shared" si="11"/>
        <v>0</v>
      </c>
      <c r="E59" s="40">
        <f t="shared" si="11"/>
        <v>0</v>
      </c>
      <c r="F59" s="40">
        <f t="shared" si="11"/>
        <v>0</v>
      </c>
      <c r="G59" s="40">
        <f t="shared" si="11"/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41">
        <v>45624.0</v>
      </c>
      <c r="B60" s="35"/>
      <c r="C60" s="35"/>
      <c r="D60" s="35"/>
      <c r="E60" s="35"/>
      <c r="F60" s="35"/>
      <c r="G60" s="36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37" t="s">
        <v>40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34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f t="shared" ref="B64:G64" si="12">SUM(B61:B63)</f>
        <v>0</v>
      </c>
      <c r="C64" s="40">
        <f t="shared" si="12"/>
        <v>0</v>
      </c>
      <c r="D64" s="40">
        <f t="shared" si="12"/>
        <v>0</v>
      </c>
      <c r="E64" s="40">
        <f t="shared" si="12"/>
        <v>0</v>
      </c>
      <c r="F64" s="40">
        <f t="shared" si="12"/>
        <v>0</v>
      </c>
      <c r="G64" s="40">
        <f t="shared" si="12"/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41">
        <v>45625.0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8.0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8.0" customHeight="1">
      <c r="A68" s="37" t="s">
        <v>334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8.0" customHeight="1">
      <c r="A69" s="39" t="s">
        <v>309</v>
      </c>
      <c r="B69" s="40">
        <f t="shared" ref="B69:G69" si="13">SUM(B66:B68)</f>
        <v>0</v>
      </c>
      <c r="C69" s="40">
        <f t="shared" si="13"/>
        <v>0</v>
      </c>
      <c r="D69" s="40">
        <f t="shared" si="13"/>
        <v>0</v>
      </c>
      <c r="E69" s="40">
        <f t="shared" si="13"/>
        <v>0</v>
      </c>
      <c r="F69" s="40">
        <f t="shared" si="13"/>
        <v>0</v>
      </c>
      <c r="G69" s="40">
        <f t="shared" si="13"/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8.0" customHeight="1">
      <c r="A70" s="41">
        <v>45626.0</v>
      </c>
      <c r="B70" s="35"/>
      <c r="C70" s="35"/>
      <c r="D70" s="35"/>
      <c r="E70" s="35"/>
      <c r="F70" s="35"/>
      <c r="G70" s="36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8.0" customHeight="1">
      <c r="A71" s="37" t="s">
        <v>40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8.0" customHeight="1">
      <c r="A72" s="37" t="s">
        <v>34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8.0" customHeight="1">
      <c r="A73" s="37" t="s">
        <v>334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8.0" customHeight="1">
      <c r="A74" s="39" t="s">
        <v>309</v>
      </c>
      <c r="B74" s="40">
        <f t="shared" ref="B74:G74" si="14">SUM(B71:B73)</f>
        <v>0</v>
      </c>
      <c r="C74" s="40">
        <f t="shared" si="14"/>
        <v>0</v>
      </c>
      <c r="D74" s="40">
        <f t="shared" si="14"/>
        <v>0</v>
      </c>
      <c r="E74" s="40">
        <f t="shared" si="14"/>
        <v>0</v>
      </c>
      <c r="F74" s="40">
        <f t="shared" si="14"/>
        <v>0</v>
      </c>
      <c r="G74" s="40">
        <f t="shared" si="14"/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8.0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8.0" customHeight="1">
      <c r="A76" s="42" t="s">
        <v>330</v>
      </c>
      <c r="B76" s="43">
        <f t="shared" ref="B76:G76" si="15">SUM(B9,B14,B19,B24,B29,B34,B39,B44,B49,B54,B59,B64,B69,B74)</f>
        <v>4</v>
      </c>
      <c r="C76" s="43">
        <f t="shared" si="15"/>
        <v>3</v>
      </c>
      <c r="D76" s="43">
        <f t="shared" si="15"/>
        <v>0</v>
      </c>
      <c r="E76" s="43">
        <f t="shared" si="15"/>
        <v>0</v>
      </c>
      <c r="F76" s="43">
        <f t="shared" si="15"/>
        <v>0</v>
      </c>
      <c r="G76" s="43">
        <f t="shared" si="15"/>
        <v>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</sheetData>
  <mergeCells count="15">
    <mergeCell ref="A35:G35"/>
    <mergeCell ref="A40:G40"/>
    <mergeCell ref="A45:G45"/>
    <mergeCell ref="A50:G50"/>
    <mergeCell ref="A55:G55"/>
    <mergeCell ref="A60:G60"/>
    <mergeCell ref="A65:G65"/>
    <mergeCell ref="A70:G70"/>
    <mergeCell ref="A2:G2"/>
    <mergeCell ref="A5:G5"/>
    <mergeCell ref="A10:G10"/>
    <mergeCell ref="A15:G15"/>
    <mergeCell ref="A20:G20"/>
    <mergeCell ref="A25:G25"/>
    <mergeCell ref="A30:G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333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45600.0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7" t="s">
        <v>334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9" t="s">
        <v>309</v>
      </c>
      <c r="B9" s="40">
        <f t="shared" ref="B9:G9" si="1">SUM(B6:B8)</f>
        <v>0</v>
      </c>
      <c r="C9" s="40">
        <f t="shared" si="1"/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41">
        <v>45601.0</v>
      </c>
      <c r="B10" s="35"/>
      <c r="C10" s="35"/>
      <c r="D10" s="35"/>
      <c r="E10" s="35"/>
      <c r="F10" s="35"/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40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7" t="s">
        <v>34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7" t="s">
        <v>334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9" t="s">
        <v>309</v>
      </c>
      <c r="B14" s="40">
        <f t="shared" ref="B14:G14" si="2">SUM(B11:B13)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40">
        <f t="shared" si="2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41">
        <v>45602.0</v>
      </c>
      <c r="B15" s="35"/>
      <c r="C15" s="35"/>
      <c r="D15" s="35"/>
      <c r="E15" s="35"/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7" t="s">
        <v>40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7" t="s">
        <v>34</v>
      </c>
      <c r="B17" s="38">
        <v>0.0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334</v>
      </c>
      <c r="B18" s="38">
        <v>0.0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9" t="s">
        <v>309</v>
      </c>
      <c r="B19" s="40">
        <f t="shared" ref="B19:G19" si="3">SUM(B16:B18)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41">
        <v>45607.0</v>
      </c>
      <c r="B20" s="35"/>
      <c r="C20" s="35"/>
      <c r="D20" s="35"/>
      <c r="E20" s="35"/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7" t="s">
        <v>40</v>
      </c>
      <c r="B21" s="38">
        <v>0.0</v>
      </c>
      <c r="C21" s="38">
        <v>0.0</v>
      </c>
      <c r="D21" s="38">
        <v>0.0</v>
      </c>
      <c r="E21" s="38">
        <v>0.0</v>
      </c>
      <c r="F21" s="38">
        <v>0.0</v>
      </c>
      <c r="G21" s="38">
        <v>0.0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34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4">SUM(B21:B23)</f>
        <v>0</v>
      </c>
      <c r="C24" s="40">
        <f t="shared" si="4"/>
        <v>0</v>
      </c>
      <c r="D24" s="40">
        <f t="shared" si="4"/>
        <v>0</v>
      </c>
      <c r="E24" s="40">
        <f t="shared" si="4"/>
        <v>0</v>
      </c>
      <c r="F24" s="40">
        <f t="shared" si="4"/>
        <v>0</v>
      </c>
      <c r="G24" s="40">
        <f t="shared" si="4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45608.0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7" t="s">
        <v>334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9" t="s">
        <v>309</v>
      </c>
      <c r="B29" s="40">
        <f t="shared" ref="B29:G29" si="5">SUM(B26:B28)</f>
        <v>0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41">
        <v>45615.0</v>
      </c>
      <c r="B30" s="35"/>
      <c r="C30" s="35"/>
      <c r="D30" s="35"/>
      <c r="E30" s="35"/>
      <c r="F30" s="35"/>
      <c r="G30" s="36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40</v>
      </c>
      <c r="B31" s="38">
        <v>4.0</v>
      </c>
      <c r="C31" s="38">
        <v>3.0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7" t="s">
        <v>34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37" t="s">
        <v>334</v>
      </c>
      <c r="B33" s="38">
        <v>0.0</v>
      </c>
      <c r="C33" s="38">
        <v>0.0</v>
      </c>
      <c r="D33" s="38">
        <v>0.0</v>
      </c>
      <c r="E33" s="38">
        <v>0.0</v>
      </c>
      <c r="F33" s="38">
        <v>0.0</v>
      </c>
      <c r="G33" s="38">
        <v>0.0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9" t="s">
        <v>309</v>
      </c>
      <c r="B34" s="40">
        <f t="shared" ref="B34:G34" si="6">SUM(B31:B32)</f>
        <v>4</v>
      </c>
      <c r="C34" s="40">
        <f t="shared" si="6"/>
        <v>3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41">
        <v>45616.0</v>
      </c>
      <c r="B35" s="35"/>
      <c r="C35" s="35"/>
      <c r="D35" s="35"/>
      <c r="E35" s="35"/>
      <c r="F35" s="35"/>
      <c r="G35" s="3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7" t="s">
        <v>40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37" t="s">
        <v>34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334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9" t="s">
        <v>309</v>
      </c>
      <c r="B39" s="40">
        <f t="shared" ref="B39:G39" si="7">SUM(B36:B38)</f>
        <v>0</v>
      </c>
      <c r="C39" s="40">
        <f t="shared" si="7"/>
        <v>0</v>
      </c>
      <c r="D39" s="40">
        <f t="shared" si="7"/>
        <v>0</v>
      </c>
      <c r="E39" s="40">
        <f t="shared" si="7"/>
        <v>0</v>
      </c>
      <c r="F39" s="40">
        <f t="shared" si="7"/>
        <v>0</v>
      </c>
      <c r="G39" s="40">
        <f t="shared" si="7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41">
        <v>45617.0</v>
      </c>
      <c r="B40" s="35"/>
      <c r="C40" s="35"/>
      <c r="D40" s="35"/>
      <c r="E40" s="35"/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37" t="s">
        <v>40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34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8">SUM(B41:B43)</f>
        <v>0</v>
      </c>
      <c r="C44" s="40">
        <f t="shared" si="8"/>
        <v>0</v>
      </c>
      <c r="D44" s="40">
        <f t="shared" si="8"/>
        <v>0</v>
      </c>
      <c r="E44" s="40">
        <f t="shared" si="8"/>
        <v>0</v>
      </c>
      <c r="F44" s="40">
        <f t="shared" si="8"/>
        <v>0</v>
      </c>
      <c r="G44" s="40">
        <f t="shared" si="8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45618.0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7" t="s">
        <v>334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39" t="s">
        <v>309</v>
      </c>
      <c r="B49" s="40">
        <f t="shared" ref="B49:G49" si="9">SUM(B46:B48)</f>
        <v>0</v>
      </c>
      <c r="C49" s="40">
        <f t="shared" si="9"/>
        <v>0</v>
      </c>
      <c r="D49" s="40">
        <f t="shared" si="9"/>
        <v>0</v>
      </c>
      <c r="E49" s="40">
        <f t="shared" si="9"/>
        <v>0</v>
      </c>
      <c r="F49" s="40">
        <f t="shared" si="9"/>
        <v>0</v>
      </c>
      <c r="G49" s="40">
        <f t="shared" si="9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41">
        <v>45622.0</v>
      </c>
      <c r="B50" s="35"/>
      <c r="C50" s="35"/>
      <c r="D50" s="35"/>
      <c r="E50" s="35"/>
      <c r="F50" s="35"/>
      <c r="G50" s="3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40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7" t="s">
        <v>34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7" t="s">
        <v>334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9" t="s">
        <v>309</v>
      </c>
      <c r="B54" s="40">
        <f t="shared" ref="B54:G54" si="10">SUM(B51:B53)</f>
        <v>0</v>
      </c>
      <c r="C54" s="40">
        <f t="shared" si="10"/>
        <v>0</v>
      </c>
      <c r="D54" s="40">
        <f t="shared" si="10"/>
        <v>0</v>
      </c>
      <c r="E54" s="40">
        <f t="shared" si="10"/>
        <v>0</v>
      </c>
      <c r="F54" s="40">
        <f t="shared" si="10"/>
        <v>0</v>
      </c>
      <c r="G54" s="40">
        <f t="shared" si="10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41">
        <v>45623.0</v>
      </c>
      <c r="B55" s="35"/>
      <c r="C55" s="35"/>
      <c r="D55" s="35"/>
      <c r="E55" s="35"/>
      <c r="F55" s="35"/>
      <c r="G55" s="36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7" t="s">
        <v>40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37" t="s">
        <v>34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334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9" t="s">
        <v>309</v>
      </c>
      <c r="B59" s="40">
        <f t="shared" ref="B59:G59" si="11">SUM(B56:B58)</f>
        <v>0</v>
      </c>
      <c r="C59" s="40">
        <f t="shared" si="11"/>
        <v>0</v>
      </c>
      <c r="D59" s="40">
        <f t="shared" si="11"/>
        <v>0</v>
      </c>
      <c r="E59" s="40">
        <f t="shared" si="11"/>
        <v>0</v>
      </c>
      <c r="F59" s="40">
        <f t="shared" si="11"/>
        <v>0</v>
      </c>
      <c r="G59" s="40">
        <f t="shared" si="11"/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41">
        <v>45624.0</v>
      </c>
      <c r="B60" s="35"/>
      <c r="C60" s="35"/>
      <c r="D60" s="35"/>
      <c r="E60" s="35"/>
      <c r="F60" s="35"/>
      <c r="G60" s="36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37" t="s">
        <v>40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34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f t="shared" ref="B64:G64" si="12">SUM(B61:B63)</f>
        <v>0</v>
      </c>
      <c r="C64" s="40">
        <f t="shared" si="12"/>
        <v>0</v>
      </c>
      <c r="D64" s="40">
        <f t="shared" si="12"/>
        <v>0</v>
      </c>
      <c r="E64" s="40">
        <f t="shared" si="12"/>
        <v>0</v>
      </c>
      <c r="F64" s="40">
        <f t="shared" si="12"/>
        <v>0</v>
      </c>
      <c r="G64" s="40">
        <f t="shared" si="12"/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41">
        <v>45625.0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8.0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8.0" customHeight="1">
      <c r="A68" s="37" t="s">
        <v>334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8.0" customHeight="1">
      <c r="A69" s="39" t="s">
        <v>309</v>
      </c>
      <c r="B69" s="40">
        <f t="shared" ref="B69:G69" si="13">SUM(B66:B68)</f>
        <v>0</v>
      </c>
      <c r="C69" s="40">
        <f t="shared" si="13"/>
        <v>0</v>
      </c>
      <c r="D69" s="40">
        <f t="shared" si="13"/>
        <v>0</v>
      </c>
      <c r="E69" s="40">
        <f t="shared" si="13"/>
        <v>0</v>
      </c>
      <c r="F69" s="40">
        <f t="shared" si="13"/>
        <v>0</v>
      </c>
      <c r="G69" s="40">
        <f t="shared" si="13"/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8.0" customHeight="1">
      <c r="A70" s="41">
        <v>45626.0</v>
      </c>
      <c r="B70" s="35"/>
      <c r="C70" s="35"/>
      <c r="D70" s="35"/>
      <c r="E70" s="35"/>
      <c r="F70" s="35"/>
      <c r="G70" s="36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8.0" customHeight="1">
      <c r="A71" s="37" t="s">
        <v>40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8.0" customHeight="1">
      <c r="A72" s="37" t="s">
        <v>34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8.0" customHeight="1">
      <c r="A73" s="37" t="s">
        <v>334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8.0" customHeight="1">
      <c r="A74" s="39" t="s">
        <v>309</v>
      </c>
      <c r="B74" s="40">
        <f t="shared" ref="B74:G74" si="14">SUM(B71:B73)</f>
        <v>0</v>
      </c>
      <c r="C74" s="40">
        <f t="shared" si="14"/>
        <v>0</v>
      </c>
      <c r="D74" s="40">
        <f t="shared" si="14"/>
        <v>0</v>
      </c>
      <c r="E74" s="40">
        <f t="shared" si="14"/>
        <v>0</v>
      </c>
      <c r="F74" s="40">
        <f t="shared" si="14"/>
        <v>0</v>
      </c>
      <c r="G74" s="40">
        <f t="shared" si="14"/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8.0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8.0" customHeight="1">
      <c r="A76" s="42" t="s">
        <v>330</v>
      </c>
      <c r="B76" s="43">
        <f t="shared" ref="B76:G76" si="15">SUM(B9,B14,B19,B24,B29,B34,B39,B44,B49,B54,B59,B64,B69,B74)</f>
        <v>4</v>
      </c>
      <c r="C76" s="43">
        <f t="shared" si="15"/>
        <v>3</v>
      </c>
      <c r="D76" s="43">
        <f t="shared" si="15"/>
        <v>0</v>
      </c>
      <c r="E76" s="43">
        <f t="shared" si="15"/>
        <v>0</v>
      </c>
      <c r="F76" s="43">
        <f t="shared" si="15"/>
        <v>0</v>
      </c>
      <c r="G76" s="43">
        <f t="shared" si="15"/>
        <v>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</sheetData>
  <mergeCells count="15">
    <mergeCell ref="A35:G35"/>
    <mergeCell ref="A40:G40"/>
    <mergeCell ref="A45:G45"/>
    <mergeCell ref="A50:G50"/>
    <mergeCell ref="A55:G55"/>
    <mergeCell ref="A60:G60"/>
    <mergeCell ref="A65:G65"/>
    <mergeCell ref="A70:G70"/>
    <mergeCell ref="A2:G2"/>
    <mergeCell ref="A5:G5"/>
    <mergeCell ref="A10:G10"/>
    <mergeCell ref="A15:G15"/>
    <mergeCell ref="A20:G20"/>
    <mergeCell ref="A25:G25"/>
    <mergeCell ref="A30:G3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335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45628.0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7" t="s">
        <v>334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9" t="s">
        <v>309</v>
      </c>
      <c r="B9" s="40">
        <f t="shared" ref="B9:G9" si="1">SUM(B6:B8)</f>
        <v>0</v>
      </c>
      <c r="C9" s="40">
        <f t="shared" si="1"/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41">
        <v>45629.0</v>
      </c>
      <c r="B10" s="35"/>
      <c r="C10" s="35"/>
      <c r="D10" s="35"/>
      <c r="E10" s="35"/>
      <c r="F10" s="35"/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40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7" t="s">
        <v>34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7" t="s">
        <v>334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9" t="s">
        <v>309</v>
      </c>
      <c r="B14" s="40">
        <f t="shared" ref="B14:G14" si="2">SUM(B11:B13)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40">
        <f t="shared" si="2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41">
        <v>45630.0</v>
      </c>
      <c r="B15" s="35"/>
      <c r="C15" s="35"/>
      <c r="D15" s="35"/>
      <c r="E15" s="35"/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7" t="s">
        <v>40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7" t="s">
        <v>34</v>
      </c>
      <c r="B17" s="38">
        <v>0.0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334</v>
      </c>
      <c r="B18" s="38">
        <v>0.0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9" t="s">
        <v>309</v>
      </c>
      <c r="B19" s="40">
        <f t="shared" ref="B19:G19" si="3">SUM(B16:B18)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41">
        <v>45631.0</v>
      </c>
      <c r="B20" s="35"/>
      <c r="C20" s="35"/>
      <c r="D20" s="35"/>
      <c r="E20" s="35"/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7" t="s">
        <v>40</v>
      </c>
      <c r="B21" s="38">
        <v>1.0</v>
      </c>
      <c r="C21" s="38">
        <v>1.0</v>
      </c>
      <c r="D21" s="38">
        <v>0.0</v>
      </c>
      <c r="E21" s="38">
        <v>0.0</v>
      </c>
      <c r="F21" s="38">
        <v>0.0</v>
      </c>
      <c r="G21" s="38">
        <v>0.0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34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4">SUM(B21:B23)</f>
        <v>1</v>
      </c>
      <c r="C24" s="40">
        <f t="shared" si="4"/>
        <v>1</v>
      </c>
      <c r="D24" s="40">
        <f t="shared" si="4"/>
        <v>0</v>
      </c>
      <c r="E24" s="40">
        <f t="shared" si="4"/>
        <v>0</v>
      </c>
      <c r="F24" s="40">
        <f t="shared" si="4"/>
        <v>0</v>
      </c>
      <c r="G24" s="40">
        <f t="shared" si="4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45632.0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1.0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7" t="s">
        <v>334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9" t="s">
        <v>309</v>
      </c>
      <c r="B29" s="40">
        <f t="shared" ref="B29:G29" si="5">SUM(B26:B28)</f>
        <v>1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41">
        <v>45633.0</v>
      </c>
      <c r="B30" s="35"/>
      <c r="C30" s="35"/>
      <c r="D30" s="35"/>
      <c r="E30" s="35"/>
      <c r="F30" s="35"/>
      <c r="G30" s="36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40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7" t="s">
        <v>34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37" t="s">
        <v>334</v>
      </c>
      <c r="B33" s="38">
        <v>0.0</v>
      </c>
      <c r="C33" s="38">
        <v>0.0</v>
      </c>
      <c r="D33" s="38">
        <v>0.0</v>
      </c>
      <c r="E33" s="38">
        <v>0.0</v>
      </c>
      <c r="F33" s="38">
        <v>0.0</v>
      </c>
      <c r="G33" s="38">
        <v>0.0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9" t="s">
        <v>309</v>
      </c>
      <c r="B34" s="40">
        <f t="shared" ref="B34:G34" si="6">SUM(B31:B32)</f>
        <v>0</v>
      </c>
      <c r="C34" s="40">
        <f t="shared" si="6"/>
        <v>0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41">
        <v>45635.0</v>
      </c>
      <c r="B35" s="35"/>
      <c r="C35" s="35"/>
      <c r="D35" s="35"/>
      <c r="E35" s="35"/>
      <c r="F35" s="35"/>
      <c r="G35" s="3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7" t="s">
        <v>40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37" t="s">
        <v>34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334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9" t="s">
        <v>309</v>
      </c>
      <c r="B39" s="40">
        <f t="shared" ref="B39:G39" si="7">SUM(B36:B38)</f>
        <v>0</v>
      </c>
      <c r="C39" s="40">
        <f t="shared" si="7"/>
        <v>0</v>
      </c>
      <c r="D39" s="40">
        <f t="shared" si="7"/>
        <v>0</v>
      </c>
      <c r="E39" s="40">
        <f t="shared" si="7"/>
        <v>0</v>
      </c>
      <c r="F39" s="40">
        <f t="shared" si="7"/>
        <v>0</v>
      </c>
      <c r="G39" s="40">
        <f t="shared" si="7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41">
        <v>45636.0</v>
      </c>
      <c r="B40" s="35"/>
      <c r="C40" s="35"/>
      <c r="D40" s="35"/>
      <c r="E40" s="35"/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37" t="s">
        <v>40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34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8">SUM(B41:B43)</f>
        <v>0</v>
      </c>
      <c r="C44" s="40">
        <f t="shared" si="8"/>
        <v>0</v>
      </c>
      <c r="D44" s="40">
        <f t="shared" si="8"/>
        <v>0</v>
      </c>
      <c r="E44" s="40">
        <f t="shared" si="8"/>
        <v>0</v>
      </c>
      <c r="F44" s="40">
        <f t="shared" si="8"/>
        <v>0</v>
      </c>
      <c r="G44" s="40">
        <f t="shared" si="8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45637.0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1.0</v>
      </c>
      <c r="C46" s="38">
        <v>1.0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7" t="s">
        <v>334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39" t="s">
        <v>309</v>
      </c>
      <c r="B49" s="40">
        <f t="shared" ref="B49:G49" si="9">SUM(B46:B48)</f>
        <v>1</v>
      </c>
      <c r="C49" s="40">
        <f t="shared" si="9"/>
        <v>1</v>
      </c>
      <c r="D49" s="40">
        <f t="shared" si="9"/>
        <v>0</v>
      </c>
      <c r="E49" s="40">
        <f t="shared" si="9"/>
        <v>0</v>
      </c>
      <c r="F49" s="40">
        <f t="shared" si="9"/>
        <v>0</v>
      </c>
      <c r="G49" s="40">
        <f t="shared" si="9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41">
        <v>45638.0</v>
      </c>
      <c r="B50" s="35"/>
      <c r="C50" s="35"/>
      <c r="D50" s="35"/>
      <c r="E50" s="35"/>
      <c r="F50" s="35"/>
      <c r="G50" s="3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40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7" t="s">
        <v>34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7" t="s">
        <v>334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9" t="s">
        <v>309</v>
      </c>
      <c r="B54" s="40">
        <f t="shared" ref="B54:G54" si="10">SUM(B51:B53)</f>
        <v>0</v>
      </c>
      <c r="C54" s="40">
        <f t="shared" si="10"/>
        <v>0</v>
      </c>
      <c r="D54" s="40">
        <f t="shared" si="10"/>
        <v>0</v>
      </c>
      <c r="E54" s="40">
        <f t="shared" si="10"/>
        <v>0</v>
      </c>
      <c r="F54" s="40">
        <f t="shared" si="10"/>
        <v>0</v>
      </c>
      <c r="G54" s="40">
        <f t="shared" si="10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41">
        <v>45639.0</v>
      </c>
      <c r="B55" s="35"/>
      <c r="C55" s="35"/>
      <c r="D55" s="35"/>
      <c r="E55" s="35"/>
      <c r="F55" s="35"/>
      <c r="G55" s="36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7" t="s">
        <v>40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37" t="s">
        <v>34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334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9" t="s">
        <v>309</v>
      </c>
      <c r="B59" s="40">
        <f t="shared" ref="B59:G59" si="11">SUM(B56:B58)</f>
        <v>0</v>
      </c>
      <c r="C59" s="40">
        <f t="shared" si="11"/>
        <v>0</v>
      </c>
      <c r="D59" s="40">
        <f t="shared" si="11"/>
        <v>0</v>
      </c>
      <c r="E59" s="40">
        <f t="shared" si="11"/>
        <v>0</v>
      </c>
      <c r="F59" s="40">
        <f t="shared" si="11"/>
        <v>0</v>
      </c>
      <c r="G59" s="40">
        <f t="shared" si="11"/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41">
        <v>45640.0</v>
      </c>
      <c r="B60" s="35"/>
      <c r="C60" s="35"/>
      <c r="D60" s="35"/>
      <c r="E60" s="35"/>
      <c r="F60" s="35"/>
      <c r="G60" s="36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37" t="s">
        <v>40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34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f t="shared" ref="B64:G64" si="12">SUM(B61:B63)</f>
        <v>0</v>
      </c>
      <c r="C64" s="40">
        <f t="shared" si="12"/>
        <v>0</v>
      </c>
      <c r="D64" s="40">
        <f t="shared" si="12"/>
        <v>0</v>
      </c>
      <c r="E64" s="40">
        <f t="shared" si="12"/>
        <v>0</v>
      </c>
      <c r="F64" s="40">
        <f t="shared" si="12"/>
        <v>0</v>
      </c>
      <c r="G64" s="40">
        <f t="shared" si="12"/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41">
        <v>45642.0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8.0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8.0" customHeight="1">
      <c r="A68" s="37" t="s">
        <v>334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8.0" customHeight="1">
      <c r="A69" s="39" t="s">
        <v>309</v>
      </c>
      <c r="B69" s="40">
        <f t="shared" ref="B69:G69" si="13">SUM(B66:B68)</f>
        <v>0</v>
      </c>
      <c r="C69" s="40">
        <f t="shared" si="13"/>
        <v>0</v>
      </c>
      <c r="D69" s="40">
        <f t="shared" si="13"/>
        <v>0</v>
      </c>
      <c r="E69" s="40">
        <f t="shared" si="13"/>
        <v>0</v>
      </c>
      <c r="F69" s="40">
        <f t="shared" si="13"/>
        <v>0</v>
      </c>
      <c r="G69" s="40">
        <f t="shared" si="13"/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8.0" customHeight="1">
      <c r="A70" s="41">
        <v>45643.0</v>
      </c>
      <c r="B70" s="35"/>
      <c r="C70" s="35"/>
      <c r="D70" s="35"/>
      <c r="E70" s="35"/>
      <c r="F70" s="35"/>
      <c r="G70" s="36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8.0" customHeight="1">
      <c r="A71" s="37" t="s">
        <v>40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8.0" customHeight="1">
      <c r="A72" s="37" t="s">
        <v>34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8.0" customHeight="1">
      <c r="A73" s="37" t="s">
        <v>334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8.0" customHeight="1">
      <c r="A74" s="39" t="s">
        <v>309</v>
      </c>
      <c r="B74" s="40">
        <f t="shared" ref="B74:G74" si="14">SUM(B71:B73)</f>
        <v>0</v>
      </c>
      <c r="C74" s="40">
        <f t="shared" si="14"/>
        <v>0</v>
      </c>
      <c r="D74" s="40">
        <f t="shared" si="14"/>
        <v>0</v>
      </c>
      <c r="E74" s="40">
        <f t="shared" si="14"/>
        <v>0</v>
      </c>
      <c r="F74" s="40">
        <f t="shared" si="14"/>
        <v>0</v>
      </c>
      <c r="G74" s="40">
        <f t="shared" si="14"/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8.0" customHeight="1">
      <c r="A75" s="41">
        <v>45644.0</v>
      </c>
      <c r="B75" s="35"/>
      <c r="C75" s="35"/>
      <c r="D75" s="35"/>
      <c r="E75" s="35"/>
      <c r="F75" s="35"/>
      <c r="G75" s="36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8.0" customHeight="1">
      <c r="A76" s="37" t="s">
        <v>40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7" t="s">
        <v>34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7" t="s">
        <v>334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9" t="s">
        <v>309</v>
      </c>
      <c r="B79" s="40">
        <f t="shared" ref="B79:G79" si="15">SUM(B76:B78)</f>
        <v>0</v>
      </c>
      <c r="C79" s="40">
        <f t="shared" si="15"/>
        <v>0</v>
      </c>
      <c r="D79" s="40">
        <f t="shared" si="15"/>
        <v>0</v>
      </c>
      <c r="E79" s="40">
        <f t="shared" si="15"/>
        <v>0</v>
      </c>
      <c r="F79" s="40">
        <f t="shared" si="15"/>
        <v>0</v>
      </c>
      <c r="G79" s="40">
        <f t="shared" si="15"/>
        <v>0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41">
        <v>45645.0</v>
      </c>
      <c r="B80" s="35"/>
      <c r="C80" s="35"/>
      <c r="D80" s="35"/>
      <c r="E80" s="35"/>
      <c r="F80" s="35"/>
      <c r="G80" s="36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7" t="s">
        <v>40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7" t="s">
        <v>34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7" t="s">
        <v>334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9" t="s">
        <v>309</v>
      </c>
      <c r="B84" s="40">
        <f t="shared" ref="B84:G84" si="16">SUM(B81:B83)</f>
        <v>0</v>
      </c>
      <c r="C84" s="40">
        <f t="shared" si="16"/>
        <v>0</v>
      </c>
      <c r="D84" s="40">
        <f t="shared" si="16"/>
        <v>0</v>
      </c>
      <c r="E84" s="40">
        <f t="shared" si="16"/>
        <v>0</v>
      </c>
      <c r="F84" s="40">
        <f t="shared" si="16"/>
        <v>0</v>
      </c>
      <c r="G84" s="40">
        <f t="shared" si="16"/>
        <v>0</v>
      </c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41">
        <v>45646.0</v>
      </c>
      <c r="B85" s="35"/>
      <c r="C85" s="35"/>
      <c r="D85" s="35"/>
      <c r="E85" s="35"/>
      <c r="F85" s="35"/>
      <c r="G85" s="36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7" t="s">
        <v>40</v>
      </c>
      <c r="B86" s="38">
        <v>0.0</v>
      </c>
      <c r="C86" s="38">
        <v>0.0</v>
      </c>
      <c r="D86" s="38">
        <v>0.0</v>
      </c>
      <c r="E86" s="38">
        <v>0.0</v>
      </c>
      <c r="F86" s="38">
        <v>0.0</v>
      </c>
      <c r="G86" s="38">
        <v>0.0</v>
      </c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7" t="s">
        <v>34</v>
      </c>
      <c r="B87" s="38">
        <v>0.0</v>
      </c>
      <c r="C87" s="38">
        <v>0.0</v>
      </c>
      <c r="D87" s="38">
        <v>0.0</v>
      </c>
      <c r="E87" s="38">
        <v>0.0</v>
      </c>
      <c r="F87" s="38">
        <v>0.0</v>
      </c>
      <c r="G87" s="38">
        <v>0.0</v>
      </c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7" t="s">
        <v>334</v>
      </c>
      <c r="B88" s="38">
        <v>0.0</v>
      </c>
      <c r="C88" s="38">
        <v>0.0</v>
      </c>
      <c r="D88" s="38">
        <v>0.0</v>
      </c>
      <c r="E88" s="38">
        <v>0.0</v>
      </c>
      <c r="F88" s="38">
        <v>0.0</v>
      </c>
      <c r="G88" s="38">
        <v>0.0</v>
      </c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9" t="s">
        <v>309</v>
      </c>
      <c r="B89" s="40">
        <f t="shared" ref="B89:G89" si="17">SUM(B86:B88)</f>
        <v>0</v>
      </c>
      <c r="C89" s="40">
        <f t="shared" si="17"/>
        <v>0</v>
      </c>
      <c r="D89" s="40">
        <f t="shared" si="17"/>
        <v>0</v>
      </c>
      <c r="E89" s="40">
        <f t="shared" si="17"/>
        <v>0</v>
      </c>
      <c r="F89" s="40">
        <f t="shared" si="17"/>
        <v>0</v>
      </c>
      <c r="G89" s="40">
        <f t="shared" si="17"/>
        <v>0</v>
      </c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41">
        <v>45647.0</v>
      </c>
      <c r="B90" s="35"/>
      <c r="C90" s="35"/>
      <c r="D90" s="35"/>
      <c r="E90" s="35"/>
      <c r="F90" s="35"/>
      <c r="G90" s="36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7" t="s">
        <v>40</v>
      </c>
      <c r="B91" s="38">
        <v>0.0</v>
      </c>
      <c r="C91" s="38">
        <v>0.0</v>
      </c>
      <c r="D91" s="38">
        <v>0.0</v>
      </c>
      <c r="E91" s="38">
        <v>0.0</v>
      </c>
      <c r="F91" s="38">
        <v>0.0</v>
      </c>
      <c r="G91" s="38">
        <v>0.0</v>
      </c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7" t="s">
        <v>34</v>
      </c>
      <c r="B92" s="38">
        <v>0.0</v>
      </c>
      <c r="C92" s="38">
        <v>0.0</v>
      </c>
      <c r="D92" s="38">
        <v>0.0</v>
      </c>
      <c r="E92" s="38">
        <v>0.0</v>
      </c>
      <c r="F92" s="38">
        <v>0.0</v>
      </c>
      <c r="G92" s="38">
        <v>0.0</v>
      </c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7" t="s">
        <v>334</v>
      </c>
      <c r="B93" s="38">
        <v>0.0</v>
      </c>
      <c r="C93" s="38">
        <v>0.0</v>
      </c>
      <c r="D93" s="38">
        <v>0.0</v>
      </c>
      <c r="E93" s="38">
        <v>0.0</v>
      </c>
      <c r="F93" s="38">
        <v>0.0</v>
      </c>
      <c r="G93" s="38">
        <v>0.0</v>
      </c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9" t="s">
        <v>309</v>
      </c>
      <c r="B94" s="40">
        <f t="shared" ref="B94:G94" si="18">SUM(B91:B93)</f>
        <v>0</v>
      </c>
      <c r="C94" s="40">
        <f t="shared" si="18"/>
        <v>0</v>
      </c>
      <c r="D94" s="40">
        <f t="shared" si="18"/>
        <v>0</v>
      </c>
      <c r="E94" s="40">
        <f t="shared" si="18"/>
        <v>0</v>
      </c>
      <c r="F94" s="40">
        <f t="shared" si="18"/>
        <v>0</v>
      </c>
      <c r="G94" s="40">
        <f t="shared" si="18"/>
        <v>0</v>
      </c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41">
        <v>45649.0</v>
      </c>
      <c r="B95" s="35"/>
      <c r="C95" s="35"/>
      <c r="D95" s="35"/>
      <c r="E95" s="35"/>
      <c r="F95" s="35"/>
      <c r="G95" s="36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7" t="s">
        <v>40</v>
      </c>
      <c r="B96" s="38">
        <v>0.0</v>
      </c>
      <c r="C96" s="38">
        <v>0.0</v>
      </c>
      <c r="D96" s="38">
        <v>0.0</v>
      </c>
      <c r="E96" s="38">
        <v>0.0</v>
      </c>
      <c r="F96" s="38">
        <v>0.0</v>
      </c>
      <c r="G96" s="38">
        <v>0.0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7" t="s">
        <v>34</v>
      </c>
      <c r="B97" s="38">
        <v>0.0</v>
      </c>
      <c r="C97" s="38">
        <v>0.0</v>
      </c>
      <c r="D97" s="38">
        <v>0.0</v>
      </c>
      <c r="E97" s="38">
        <v>0.0</v>
      </c>
      <c r="F97" s="38">
        <v>0.0</v>
      </c>
      <c r="G97" s="38">
        <v>0.0</v>
      </c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7" t="s">
        <v>334</v>
      </c>
      <c r="B98" s="38">
        <v>0.0</v>
      </c>
      <c r="C98" s="38">
        <v>0.0</v>
      </c>
      <c r="D98" s="38">
        <v>0.0</v>
      </c>
      <c r="E98" s="38">
        <v>0.0</v>
      </c>
      <c r="F98" s="38">
        <v>0.0</v>
      </c>
      <c r="G98" s="38">
        <v>0.0</v>
      </c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9" t="s">
        <v>309</v>
      </c>
      <c r="B99" s="40">
        <f t="shared" ref="B99:G99" si="19">SUM(B96:B98)</f>
        <v>0</v>
      </c>
      <c r="C99" s="40">
        <f t="shared" si="19"/>
        <v>0</v>
      </c>
      <c r="D99" s="40">
        <f t="shared" si="19"/>
        <v>0</v>
      </c>
      <c r="E99" s="40">
        <f t="shared" si="19"/>
        <v>0</v>
      </c>
      <c r="F99" s="40">
        <f t="shared" si="19"/>
        <v>0</v>
      </c>
      <c r="G99" s="40">
        <f t="shared" si="19"/>
        <v>0</v>
      </c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41">
        <v>45650.0</v>
      </c>
      <c r="B100" s="35"/>
      <c r="C100" s="35"/>
      <c r="D100" s="35"/>
      <c r="E100" s="35"/>
      <c r="F100" s="35"/>
      <c r="G100" s="36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7" t="s">
        <v>40</v>
      </c>
      <c r="B101" s="38">
        <v>0.0</v>
      </c>
      <c r="C101" s="38">
        <v>0.0</v>
      </c>
      <c r="D101" s="38">
        <v>0.0</v>
      </c>
      <c r="E101" s="38">
        <v>0.0</v>
      </c>
      <c r="F101" s="38">
        <v>0.0</v>
      </c>
      <c r="G101" s="38">
        <v>0.0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7" t="s">
        <v>34</v>
      </c>
      <c r="B102" s="38">
        <v>0.0</v>
      </c>
      <c r="C102" s="38">
        <v>0.0</v>
      </c>
      <c r="D102" s="38">
        <v>0.0</v>
      </c>
      <c r="E102" s="38">
        <v>0.0</v>
      </c>
      <c r="F102" s="38">
        <v>0.0</v>
      </c>
      <c r="G102" s="38">
        <v>0.0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7" t="s">
        <v>334</v>
      </c>
      <c r="B103" s="38">
        <v>0.0</v>
      </c>
      <c r="C103" s="38">
        <v>0.0</v>
      </c>
      <c r="D103" s="38">
        <v>0.0</v>
      </c>
      <c r="E103" s="38">
        <v>0.0</v>
      </c>
      <c r="F103" s="38">
        <v>0.0</v>
      </c>
      <c r="G103" s="38">
        <v>0.0</v>
      </c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9" t="s">
        <v>309</v>
      </c>
      <c r="B104" s="40">
        <f t="shared" ref="B104:G104" si="20">SUM(B101:B103)</f>
        <v>0</v>
      </c>
      <c r="C104" s="40">
        <f t="shared" si="20"/>
        <v>0</v>
      </c>
      <c r="D104" s="40">
        <f t="shared" si="20"/>
        <v>0</v>
      </c>
      <c r="E104" s="40">
        <f t="shared" si="20"/>
        <v>0</v>
      </c>
      <c r="F104" s="40">
        <f t="shared" si="20"/>
        <v>0</v>
      </c>
      <c r="G104" s="40">
        <f t="shared" si="20"/>
        <v>0</v>
      </c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41">
        <v>45651.0</v>
      </c>
      <c r="B105" s="35"/>
      <c r="C105" s="35"/>
      <c r="D105" s="35"/>
      <c r="E105" s="35"/>
      <c r="F105" s="35"/>
      <c r="G105" s="36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7" t="s">
        <v>40</v>
      </c>
      <c r="B106" s="38">
        <v>0.0</v>
      </c>
      <c r="C106" s="38">
        <v>0.0</v>
      </c>
      <c r="D106" s="38">
        <v>0.0</v>
      </c>
      <c r="E106" s="38">
        <v>0.0</v>
      </c>
      <c r="F106" s="38">
        <v>0.0</v>
      </c>
      <c r="G106" s="38">
        <v>0.0</v>
      </c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7" t="s">
        <v>34</v>
      </c>
      <c r="B107" s="38">
        <v>0.0</v>
      </c>
      <c r="C107" s="38">
        <v>0.0</v>
      </c>
      <c r="D107" s="38">
        <v>0.0</v>
      </c>
      <c r="E107" s="38">
        <v>0.0</v>
      </c>
      <c r="F107" s="38">
        <v>0.0</v>
      </c>
      <c r="G107" s="38">
        <v>0.0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7" t="s">
        <v>334</v>
      </c>
      <c r="B108" s="38">
        <v>0.0</v>
      </c>
      <c r="C108" s="38">
        <v>0.0</v>
      </c>
      <c r="D108" s="38">
        <v>0.0</v>
      </c>
      <c r="E108" s="38">
        <v>0.0</v>
      </c>
      <c r="F108" s="38">
        <v>0.0</v>
      </c>
      <c r="G108" s="38">
        <v>0.0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9" t="s">
        <v>309</v>
      </c>
      <c r="B109" s="40">
        <f t="shared" ref="B109:G109" si="21">SUM(B106:B108)</f>
        <v>0</v>
      </c>
      <c r="C109" s="40">
        <f t="shared" si="21"/>
        <v>0</v>
      </c>
      <c r="D109" s="40">
        <f t="shared" si="21"/>
        <v>0</v>
      </c>
      <c r="E109" s="40">
        <f t="shared" si="21"/>
        <v>0</v>
      </c>
      <c r="F109" s="40">
        <f t="shared" si="21"/>
        <v>0</v>
      </c>
      <c r="G109" s="40">
        <f t="shared" si="21"/>
        <v>0</v>
      </c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41">
        <v>45652.0</v>
      </c>
      <c r="B110" s="35"/>
      <c r="C110" s="35"/>
      <c r="D110" s="35"/>
      <c r="E110" s="35"/>
      <c r="F110" s="35"/>
      <c r="G110" s="36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7" t="s">
        <v>40</v>
      </c>
      <c r="B111" s="38">
        <v>0.0</v>
      </c>
      <c r="C111" s="38">
        <v>0.0</v>
      </c>
      <c r="D111" s="38">
        <v>0.0</v>
      </c>
      <c r="E111" s="38">
        <v>0.0</v>
      </c>
      <c r="F111" s="38">
        <v>0.0</v>
      </c>
      <c r="G111" s="38">
        <v>0.0</v>
      </c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7" t="s">
        <v>34</v>
      </c>
      <c r="B112" s="38">
        <v>0.0</v>
      </c>
      <c r="C112" s="38">
        <v>0.0</v>
      </c>
      <c r="D112" s="38">
        <v>0.0</v>
      </c>
      <c r="E112" s="38">
        <v>0.0</v>
      </c>
      <c r="F112" s="38">
        <v>0.0</v>
      </c>
      <c r="G112" s="38">
        <v>0.0</v>
      </c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7" t="s">
        <v>334</v>
      </c>
      <c r="B113" s="38">
        <v>0.0</v>
      </c>
      <c r="C113" s="38">
        <v>0.0</v>
      </c>
      <c r="D113" s="38">
        <v>0.0</v>
      </c>
      <c r="E113" s="38">
        <v>0.0</v>
      </c>
      <c r="F113" s="38">
        <v>0.0</v>
      </c>
      <c r="G113" s="38">
        <v>0.0</v>
      </c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9" t="s">
        <v>309</v>
      </c>
      <c r="B114" s="40">
        <f t="shared" ref="B114:G114" si="22">SUM(B111:B113)</f>
        <v>0</v>
      </c>
      <c r="C114" s="40">
        <f t="shared" si="22"/>
        <v>0</v>
      </c>
      <c r="D114" s="40">
        <f t="shared" si="22"/>
        <v>0</v>
      </c>
      <c r="E114" s="40">
        <f t="shared" si="22"/>
        <v>0</v>
      </c>
      <c r="F114" s="40">
        <f t="shared" si="22"/>
        <v>0</v>
      </c>
      <c r="G114" s="40">
        <f t="shared" si="22"/>
        <v>0</v>
      </c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41">
        <v>45653.0</v>
      </c>
      <c r="B115" s="35"/>
      <c r="C115" s="35"/>
      <c r="D115" s="35"/>
      <c r="E115" s="35"/>
      <c r="F115" s="35"/>
      <c r="G115" s="36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7" t="s">
        <v>40</v>
      </c>
      <c r="B116" s="38">
        <v>0.0</v>
      </c>
      <c r="C116" s="38">
        <v>0.0</v>
      </c>
      <c r="D116" s="38">
        <v>0.0</v>
      </c>
      <c r="E116" s="38">
        <v>0.0</v>
      </c>
      <c r="F116" s="38">
        <v>0.0</v>
      </c>
      <c r="G116" s="38">
        <v>0.0</v>
      </c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7" t="s">
        <v>34</v>
      </c>
      <c r="B117" s="38">
        <v>0.0</v>
      </c>
      <c r="C117" s="38">
        <v>0.0</v>
      </c>
      <c r="D117" s="38">
        <v>0.0</v>
      </c>
      <c r="E117" s="38">
        <v>0.0</v>
      </c>
      <c r="F117" s="38">
        <v>0.0</v>
      </c>
      <c r="G117" s="38">
        <v>0.0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7" t="s">
        <v>334</v>
      </c>
      <c r="B118" s="38">
        <v>0.0</v>
      </c>
      <c r="C118" s="38">
        <v>0.0</v>
      </c>
      <c r="D118" s="38">
        <v>0.0</v>
      </c>
      <c r="E118" s="38">
        <v>0.0</v>
      </c>
      <c r="F118" s="38">
        <v>0.0</v>
      </c>
      <c r="G118" s="38">
        <v>0.0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9" t="s">
        <v>309</v>
      </c>
      <c r="B119" s="40">
        <f t="shared" ref="B119:G119" si="23">SUM(B116:B118)</f>
        <v>0</v>
      </c>
      <c r="C119" s="40">
        <f t="shared" si="23"/>
        <v>0</v>
      </c>
      <c r="D119" s="40">
        <f t="shared" si="23"/>
        <v>0</v>
      </c>
      <c r="E119" s="40">
        <f t="shared" si="23"/>
        <v>0</v>
      </c>
      <c r="F119" s="40">
        <f t="shared" si="23"/>
        <v>0</v>
      </c>
      <c r="G119" s="40">
        <f t="shared" si="23"/>
        <v>0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41">
        <v>45654.0</v>
      </c>
      <c r="B120" s="35"/>
      <c r="C120" s="35"/>
      <c r="D120" s="35"/>
      <c r="E120" s="35"/>
      <c r="F120" s="35"/>
      <c r="G120" s="36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7" t="s">
        <v>40</v>
      </c>
      <c r="B121" s="38">
        <v>0.0</v>
      </c>
      <c r="C121" s="38">
        <v>0.0</v>
      </c>
      <c r="D121" s="38">
        <v>0.0</v>
      </c>
      <c r="E121" s="38">
        <v>0.0</v>
      </c>
      <c r="F121" s="38">
        <v>0.0</v>
      </c>
      <c r="G121" s="38">
        <v>0.0</v>
      </c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7" t="s">
        <v>34</v>
      </c>
      <c r="B122" s="38">
        <v>0.0</v>
      </c>
      <c r="C122" s="38">
        <v>0.0</v>
      </c>
      <c r="D122" s="38">
        <v>0.0</v>
      </c>
      <c r="E122" s="38">
        <v>0.0</v>
      </c>
      <c r="F122" s="38">
        <v>0.0</v>
      </c>
      <c r="G122" s="38">
        <v>0.0</v>
      </c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7" t="s">
        <v>334</v>
      </c>
      <c r="B123" s="38">
        <v>0.0</v>
      </c>
      <c r="C123" s="38">
        <v>0.0</v>
      </c>
      <c r="D123" s="38">
        <v>0.0</v>
      </c>
      <c r="E123" s="38">
        <v>0.0</v>
      </c>
      <c r="F123" s="38">
        <v>0.0</v>
      </c>
      <c r="G123" s="38">
        <v>0.0</v>
      </c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9" t="s">
        <v>309</v>
      </c>
      <c r="B124" s="40">
        <f t="shared" ref="B124:G124" si="24">SUM(B121:B123)</f>
        <v>0</v>
      </c>
      <c r="C124" s="40">
        <f t="shared" si="24"/>
        <v>0</v>
      </c>
      <c r="D124" s="40">
        <f t="shared" si="24"/>
        <v>0</v>
      </c>
      <c r="E124" s="40">
        <f t="shared" si="24"/>
        <v>0</v>
      </c>
      <c r="F124" s="40">
        <f t="shared" si="24"/>
        <v>0</v>
      </c>
      <c r="G124" s="40">
        <f t="shared" si="24"/>
        <v>0</v>
      </c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41">
        <v>45656.0</v>
      </c>
      <c r="B125" s="35"/>
      <c r="C125" s="35"/>
      <c r="D125" s="35"/>
      <c r="E125" s="35"/>
      <c r="F125" s="35"/>
      <c r="G125" s="36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7" t="s">
        <v>40</v>
      </c>
      <c r="B126" s="38">
        <v>0.0</v>
      </c>
      <c r="C126" s="38">
        <v>0.0</v>
      </c>
      <c r="D126" s="38">
        <v>0.0</v>
      </c>
      <c r="E126" s="38">
        <v>0.0</v>
      </c>
      <c r="F126" s="38">
        <v>0.0</v>
      </c>
      <c r="G126" s="38">
        <v>0.0</v>
      </c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7" t="s">
        <v>34</v>
      </c>
      <c r="B127" s="38">
        <v>0.0</v>
      </c>
      <c r="C127" s="38">
        <v>0.0</v>
      </c>
      <c r="D127" s="38">
        <v>0.0</v>
      </c>
      <c r="E127" s="38">
        <v>0.0</v>
      </c>
      <c r="F127" s="38">
        <v>0.0</v>
      </c>
      <c r="G127" s="38">
        <v>0.0</v>
      </c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7" t="s">
        <v>334</v>
      </c>
      <c r="B128" s="38">
        <v>0.0</v>
      </c>
      <c r="C128" s="38">
        <v>0.0</v>
      </c>
      <c r="D128" s="38">
        <v>0.0</v>
      </c>
      <c r="E128" s="38">
        <v>0.0</v>
      </c>
      <c r="F128" s="38">
        <v>0.0</v>
      </c>
      <c r="G128" s="38">
        <v>0.0</v>
      </c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9" t="s">
        <v>309</v>
      </c>
      <c r="B129" s="40">
        <f t="shared" ref="B129:G129" si="25">SUM(B126:B128)</f>
        <v>0</v>
      </c>
      <c r="C129" s="40">
        <f t="shared" si="25"/>
        <v>0</v>
      </c>
      <c r="D129" s="40">
        <f t="shared" si="25"/>
        <v>0</v>
      </c>
      <c r="E129" s="40">
        <f t="shared" si="25"/>
        <v>0</v>
      </c>
      <c r="F129" s="40">
        <f t="shared" si="25"/>
        <v>0</v>
      </c>
      <c r="G129" s="40">
        <f t="shared" si="25"/>
        <v>0</v>
      </c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41">
        <v>45657.0</v>
      </c>
      <c r="B130" s="35"/>
      <c r="C130" s="35"/>
      <c r="D130" s="35"/>
      <c r="E130" s="35"/>
      <c r="F130" s="35"/>
      <c r="G130" s="36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7" t="s">
        <v>40</v>
      </c>
      <c r="B131" s="38">
        <v>0.0</v>
      </c>
      <c r="C131" s="38">
        <v>0.0</v>
      </c>
      <c r="D131" s="38">
        <v>0.0</v>
      </c>
      <c r="E131" s="38">
        <v>0.0</v>
      </c>
      <c r="F131" s="38">
        <v>0.0</v>
      </c>
      <c r="G131" s="38">
        <v>0.0</v>
      </c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7" t="s">
        <v>34</v>
      </c>
      <c r="B132" s="38">
        <v>0.0</v>
      </c>
      <c r="C132" s="38">
        <v>0.0</v>
      </c>
      <c r="D132" s="38">
        <v>0.0</v>
      </c>
      <c r="E132" s="38">
        <v>0.0</v>
      </c>
      <c r="F132" s="38">
        <v>0.0</v>
      </c>
      <c r="G132" s="38">
        <v>0.0</v>
      </c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7.25" customHeight="1">
      <c r="A133" s="37" t="s">
        <v>334</v>
      </c>
      <c r="B133" s="38">
        <v>0.0</v>
      </c>
      <c r="C133" s="38">
        <v>0.0</v>
      </c>
      <c r="D133" s="38">
        <v>0.0</v>
      </c>
      <c r="E133" s="38">
        <v>0.0</v>
      </c>
      <c r="F133" s="38">
        <v>0.0</v>
      </c>
      <c r="G133" s="38">
        <v>0.0</v>
      </c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9" t="s">
        <v>309</v>
      </c>
      <c r="B134" s="40">
        <f t="shared" ref="B134:G134" si="26">SUM(B131:B133)</f>
        <v>0</v>
      </c>
      <c r="C134" s="40">
        <f t="shared" si="26"/>
        <v>0</v>
      </c>
      <c r="D134" s="40">
        <f t="shared" si="26"/>
        <v>0</v>
      </c>
      <c r="E134" s="40">
        <f t="shared" si="26"/>
        <v>0</v>
      </c>
      <c r="F134" s="40">
        <f t="shared" si="26"/>
        <v>0</v>
      </c>
      <c r="G134" s="40">
        <f t="shared" si="26"/>
        <v>0</v>
      </c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20.25" customHeight="1">
      <c r="A135" s="42" t="s">
        <v>330</v>
      </c>
      <c r="B135" s="43">
        <f t="shared" ref="B135:G135" si="27">SUM(B9,B14,B19,B24,B29,B34,B39,B44,B49,B54,B59,B64,B69,B74)</f>
        <v>3</v>
      </c>
      <c r="C135" s="43">
        <f t="shared" si="27"/>
        <v>2</v>
      </c>
      <c r="D135" s="43">
        <f t="shared" si="27"/>
        <v>0</v>
      </c>
      <c r="E135" s="43">
        <f t="shared" si="27"/>
        <v>0</v>
      </c>
      <c r="F135" s="43">
        <f t="shared" si="27"/>
        <v>0</v>
      </c>
      <c r="G135" s="43">
        <f t="shared" si="27"/>
        <v>0</v>
      </c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</sheetData>
  <mergeCells count="27">
    <mergeCell ref="A2:G2"/>
    <mergeCell ref="A5:G5"/>
    <mergeCell ref="A10:G10"/>
    <mergeCell ref="A15:G15"/>
    <mergeCell ref="A20:G20"/>
    <mergeCell ref="A25:G25"/>
    <mergeCell ref="A30:G30"/>
    <mergeCell ref="A35:G35"/>
    <mergeCell ref="A40:G40"/>
    <mergeCell ref="A45:G45"/>
    <mergeCell ref="A50:G50"/>
    <mergeCell ref="A55:G55"/>
    <mergeCell ref="A60:G60"/>
    <mergeCell ref="A65:G65"/>
    <mergeCell ref="A105:G105"/>
    <mergeCell ref="A110:G110"/>
    <mergeCell ref="A115:G115"/>
    <mergeCell ref="A120:G120"/>
    <mergeCell ref="A125:G125"/>
    <mergeCell ref="A130:G130"/>
    <mergeCell ref="A70:G70"/>
    <mergeCell ref="A75:G75"/>
    <mergeCell ref="A80:G80"/>
    <mergeCell ref="A85:G85"/>
    <mergeCell ref="A90:G90"/>
    <mergeCell ref="A95:G95"/>
    <mergeCell ref="A100:G10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336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45628.0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7" t="s">
        <v>334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9" t="s">
        <v>309</v>
      </c>
      <c r="B9" s="40">
        <f t="shared" ref="B9:G9" si="1">SUM(B6:B8)</f>
        <v>0</v>
      </c>
      <c r="C9" s="40">
        <f t="shared" si="1"/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41">
        <v>45629.0</v>
      </c>
      <c r="B10" s="35"/>
      <c r="C10" s="35"/>
      <c r="D10" s="35"/>
      <c r="E10" s="35"/>
      <c r="F10" s="35"/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40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7" t="s">
        <v>34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7" t="s">
        <v>334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9" t="s">
        <v>309</v>
      </c>
      <c r="B14" s="40">
        <f t="shared" ref="B14:G14" si="2">SUM(B11:B13)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40">
        <f t="shared" si="2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41">
        <v>45630.0</v>
      </c>
      <c r="B15" s="35"/>
      <c r="C15" s="35"/>
      <c r="D15" s="35"/>
      <c r="E15" s="35"/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7" t="s">
        <v>40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7" t="s">
        <v>34</v>
      </c>
      <c r="B17" s="38">
        <v>0.0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334</v>
      </c>
      <c r="B18" s="38">
        <v>0.0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9" t="s">
        <v>309</v>
      </c>
      <c r="B19" s="40">
        <f t="shared" ref="B19:G19" si="3">SUM(B16:B18)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41">
        <v>45631.0</v>
      </c>
      <c r="B20" s="35"/>
      <c r="C20" s="35"/>
      <c r="D20" s="35"/>
      <c r="E20" s="35"/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7" t="s">
        <v>40</v>
      </c>
      <c r="B21" s="38">
        <v>1.0</v>
      </c>
      <c r="C21" s="38">
        <v>0.0</v>
      </c>
      <c r="D21" s="38">
        <v>0.0</v>
      </c>
      <c r="E21" s="38">
        <v>0.0</v>
      </c>
      <c r="F21" s="38">
        <v>0.0</v>
      </c>
      <c r="G21" s="38">
        <v>0.0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34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4">SUM(B21:B23)</f>
        <v>1</v>
      </c>
      <c r="C24" s="40">
        <f t="shared" si="4"/>
        <v>0</v>
      </c>
      <c r="D24" s="40">
        <f t="shared" si="4"/>
        <v>0</v>
      </c>
      <c r="E24" s="40">
        <f t="shared" si="4"/>
        <v>0</v>
      </c>
      <c r="F24" s="40">
        <f t="shared" si="4"/>
        <v>0</v>
      </c>
      <c r="G24" s="40">
        <f t="shared" si="4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45632.0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7" t="s">
        <v>334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9" t="s">
        <v>309</v>
      </c>
      <c r="B29" s="40">
        <f t="shared" ref="B29:G29" si="5">SUM(B26:B28)</f>
        <v>0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41">
        <v>45633.0</v>
      </c>
      <c r="B30" s="35"/>
      <c r="C30" s="35"/>
      <c r="D30" s="35"/>
      <c r="E30" s="35"/>
      <c r="F30" s="35"/>
      <c r="G30" s="36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40</v>
      </c>
      <c r="B31" s="38">
        <v>0.0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7" t="s">
        <v>34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37" t="s">
        <v>334</v>
      </c>
      <c r="B33" s="38">
        <v>0.0</v>
      </c>
      <c r="C33" s="38">
        <v>0.0</v>
      </c>
      <c r="D33" s="38">
        <v>0.0</v>
      </c>
      <c r="E33" s="38">
        <v>0.0</v>
      </c>
      <c r="F33" s="38">
        <v>0.0</v>
      </c>
      <c r="G33" s="38">
        <v>0.0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9" t="s">
        <v>309</v>
      </c>
      <c r="B34" s="40">
        <f t="shared" ref="B34:G34" si="6">SUM(B31:B32)</f>
        <v>0</v>
      </c>
      <c r="C34" s="40">
        <f t="shared" si="6"/>
        <v>0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41">
        <v>45635.0</v>
      </c>
      <c r="B35" s="35"/>
      <c r="C35" s="35"/>
      <c r="D35" s="35"/>
      <c r="E35" s="35"/>
      <c r="F35" s="35"/>
      <c r="G35" s="3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7" t="s">
        <v>40</v>
      </c>
      <c r="B36" s="38">
        <v>1.0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37" t="s">
        <v>34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334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9" t="s">
        <v>309</v>
      </c>
      <c r="B39" s="40">
        <f t="shared" ref="B39:G39" si="7">SUM(B36:B38)</f>
        <v>1</v>
      </c>
      <c r="C39" s="40">
        <f t="shared" si="7"/>
        <v>0</v>
      </c>
      <c r="D39" s="40">
        <f t="shared" si="7"/>
        <v>0</v>
      </c>
      <c r="E39" s="40">
        <f t="shared" si="7"/>
        <v>0</v>
      </c>
      <c r="F39" s="40">
        <f t="shared" si="7"/>
        <v>0</v>
      </c>
      <c r="G39" s="40">
        <f t="shared" si="7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41">
        <v>45636.0</v>
      </c>
      <c r="B40" s="35"/>
      <c r="C40" s="35"/>
      <c r="D40" s="35"/>
      <c r="E40" s="35"/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37" t="s">
        <v>40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34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8">SUM(B41:B43)</f>
        <v>0</v>
      </c>
      <c r="C44" s="40">
        <f t="shared" si="8"/>
        <v>0</v>
      </c>
      <c r="D44" s="40">
        <f t="shared" si="8"/>
        <v>0</v>
      </c>
      <c r="E44" s="40">
        <f t="shared" si="8"/>
        <v>0</v>
      </c>
      <c r="F44" s="40">
        <f t="shared" si="8"/>
        <v>0</v>
      </c>
      <c r="G44" s="40">
        <f t="shared" si="8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45637.0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7" t="s">
        <v>334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39" t="s">
        <v>309</v>
      </c>
      <c r="B49" s="40">
        <f t="shared" ref="B49:G49" si="9">SUM(B46:B48)</f>
        <v>0</v>
      </c>
      <c r="C49" s="40">
        <f t="shared" si="9"/>
        <v>0</v>
      </c>
      <c r="D49" s="40">
        <f t="shared" si="9"/>
        <v>0</v>
      </c>
      <c r="E49" s="40">
        <f t="shared" si="9"/>
        <v>0</v>
      </c>
      <c r="F49" s="40">
        <f t="shared" si="9"/>
        <v>0</v>
      </c>
      <c r="G49" s="40">
        <f t="shared" si="9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41">
        <v>45638.0</v>
      </c>
      <c r="B50" s="35"/>
      <c r="C50" s="35"/>
      <c r="D50" s="35"/>
      <c r="E50" s="35"/>
      <c r="F50" s="35"/>
      <c r="G50" s="3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40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7" t="s">
        <v>34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7" t="s">
        <v>334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9" t="s">
        <v>309</v>
      </c>
      <c r="B54" s="40">
        <f t="shared" ref="B54:G54" si="10">SUM(B51:B53)</f>
        <v>0</v>
      </c>
      <c r="C54" s="40">
        <f t="shared" si="10"/>
        <v>0</v>
      </c>
      <c r="D54" s="40">
        <f t="shared" si="10"/>
        <v>0</v>
      </c>
      <c r="E54" s="40">
        <f t="shared" si="10"/>
        <v>0</v>
      </c>
      <c r="F54" s="40">
        <f t="shared" si="10"/>
        <v>0</v>
      </c>
      <c r="G54" s="40">
        <f t="shared" si="10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41">
        <v>45639.0</v>
      </c>
      <c r="B55" s="35"/>
      <c r="C55" s="35"/>
      <c r="D55" s="35"/>
      <c r="E55" s="35"/>
      <c r="F55" s="35"/>
      <c r="G55" s="36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7" t="s">
        <v>40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37" t="s">
        <v>34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334</v>
      </c>
      <c r="B58" s="38">
        <v>1.0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9" t="s">
        <v>309</v>
      </c>
      <c r="B59" s="40">
        <f t="shared" ref="B59:G59" si="11">SUM(B56:B58)</f>
        <v>1</v>
      </c>
      <c r="C59" s="40">
        <f t="shared" si="11"/>
        <v>0</v>
      </c>
      <c r="D59" s="40">
        <f t="shared" si="11"/>
        <v>0</v>
      </c>
      <c r="E59" s="40">
        <f t="shared" si="11"/>
        <v>0</v>
      </c>
      <c r="F59" s="40">
        <f t="shared" si="11"/>
        <v>0</v>
      </c>
      <c r="G59" s="40">
        <f t="shared" si="11"/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41">
        <v>45640.0</v>
      </c>
      <c r="B60" s="35"/>
      <c r="C60" s="35"/>
      <c r="D60" s="35"/>
      <c r="E60" s="35"/>
      <c r="F60" s="35"/>
      <c r="G60" s="36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37" t="s">
        <v>40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34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f t="shared" ref="B64:G64" si="12">SUM(B61:B63)</f>
        <v>0</v>
      </c>
      <c r="C64" s="40">
        <f t="shared" si="12"/>
        <v>0</v>
      </c>
      <c r="D64" s="40">
        <f t="shared" si="12"/>
        <v>0</v>
      </c>
      <c r="E64" s="40">
        <f t="shared" si="12"/>
        <v>0</v>
      </c>
      <c r="F64" s="40">
        <f t="shared" si="12"/>
        <v>0</v>
      </c>
      <c r="G64" s="40">
        <f t="shared" si="12"/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41">
        <v>45642.0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8.0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8.0" customHeight="1">
      <c r="A68" s="37" t="s">
        <v>334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8.0" customHeight="1">
      <c r="A69" s="39" t="s">
        <v>309</v>
      </c>
      <c r="B69" s="40">
        <f t="shared" ref="B69:G69" si="13">SUM(B66:B68)</f>
        <v>0</v>
      </c>
      <c r="C69" s="40">
        <f t="shared" si="13"/>
        <v>0</v>
      </c>
      <c r="D69" s="40">
        <f t="shared" si="13"/>
        <v>0</v>
      </c>
      <c r="E69" s="40">
        <f t="shared" si="13"/>
        <v>0</v>
      </c>
      <c r="F69" s="40">
        <f t="shared" si="13"/>
        <v>0</v>
      </c>
      <c r="G69" s="40">
        <f t="shared" si="13"/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8.0" customHeight="1">
      <c r="A70" s="41">
        <v>45643.0</v>
      </c>
      <c r="B70" s="35"/>
      <c r="C70" s="35"/>
      <c r="D70" s="35"/>
      <c r="E70" s="35"/>
      <c r="F70" s="35"/>
      <c r="G70" s="36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8.0" customHeight="1">
      <c r="A71" s="37" t="s">
        <v>40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8.0" customHeight="1">
      <c r="A72" s="37" t="s">
        <v>34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8.0" customHeight="1">
      <c r="A73" s="37" t="s">
        <v>334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8.0" customHeight="1">
      <c r="A74" s="39" t="s">
        <v>309</v>
      </c>
      <c r="B74" s="40">
        <f t="shared" ref="B74:G74" si="14">SUM(B71:B73)</f>
        <v>0</v>
      </c>
      <c r="C74" s="40">
        <f t="shared" si="14"/>
        <v>0</v>
      </c>
      <c r="D74" s="40">
        <f t="shared" si="14"/>
        <v>0</v>
      </c>
      <c r="E74" s="40">
        <f t="shared" si="14"/>
        <v>0</v>
      </c>
      <c r="F74" s="40">
        <f t="shared" si="14"/>
        <v>0</v>
      </c>
      <c r="G74" s="40">
        <f t="shared" si="14"/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8.0" customHeight="1">
      <c r="A75" s="41">
        <v>45644.0</v>
      </c>
      <c r="B75" s="35"/>
      <c r="C75" s="35"/>
      <c r="D75" s="35"/>
      <c r="E75" s="35"/>
      <c r="F75" s="35"/>
      <c r="G75" s="36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8.0" customHeight="1">
      <c r="A76" s="37" t="s">
        <v>40</v>
      </c>
      <c r="B76" s="38">
        <v>0.0</v>
      </c>
      <c r="C76" s="38">
        <v>0.0</v>
      </c>
      <c r="D76" s="38">
        <v>0.0</v>
      </c>
      <c r="E76" s="38">
        <v>0.0</v>
      </c>
      <c r="F76" s="38">
        <v>0.0</v>
      </c>
      <c r="G76" s="38">
        <v>0.0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7" t="s">
        <v>34</v>
      </c>
      <c r="B77" s="38">
        <v>0.0</v>
      </c>
      <c r="C77" s="38">
        <v>0.0</v>
      </c>
      <c r="D77" s="38">
        <v>0.0</v>
      </c>
      <c r="E77" s="38">
        <v>0.0</v>
      </c>
      <c r="F77" s="38">
        <v>0.0</v>
      </c>
      <c r="G77" s="38">
        <v>0.0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7" t="s">
        <v>334</v>
      </c>
      <c r="B78" s="38">
        <v>0.0</v>
      </c>
      <c r="C78" s="38">
        <v>0.0</v>
      </c>
      <c r="D78" s="38">
        <v>0.0</v>
      </c>
      <c r="E78" s="38">
        <v>0.0</v>
      </c>
      <c r="F78" s="38">
        <v>0.0</v>
      </c>
      <c r="G78" s="38">
        <v>0.0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9" t="s">
        <v>309</v>
      </c>
      <c r="B79" s="40">
        <f t="shared" ref="B79:G79" si="15">SUM(B76:B78)</f>
        <v>0</v>
      </c>
      <c r="C79" s="40">
        <f t="shared" si="15"/>
        <v>0</v>
      </c>
      <c r="D79" s="40">
        <f t="shared" si="15"/>
        <v>0</v>
      </c>
      <c r="E79" s="40">
        <f t="shared" si="15"/>
        <v>0</v>
      </c>
      <c r="F79" s="40">
        <f t="shared" si="15"/>
        <v>0</v>
      </c>
      <c r="G79" s="40">
        <f t="shared" si="15"/>
        <v>0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41">
        <v>45645.0</v>
      </c>
      <c r="B80" s="35"/>
      <c r="C80" s="35"/>
      <c r="D80" s="35"/>
      <c r="E80" s="35"/>
      <c r="F80" s="35"/>
      <c r="G80" s="36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7" t="s">
        <v>40</v>
      </c>
      <c r="B81" s="38">
        <v>0.0</v>
      </c>
      <c r="C81" s="38">
        <v>0.0</v>
      </c>
      <c r="D81" s="38">
        <v>0.0</v>
      </c>
      <c r="E81" s="38">
        <v>0.0</v>
      </c>
      <c r="F81" s="38">
        <v>0.0</v>
      </c>
      <c r="G81" s="38">
        <v>0.0</v>
      </c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7" t="s">
        <v>34</v>
      </c>
      <c r="B82" s="38">
        <v>0.0</v>
      </c>
      <c r="C82" s="38">
        <v>0.0</v>
      </c>
      <c r="D82" s="38">
        <v>0.0</v>
      </c>
      <c r="E82" s="38">
        <v>0.0</v>
      </c>
      <c r="F82" s="38">
        <v>0.0</v>
      </c>
      <c r="G82" s="38">
        <v>0.0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7" t="s">
        <v>334</v>
      </c>
      <c r="B83" s="38">
        <v>0.0</v>
      </c>
      <c r="C83" s="38">
        <v>0.0</v>
      </c>
      <c r="D83" s="38">
        <v>0.0</v>
      </c>
      <c r="E83" s="38">
        <v>0.0</v>
      </c>
      <c r="F83" s="38">
        <v>0.0</v>
      </c>
      <c r="G83" s="38">
        <v>0.0</v>
      </c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9" t="s">
        <v>309</v>
      </c>
      <c r="B84" s="40">
        <f t="shared" ref="B84:G84" si="16">SUM(B81:B83)</f>
        <v>0</v>
      </c>
      <c r="C84" s="40">
        <f t="shared" si="16"/>
        <v>0</v>
      </c>
      <c r="D84" s="40">
        <f t="shared" si="16"/>
        <v>0</v>
      </c>
      <c r="E84" s="40">
        <f t="shared" si="16"/>
        <v>0</v>
      </c>
      <c r="F84" s="40">
        <f t="shared" si="16"/>
        <v>0</v>
      </c>
      <c r="G84" s="40">
        <f t="shared" si="16"/>
        <v>0</v>
      </c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41">
        <v>45646.0</v>
      </c>
      <c r="B85" s="35"/>
      <c r="C85" s="35"/>
      <c r="D85" s="35"/>
      <c r="E85" s="35"/>
      <c r="F85" s="35"/>
      <c r="G85" s="36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7" t="s">
        <v>40</v>
      </c>
      <c r="B86" s="38">
        <v>0.0</v>
      </c>
      <c r="C86" s="38">
        <v>0.0</v>
      </c>
      <c r="D86" s="38">
        <v>0.0</v>
      </c>
      <c r="E86" s="38">
        <v>0.0</v>
      </c>
      <c r="F86" s="38">
        <v>0.0</v>
      </c>
      <c r="G86" s="38">
        <v>0.0</v>
      </c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7" t="s">
        <v>34</v>
      </c>
      <c r="B87" s="38">
        <v>0.0</v>
      </c>
      <c r="C87" s="38">
        <v>0.0</v>
      </c>
      <c r="D87" s="38">
        <v>0.0</v>
      </c>
      <c r="E87" s="38">
        <v>0.0</v>
      </c>
      <c r="F87" s="38">
        <v>0.0</v>
      </c>
      <c r="G87" s="38">
        <v>0.0</v>
      </c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7" t="s">
        <v>334</v>
      </c>
      <c r="B88" s="38">
        <v>0.0</v>
      </c>
      <c r="C88" s="38">
        <v>0.0</v>
      </c>
      <c r="D88" s="38">
        <v>0.0</v>
      </c>
      <c r="E88" s="38">
        <v>0.0</v>
      </c>
      <c r="F88" s="38">
        <v>0.0</v>
      </c>
      <c r="G88" s="38">
        <v>0.0</v>
      </c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9" t="s">
        <v>309</v>
      </c>
      <c r="B89" s="40">
        <f t="shared" ref="B89:G89" si="17">SUM(B86:B88)</f>
        <v>0</v>
      </c>
      <c r="C89" s="40">
        <f t="shared" si="17"/>
        <v>0</v>
      </c>
      <c r="D89" s="40">
        <f t="shared" si="17"/>
        <v>0</v>
      </c>
      <c r="E89" s="40">
        <f t="shared" si="17"/>
        <v>0</v>
      </c>
      <c r="F89" s="40">
        <f t="shared" si="17"/>
        <v>0</v>
      </c>
      <c r="G89" s="40">
        <f t="shared" si="17"/>
        <v>0</v>
      </c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41">
        <v>45647.0</v>
      </c>
      <c r="B90" s="35"/>
      <c r="C90" s="35"/>
      <c r="D90" s="35"/>
      <c r="E90" s="35"/>
      <c r="F90" s="35"/>
      <c r="G90" s="36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7" t="s">
        <v>40</v>
      </c>
      <c r="B91" s="38">
        <v>0.0</v>
      </c>
      <c r="C91" s="38">
        <v>0.0</v>
      </c>
      <c r="D91" s="38">
        <v>0.0</v>
      </c>
      <c r="E91" s="38">
        <v>0.0</v>
      </c>
      <c r="F91" s="38">
        <v>0.0</v>
      </c>
      <c r="G91" s="38">
        <v>0.0</v>
      </c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7" t="s">
        <v>34</v>
      </c>
      <c r="B92" s="38">
        <v>0.0</v>
      </c>
      <c r="C92" s="38">
        <v>0.0</v>
      </c>
      <c r="D92" s="38">
        <v>0.0</v>
      </c>
      <c r="E92" s="38">
        <v>0.0</v>
      </c>
      <c r="F92" s="38">
        <v>0.0</v>
      </c>
      <c r="G92" s="38">
        <v>0.0</v>
      </c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7" t="s">
        <v>334</v>
      </c>
      <c r="B93" s="38">
        <v>0.0</v>
      </c>
      <c r="C93" s="38">
        <v>0.0</v>
      </c>
      <c r="D93" s="38">
        <v>0.0</v>
      </c>
      <c r="E93" s="38">
        <v>0.0</v>
      </c>
      <c r="F93" s="38">
        <v>0.0</v>
      </c>
      <c r="G93" s="38">
        <v>0.0</v>
      </c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9" t="s">
        <v>309</v>
      </c>
      <c r="B94" s="40">
        <f t="shared" ref="B94:G94" si="18">SUM(B91:B93)</f>
        <v>0</v>
      </c>
      <c r="C94" s="40">
        <f t="shared" si="18"/>
        <v>0</v>
      </c>
      <c r="D94" s="40">
        <f t="shared" si="18"/>
        <v>0</v>
      </c>
      <c r="E94" s="40">
        <f t="shared" si="18"/>
        <v>0</v>
      </c>
      <c r="F94" s="40">
        <f t="shared" si="18"/>
        <v>0</v>
      </c>
      <c r="G94" s="40">
        <f t="shared" si="18"/>
        <v>0</v>
      </c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41">
        <v>45649.0</v>
      </c>
      <c r="B95" s="35"/>
      <c r="C95" s="35"/>
      <c r="D95" s="35"/>
      <c r="E95" s="35"/>
      <c r="F95" s="35"/>
      <c r="G95" s="36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7" t="s">
        <v>40</v>
      </c>
      <c r="B96" s="38">
        <v>0.0</v>
      </c>
      <c r="C96" s="38">
        <v>0.0</v>
      </c>
      <c r="D96" s="38">
        <v>0.0</v>
      </c>
      <c r="E96" s="38">
        <v>0.0</v>
      </c>
      <c r="F96" s="38">
        <v>0.0</v>
      </c>
      <c r="G96" s="38">
        <v>0.0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7" t="s">
        <v>34</v>
      </c>
      <c r="B97" s="38">
        <v>0.0</v>
      </c>
      <c r="C97" s="38">
        <v>0.0</v>
      </c>
      <c r="D97" s="38">
        <v>0.0</v>
      </c>
      <c r="E97" s="38">
        <v>0.0</v>
      </c>
      <c r="F97" s="38">
        <v>0.0</v>
      </c>
      <c r="G97" s="38">
        <v>0.0</v>
      </c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7" t="s">
        <v>334</v>
      </c>
      <c r="B98" s="38">
        <v>0.0</v>
      </c>
      <c r="C98" s="38">
        <v>0.0</v>
      </c>
      <c r="D98" s="38">
        <v>0.0</v>
      </c>
      <c r="E98" s="38">
        <v>0.0</v>
      </c>
      <c r="F98" s="38">
        <v>0.0</v>
      </c>
      <c r="G98" s="38">
        <v>0.0</v>
      </c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9" t="s">
        <v>309</v>
      </c>
      <c r="B99" s="40">
        <f t="shared" ref="B99:G99" si="19">SUM(B96:B98)</f>
        <v>0</v>
      </c>
      <c r="C99" s="40">
        <f t="shared" si="19"/>
        <v>0</v>
      </c>
      <c r="D99" s="40">
        <f t="shared" si="19"/>
        <v>0</v>
      </c>
      <c r="E99" s="40">
        <f t="shared" si="19"/>
        <v>0</v>
      </c>
      <c r="F99" s="40">
        <f t="shared" si="19"/>
        <v>0</v>
      </c>
      <c r="G99" s="40">
        <f t="shared" si="19"/>
        <v>0</v>
      </c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41">
        <v>45650.0</v>
      </c>
      <c r="B100" s="35"/>
      <c r="C100" s="35"/>
      <c r="D100" s="35"/>
      <c r="E100" s="35"/>
      <c r="F100" s="35"/>
      <c r="G100" s="36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7" t="s">
        <v>40</v>
      </c>
      <c r="B101" s="38">
        <v>0.0</v>
      </c>
      <c r="C101" s="38">
        <v>0.0</v>
      </c>
      <c r="D101" s="38">
        <v>0.0</v>
      </c>
      <c r="E101" s="38">
        <v>0.0</v>
      </c>
      <c r="F101" s="38">
        <v>0.0</v>
      </c>
      <c r="G101" s="38">
        <v>0.0</v>
      </c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7" t="s">
        <v>34</v>
      </c>
      <c r="B102" s="38">
        <v>0.0</v>
      </c>
      <c r="C102" s="38">
        <v>0.0</v>
      </c>
      <c r="D102" s="38">
        <v>0.0</v>
      </c>
      <c r="E102" s="38">
        <v>0.0</v>
      </c>
      <c r="F102" s="38">
        <v>0.0</v>
      </c>
      <c r="G102" s="38">
        <v>0.0</v>
      </c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7" t="s">
        <v>334</v>
      </c>
      <c r="B103" s="38">
        <v>0.0</v>
      </c>
      <c r="C103" s="38">
        <v>0.0</v>
      </c>
      <c r="D103" s="38">
        <v>0.0</v>
      </c>
      <c r="E103" s="38">
        <v>0.0</v>
      </c>
      <c r="F103" s="38">
        <v>0.0</v>
      </c>
      <c r="G103" s="38">
        <v>0.0</v>
      </c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9" t="s">
        <v>309</v>
      </c>
      <c r="B104" s="40">
        <f t="shared" ref="B104:G104" si="20">SUM(B101:B103)</f>
        <v>0</v>
      </c>
      <c r="C104" s="40">
        <f t="shared" si="20"/>
        <v>0</v>
      </c>
      <c r="D104" s="40">
        <f t="shared" si="20"/>
        <v>0</v>
      </c>
      <c r="E104" s="40">
        <f t="shared" si="20"/>
        <v>0</v>
      </c>
      <c r="F104" s="40">
        <f t="shared" si="20"/>
        <v>0</v>
      </c>
      <c r="G104" s="40">
        <f t="shared" si="20"/>
        <v>0</v>
      </c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41">
        <v>45651.0</v>
      </c>
      <c r="B105" s="35"/>
      <c r="C105" s="35"/>
      <c r="D105" s="35"/>
      <c r="E105" s="35"/>
      <c r="F105" s="35"/>
      <c r="G105" s="36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7" t="s">
        <v>40</v>
      </c>
      <c r="B106" s="38">
        <v>0.0</v>
      </c>
      <c r="C106" s="38">
        <v>0.0</v>
      </c>
      <c r="D106" s="38">
        <v>0.0</v>
      </c>
      <c r="E106" s="38">
        <v>0.0</v>
      </c>
      <c r="F106" s="38">
        <v>0.0</v>
      </c>
      <c r="G106" s="38">
        <v>0.0</v>
      </c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7" t="s">
        <v>34</v>
      </c>
      <c r="B107" s="38">
        <v>0.0</v>
      </c>
      <c r="C107" s="38">
        <v>0.0</v>
      </c>
      <c r="D107" s="38">
        <v>0.0</v>
      </c>
      <c r="E107" s="38">
        <v>0.0</v>
      </c>
      <c r="F107" s="38">
        <v>0.0</v>
      </c>
      <c r="G107" s="38">
        <v>0.0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7" t="s">
        <v>334</v>
      </c>
      <c r="B108" s="38">
        <v>0.0</v>
      </c>
      <c r="C108" s="38">
        <v>0.0</v>
      </c>
      <c r="D108" s="38">
        <v>0.0</v>
      </c>
      <c r="E108" s="38">
        <v>0.0</v>
      </c>
      <c r="F108" s="38">
        <v>0.0</v>
      </c>
      <c r="G108" s="38">
        <v>0.0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9" t="s">
        <v>309</v>
      </c>
      <c r="B109" s="40">
        <f t="shared" ref="B109:G109" si="21">SUM(B106:B108)</f>
        <v>0</v>
      </c>
      <c r="C109" s="40">
        <f t="shared" si="21"/>
        <v>0</v>
      </c>
      <c r="D109" s="40">
        <f t="shared" si="21"/>
        <v>0</v>
      </c>
      <c r="E109" s="40">
        <f t="shared" si="21"/>
        <v>0</v>
      </c>
      <c r="F109" s="40">
        <f t="shared" si="21"/>
        <v>0</v>
      </c>
      <c r="G109" s="40">
        <f t="shared" si="21"/>
        <v>0</v>
      </c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41">
        <v>45652.0</v>
      </c>
      <c r="B110" s="35"/>
      <c r="C110" s="35"/>
      <c r="D110" s="35"/>
      <c r="E110" s="35"/>
      <c r="F110" s="35"/>
      <c r="G110" s="36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7" t="s">
        <v>40</v>
      </c>
      <c r="B111" s="38">
        <v>0.0</v>
      </c>
      <c r="C111" s="38">
        <v>0.0</v>
      </c>
      <c r="D111" s="38">
        <v>0.0</v>
      </c>
      <c r="E111" s="38">
        <v>0.0</v>
      </c>
      <c r="F111" s="38">
        <v>0.0</v>
      </c>
      <c r="G111" s="38">
        <v>0.0</v>
      </c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7" t="s">
        <v>34</v>
      </c>
      <c r="B112" s="38">
        <v>0.0</v>
      </c>
      <c r="C112" s="38">
        <v>0.0</v>
      </c>
      <c r="D112" s="38">
        <v>0.0</v>
      </c>
      <c r="E112" s="38">
        <v>0.0</v>
      </c>
      <c r="F112" s="38">
        <v>0.0</v>
      </c>
      <c r="G112" s="38">
        <v>0.0</v>
      </c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7" t="s">
        <v>334</v>
      </c>
      <c r="B113" s="38">
        <v>0.0</v>
      </c>
      <c r="C113" s="38">
        <v>0.0</v>
      </c>
      <c r="D113" s="38">
        <v>0.0</v>
      </c>
      <c r="E113" s="38">
        <v>0.0</v>
      </c>
      <c r="F113" s="38">
        <v>0.0</v>
      </c>
      <c r="G113" s="38">
        <v>0.0</v>
      </c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9" t="s">
        <v>309</v>
      </c>
      <c r="B114" s="40">
        <f t="shared" ref="B114:G114" si="22">SUM(B111:B113)</f>
        <v>0</v>
      </c>
      <c r="C114" s="40">
        <f t="shared" si="22"/>
        <v>0</v>
      </c>
      <c r="D114" s="40">
        <f t="shared" si="22"/>
        <v>0</v>
      </c>
      <c r="E114" s="40">
        <f t="shared" si="22"/>
        <v>0</v>
      </c>
      <c r="F114" s="40">
        <f t="shared" si="22"/>
        <v>0</v>
      </c>
      <c r="G114" s="40">
        <f t="shared" si="22"/>
        <v>0</v>
      </c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41">
        <v>45653.0</v>
      </c>
      <c r="B115" s="35"/>
      <c r="C115" s="35"/>
      <c r="D115" s="35"/>
      <c r="E115" s="35"/>
      <c r="F115" s="35"/>
      <c r="G115" s="36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7" t="s">
        <v>40</v>
      </c>
      <c r="B116" s="38">
        <v>0.0</v>
      </c>
      <c r="C116" s="38">
        <v>0.0</v>
      </c>
      <c r="D116" s="38">
        <v>0.0</v>
      </c>
      <c r="E116" s="38">
        <v>0.0</v>
      </c>
      <c r="F116" s="38">
        <v>0.0</v>
      </c>
      <c r="G116" s="38">
        <v>0.0</v>
      </c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7" t="s">
        <v>34</v>
      </c>
      <c r="B117" s="38">
        <v>0.0</v>
      </c>
      <c r="C117" s="38">
        <v>0.0</v>
      </c>
      <c r="D117" s="38">
        <v>0.0</v>
      </c>
      <c r="E117" s="38">
        <v>0.0</v>
      </c>
      <c r="F117" s="38">
        <v>0.0</v>
      </c>
      <c r="G117" s="38">
        <v>0.0</v>
      </c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7" t="s">
        <v>334</v>
      </c>
      <c r="B118" s="38">
        <v>0.0</v>
      </c>
      <c r="C118" s="38">
        <v>0.0</v>
      </c>
      <c r="D118" s="38">
        <v>0.0</v>
      </c>
      <c r="E118" s="38">
        <v>0.0</v>
      </c>
      <c r="F118" s="38">
        <v>0.0</v>
      </c>
      <c r="G118" s="38">
        <v>0.0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9" t="s">
        <v>309</v>
      </c>
      <c r="B119" s="40">
        <f t="shared" ref="B119:G119" si="23">SUM(B116:B118)</f>
        <v>0</v>
      </c>
      <c r="C119" s="40">
        <f t="shared" si="23"/>
        <v>0</v>
      </c>
      <c r="D119" s="40">
        <f t="shared" si="23"/>
        <v>0</v>
      </c>
      <c r="E119" s="40">
        <f t="shared" si="23"/>
        <v>0</v>
      </c>
      <c r="F119" s="40">
        <f t="shared" si="23"/>
        <v>0</v>
      </c>
      <c r="G119" s="40">
        <f t="shared" si="23"/>
        <v>0</v>
      </c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41">
        <v>45654.0</v>
      </c>
      <c r="B120" s="35"/>
      <c r="C120" s="35"/>
      <c r="D120" s="35"/>
      <c r="E120" s="35"/>
      <c r="F120" s="35"/>
      <c r="G120" s="36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7" t="s">
        <v>40</v>
      </c>
      <c r="B121" s="38">
        <v>0.0</v>
      </c>
      <c r="C121" s="38">
        <v>0.0</v>
      </c>
      <c r="D121" s="38">
        <v>0.0</v>
      </c>
      <c r="E121" s="38">
        <v>0.0</v>
      </c>
      <c r="F121" s="38">
        <v>0.0</v>
      </c>
      <c r="G121" s="38">
        <v>0.0</v>
      </c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7" t="s">
        <v>34</v>
      </c>
      <c r="B122" s="38">
        <v>0.0</v>
      </c>
      <c r="C122" s="38">
        <v>0.0</v>
      </c>
      <c r="D122" s="38">
        <v>0.0</v>
      </c>
      <c r="E122" s="38">
        <v>0.0</v>
      </c>
      <c r="F122" s="38">
        <v>0.0</v>
      </c>
      <c r="G122" s="38">
        <v>0.0</v>
      </c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7" t="s">
        <v>334</v>
      </c>
      <c r="B123" s="38">
        <v>0.0</v>
      </c>
      <c r="C123" s="38">
        <v>0.0</v>
      </c>
      <c r="D123" s="38">
        <v>0.0</v>
      </c>
      <c r="E123" s="38">
        <v>0.0</v>
      </c>
      <c r="F123" s="38">
        <v>0.0</v>
      </c>
      <c r="G123" s="38">
        <v>0.0</v>
      </c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9" t="s">
        <v>309</v>
      </c>
      <c r="B124" s="40">
        <f t="shared" ref="B124:G124" si="24">SUM(B121:B123)</f>
        <v>0</v>
      </c>
      <c r="C124" s="40">
        <f t="shared" si="24"/>
        <v>0</v>
      </c>
      <c r="D124" s="40">
        <f t="shared" si="24"/>
        <v>0</v>
      </c>
      <c r="E124" s="40">
        <f t="shared" si="24"/>
        <v>0</v>
      </c>
      <c r="F124" s="40">
        <f t="shared" si="24"/>
        <v>0</v>
      </c>
      <c r="G124" s="40">
        <f t="shared" si="24"/>
        <v>0</v>
      </c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41">
        <v>45656.0</v>
      </c>
      <c r="B125" s="35"/>
      <c r="C125" s="35"/>
      <c r="D125" s="35"/>
      <c r="E125" s="35"/>
      <c r="F125" s="35"/>
      <c r="G125" s="36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7" t="s">
        <v>40</v>
      </c>
      <c r="B126" s="38">
        <v>0.0</v>
      </c>
      <c r="C126" s="38">
        <v>0.0</v>
      </c>
      <c r="D126" s="38">
        <v>0.0</v>
      </c>
      <c r="E126" s="38">
        <v>0.0</v>
      </c>
      <c r="F126" s="38">
        <v>0.0</v>
      </c>
      <c r="G126" s="38">
        <v>0.0</v>
      </c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7" t="s">
        <v>34</v>
      </c>
      <c r="B127" s="38">
        <v>0.0</v>
      </c>
      <c r="C127" s="38">
        <v>0.0</v>
      </c>
      <c r="D127" s="38">
        <v>0.0</v>
      </c>
      <c r="E127" s="38">
        <v>0.0</v>
      </c>
      <c r="F127" s="38">
        <v>0.0</v>
      </c>
      <c r="G127" s="38">
        <v>0.0</v>
      </c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7" t="s">
        <v>334</v>
      </c>
      <c r="B128" s="38">
        <v>0.0</v>
      </c>
      <c r="C128" s="38">
        <v>0.0</v>
      </c>
      <c r="D128" s="38">
        <v>0.0</v>
      </c>
      <c r="E128" s="38">
        <v>0.0</v>
      </c>
      <c r="F128" s="38">
        <v>0.0</v>
      </c>
      <c r="G128" s="38">
        <v>0.0</v>
      </c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9" t="s">
        <v>309</v>
      </c>
      <c r="B129" s="40">
        <f t="shared" ref="B129:G129" si="25">SUM(B126:B128)</f>
        <v>0</v>
      </c>
      <c r="C129" s="40">
        <f t="shared" si="25"/>
        <v>0</v>
      </c>
      <c r="D129" s="40">
        <f t="shared" si="25"/>
        <v>0</v>
      </c>
      <c r="E129" s="40">
        <f t="shared" si="25"/>
        <v>0</v>
      </c>
      <c r="F129" s="40">
        <f t="shared" si="25"/>
        <v>0</v>
      </c>
      <c r="G129" s="40">
        <f t="shared" si="25"/>
        <v>0</v>
      </c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41">
        <v>45657.0</v>
      </c>
      <c r="B130" s="35"/>
      <c r="C130" s="35"/>
      <c r="D130" s="35"/>
      <c r="E130" s="35"/>
      <c r="F130" s="35"/>
      <c r="G130" s="36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7" t="s">
        <v>40</v>
      </c>
      <c r="B131" s="38">
        <v>0.0</v>
      </c>
      <c r="C131" s="38">
        <v>0.0</v>
      </c>
      <c r="D131" s="38">
        <v>0.0</v>
      </c>
      <c r="E131" s="38">
        <v>0.0</v>
      </c>
      <c r="F131" s="38">
        <v>0.0</v>
      </c>
      <c r="G131" s="38">
        <v>0.0</v>
      </c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7" t="s">
        <v>34</v>
      </c>
      <c r="B132" s="38">
        <v>0.0</v>
      </c>
      <c r="C132" s="38">
        <v>0.0</v>
      </c>
      <c r="D132" s="38">
        <v>0.0</v>
      </c>
      <c r="E132" s="38">
        <v>0.0</v>
      </c>
      <c r="F132" s="38">
        <v>0.0</v>
      </c>
      <c r="G132" s="38">
        <v>0.0</v>
      </c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7.25" customHeight="1">
      <c r="A133" s="37" t="s">
        <v>334</v>
      </c>
      <c r="B133" s="38">
        <v>0.0</v>
      </c>
      <c r="C133" s="38">
        <v>0.0</v>
      </c>
      <c r="D133" s="38">
        <v>0.0</v>
      </c>
      <c r="E133" s="38">
        <v>0.0</v>
      </c>
      <c r="F133" s="38">
        <v>0.0</v>
      </c>
      <c r="G133" s="38">
        <v>0.0</v>
      </c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9" t="s">
        <v>309</v>
      </c>
      <c r="B134" s="40">
        <f t="shared" ref="B134:G134" si="26">SUM(B131:B133)</f>
        <v>0</v>
      </c>
      <c r="C134" s="40">
        <f t="shared" si="26"/>
        <v>0</v>
      </c>
      <c r="D134" s="40">
        <f t="shared" si="26"/>
        <v>0</v>
      </c>
      <c r="E134" s="40">
        <f t="shared" si="26"/>
        <v>0</v>
      </c>
      <c r="F134" s="40">
        <f t="shared" si="26"/>
        <v>0</v>
      </c>
      <c r="G134" s="40">
        <f t="shared" si="26"/>
        <v>0</v>
      </c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20.25" customHeight="1">
      <c r="A135" s="42" t="s">
        <v>330</v>
      </c>
      <c r="B135" s="43">
        <f t="shared" ref="B135:G135" si="27">SUM(B9,B14,B19,B24,B29,B34,B39,B44,B49,B54,B59,B64,B69,B74)</f>
        <v>3</v>
      </c>
      <c r="C135" s="43">
        <f t="shared" si="27"/>
        <v>0</v>
      </c>
      <c r="D135" s="43">
        <f t="shared" si="27"/>
        <v>0</v>
      </c>
      <c r="E135" s="43">
        <f t="shared" si="27"/>
        <v>0</v>
      </c>
      <c r="F135" s="43">
        <f t="shared" si="27"/>
        <v>0</v>
      </c>
      <c r="G135" s="43">
        <f t="shared" si="27"/>
        <v>0</v>
      </c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</sheetData>
  <mergeCells count="27">
    <mergeCell ref="A2:G2"/>
    <mergeCell ref="A5:G5"/>
    <mergeCell ref="A10:G10"/>
    <mergeCell ref="A15:G15"/>
    <mergeCell ref="A20:G20"/>
    <mergeCell ref="A25:G25"/>
    <mergeCell ref="A30:G30"/>
    <mergeCell ref="A35:G35"/>
    <mergeCell ref="A40:G40"/>
    <mergeCell ref="A45:G45"/>
    <mergeCell ref="A50:G50"/>
    <mergeCell ref="A55:G55"/>
    <mergeCell ref="A60:G60"/>
    <mergeCell ref="A65:G65"/>
    <mergeCell ref="A105:G105"/>
    <mergeCell ref="A110:G110"/>
    <mergeCell ref="A115:G115"/>
    <mergeCell ref="A120:G120"/>
    <mergeCell ref="A125:G125"/>
    <mergeCell ref="A130:G130"/>
    <mergeCell ref="A70:G70"/>
    <mergeCell ref="A75:G75"/>
    <mergeCell ref="A80:G80"/>
    <mergeCell ref="A85:G85"/>
    <mergeCell ref="A90:G90"/>
    <mergeCell ref="A95:G95"/>
    <mergeCell ref="A100:G100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337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45600.0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7" t="s">
        <v>334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9" t="s">
        <v>309</v>
      </c>
      <c r="B9" s="40">
        <f t="shared" ref="B9:G9" si="1">SUM(B6:B8)</f>
        <v>0</v>
      </c>
      <c r="C9" s="40">
        <f t="shared" si="1"/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41">
        <v>45601.0</v>
      </c>
      <c r="B10" s="35"/>
      <c r="C10" s="35"/>
      <c r="D10" s="35"/>
      <c r="E10" s="35"/>
      <c r="F10" s="35"/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40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7" t="s">
        <v>34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7" t="s">
        <v>334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9" t="s">
        <v>309</v>
      </c>
      <c r="B14" s="40">
        <f t="shared" ref="B14:G14" si="2">SUM(B11:B13)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40">
        <f t="shared" si="2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41">
        <v>45602.0</v>
      </c>
      <c r="B15" s="35"/>
      <c r="C15" s="35"/>
      <c r="D15" s="35"/>
      <c r="E15" s="35"/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7" t="s">
        <v>40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7" t="s">
        <v>34</v>
      </c>
      <c r="B17" s="38">
        <v>0.0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334</v>
      </c>
      <c r="B18" s="38">
        <v>0.0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9" t="s">
        <v>309</v>
      </c>
      <c r="B19" s="40">
        <f t="shared" ref="B19:G19" si="3">SUM(B16:B18)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41">
        <v>45607.0</v>
      </c>
      <c r="B20" s="35"/>
      <c r="C20" s="35"/>
      <c r="D20" s="35"/>
      <c r="E20" s="35"/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7" t="s">
        <v>40</v>
      </c>
      <c r="B21" s="38">
        <v>0.0</v>
      </c>
      <c r="C21" s="38">
        <v>0.0</v>
      </c>
      <c r="D21" s="38">
        <v>0.0</v>
      </c>
      <c r="E21" s="38">
        <v>0.0</v>
      </c>
      <c r="F21" s="38">
        <v>0.0</v>
      </c>
      <c r="G21" s="38">
        <v>0.0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34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4">SUM(B21:B23)</f>
        <v>0</v>
      </c>
      <c r="C24" s="40">
        <f t="shared" si="4"/>
        <v>0</v>
      </c>
      <c r="D24" s="40">
        <f t="shared" si="4"/>
        <v>0</v>
      </c>
      <c r="E24" s="40">
        <f t="shared" si="4"/>
        <v>0</v>
      </c>
      <c r="F24" s="40">
        <f t="shared" si="4"/>
        <v>0</v>
      </c>
      <c r="G24" s="40">
        <f t="shared" si="4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45608.0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7" t="s">
        <v>334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9" t="s">
        <v>309</v>
      </c>
      <c r="B29" s="40">
        <f t="shared" ref="B29:G29" si="5">SUM(B26:B28)</f>
        <v>0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41">
        <v>45615.0</v>
      </c>
      <c r="B30" s="35"/>
      <c r="C30" s="35"/>
      <c r="D30" s="35"/>
      <c r="E30" s="35"/>
      <c r="F30" s="35"/>
      <c r="G30" s="36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40</v>
      </c>
      <c r="B31" s="38">
        <v>1.0</v>
      </c>
      <c r="C31" s="38">
        <v>0.0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7" t="s">
        <v>34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37" t="s">
        <v>334</v>
      </c>
      <c r="B33" s="38">
        <v>0.0</v>
      </c>
      <c r="C33" s="38">
        <v>0.0</v>
      </c>
      <c r="D33" s="38">
        <v>0.0</v>
      </c>
      <c r="E33" s="38">
        <v>0.0</v>
      </c>
      <c r="F33" s="38">
        <v>0.0</v>
      </c>
      <c r="G33" s="38">
        <v>0.0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9" t="s">
        <v>309</v>
      </c>
      <c r="B34" s="40">
        <f t="shared" ref="B34:G34" si="6">SUM(B31:B32)</f>
        <v>1</v>
      </c>
      <c r="C34" s="40">
        <f t="shared" si="6"/>
        <v>0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41">
        <v>45616.0</v>
      </c>
      <c r="B35" s="35"/>
      <c r="C35" s="35"/>
      <c r="D35" s="35"/>
      <c r="E35" s="35"/>
      <c r="F35" s="35"/>
      <c r="G35" s="3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7" t="s">
        <v>40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37" t="s">
        <v>34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334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9" t="s">
        <v>309</v>
      </c>
      <c r="B39" s="40">
        <f t="shared" ref="B39:G39" si="7">SUM(B36:B38)</f>
        <v>0</v>
      </c>
      <c r="C39" s="40">
        <f t="shared" si="7"/>
        <v>0</v>
      </c>
      <c r="D39" s="40">
        <f t="shared" si="7"/>
        <v>0</v>
      </c>
      <c r="E39" s="40">
        <f t="shared" si="7"/>
        <v>0</v>
      </c>
      <c r="F39" s="40">
        <f t="shared" si="7"/>
        <v>0</v>
      </c>
      <c r="G39" s="40">
        <f t="shared" si="7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41">
        <v>45617.0</v>
      </c>
      <c r="B40" s="35"/>
      <c r="C40" s="35"/>
      <c r="D40" s="35"/>
      <c r="E40" s="35"/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37" t="s">
        <v>40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34</v>
      </c>
      <c r="B42" s="38">
        <v>1.0</v>
      </c>
      <c r="C42" s="38">
        <v>1.0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8">SUM(B41:B43)</f>
        <v>1</v>
      </c>
      <c r="C44" s="40">
        <f t="shared" si="8"/>
        <v>1</v>
      </c>
      <c r="D44" s="40">
        <f t="shared" si="8"/>
        <v>0</v>
      </c>
      <c r="E44" s="40">
        <f t="shared" si="8"/>
        <v>0</v>
      </c>
      <c r="F44" s="40">
        <f t="shared" si="8"/>
        <v>0</v>
      </c>
      <c r="G44" s="40">
        <f t="shared" si="8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45618.0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7" t="s">
        <v>334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39" t="s">
        <v>309</v>
      </c>
      <c r="B49" s="40">
        <f t="shared" ref="B49:G49" si="9">SUM(B46:B48)</f>
        <v>0</v>
      </c>
      <c r="C49" s="40">
        <f t="shared" si="9"/>
        <v>0</v>
      </c>
      <c r="D49" s="40">
        <f t="shared" si="9"/>
        <v>0</v>
      </c>
      <c r="E49" s="40">
        <f t="shared" si="9"/>
        <v>0</v>
      </c>
      <c r="F49" s="40">
        <f t="shared" si="9"/>
        <v>0</v>
      </c>
      <c r="G49" s="40">
        <f t="shared" si="9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41">
        <v>45622.0</v>
      </c>
      <c r="B50" s="35"/>
      <c r="C50" s="35"/>
      <c r="D50" s="35"/>
      <c r="E50" s="35"/>
      <c r="F50" s="35"/>
      <c r="G50" s="3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40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7" t="s">
        <v>34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7" t="s">
        <v>334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9" t="s">
        <v>309</v>
      </c>
      <c r="B54" s="40">
        <f t="shared" ref="B54:G54" si="10">SUM(B51:B53)</f>
        <v>0</v>
      </c>
      <c r="C54" s="40">
        <f t="shared" si="10"/>
        <v>0</v>
      </c>
      <c r="D54" s="40">
        <f t="shared" si="10"/>
        <v>0</v>
      </c>
      <c r="E54" s="40">
        <f t="shared" si="10"/>
        <v>0</v>
      </c>
      <c r="F54" s="40">
        <f t="shared" si="10"/>
        <v>0</v>
      </c>
      <c r="G54" s="40">
        <f t="shared" si="10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41">
        <v>45623.0</v>
      </c>
      <c r="B55" s="35"/>
      <c r="C55" s="35"/>
      <c r="D55" s="35"/>
      <c r="E55" s="35"/>
      <c r="F55" s="35"/>
      <c r="G55" s="36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7" t="s">
        <v>40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37" t="s">
        <v>34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334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9" t="s">
        <v>309</v>
      </c>
      <c r="B59" s="40">
        <f t="shared" ref="B59:G59" si="11">SUM(B56:B58)</f>
        <v>0</v>
      </c>
      <c r="C59" s="40">
        <f t="shared" si="11"/>
        <v>0</v>
      </c>
      <c r="D59" s="40">
        <f t="shared" si="11"/>
        <v>0</v>
      </c>
      <c r="E59" s="40">
        <f t="shared" si="11"/>
        <v>0</v>
      </c>
      <c r="F59" s="40">
        <f t="shared" si="11"/>
        <v>0</v>
      </c>
      <c r="G59" s="40">
        <f t="shared" si="11"/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41">
        <v>45624.0</v>
      </c>
      <c r="B60" s="35"/>
      <c r="C60" s="35"/>
      <c r="D60" s="35"/>
      <c r="E60" s="35"/>
      <c r="F60" s="35"/>
      <c r="G60" s="36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37" t="s">
        <v>40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34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f t="shared" ref="B64:G64" si="12">SUM(B61:B63)</f>
        <v>0</v>
      </c>
      <c r="C64" s="40">
        <f t="shared" si="12"/>
        <v>0</v>
      </c>
      <c r="D64" s="40">
        <f t="shared" si="12"/>
        <v>0</v>
      </c>
      <c r="E64" s="40">
        <f t="shared" si="12"/>
        <v>0</v>
      </c>
      <c r="F64" s="40">
        <f t="shared" si="12"/>
        <v>0</v>
      </c>
      <c r="G64" s="40">
        <f t="shared" si="12"/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41">
        <v>45625.0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8.0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8.0" customHeight="1">
      <c r="A68" s="37" t="s">
        <v>334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8.0" customHeight="1">
      <c r="A69" s="39" t="s">
        <v>309</v>
      </c>
      <c r="B69" s="40">
        <f t="shared" ref="B69:G69" si="13">SUM(B66:B68)</f>
        <v>0</v>
      </c>
      <c r="C69" s="40">
        <f t="shared" si="13"/>
        <v>0</v>
      </c>
      <c r="D69" s="40">
        <f t="shared" si="13"/>
        <v>0</v>
      </c>
      <c r="E69" s="40">
        <f t="shared" si="13"/>
        <v>0</v>
      </c>
      <c r="F69" s="40">
        <f t="shared" si="13"/>
        <v>0</v>
      </c>
      <c r="G69" s="40">
        <f t="shared" si="13"/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8.0" customHeight="1">
      <c r="A70" s="41">
        <v>45626.0</v>
      </c>
      <c r="B70" s="35"/>
      <c r="C70" s="35"/>
      <c r="D70" s="35"/>
      <c r="E70" s="35"/>
      <c r="F70" s="35"/>
      <c r="G70" s="36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8.0" customHeight="1">
      <c r="A71" s="37" t="s">
        <v>40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8.0" customHeight="1">
      <c r="A72" s="37" t="s">
        <v>34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8.0" customHeight="1">
      <c r="A73" s="37" t="s">
        <v>334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8.0" customHeight="1">
      <c r="A74" s="39" t="s">
        <v>309</v>
      </c>
      <c r="B74" s="40">
        <f t="shared" ref="B74:G74" si="14">SUM(B71:B73)</f>
        <v>0</v>
      </c>
      <c r="C74" s="40">
        <f t="shared" si="14"/>
        <v>0</v>
      </c>
      <c r="D74" s="40">
        <f t="shared" si="14"/>
        <v>0</v>
      </c>
      <c r="E74" s="40">
        <f t="shared" si="14"/>
        <v>0</v>
      </c>
      <c r="F74" s="40">
        <f t="shared" si="14"/>
        <v>0</v>
      </c>
      <c r="G74" s="40">
        <f t="shared" si="14"/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8.0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8.0" customHeight="1">
      <c r="A76" s="42" t="s">
        <v>330</v>
      </c>
      <c r="B76" s="43">
        <f t="shared" ref="B76:G76" si="15">SUM(B9,B14,B19,B24,B29,B34,B39,B44,B49,B54,B59,B64,B69,B74)</f>
        <v>2</v>
      </c>
      <c r="C76" s="43">
        <f t="shared" si="15"/>
        <v>1</v>
      </c>
      <c r="D76" s="43">
        <f t="shared" si="15"/>
        <v>0</v>
      </c>
      <c r="E76" s="43">
        <f t="shared" si="15"/>
        <v>0</v>
      </c>
      <c r="F76" s="43">
        <f t="shared" si="15"/>
        <v>0</v>
      </c>
      <c r="G76" s="43">
        <f t="shared" si="15"/>
        <v>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</sheetData>
  <mergeCells count="15">
    <mergeCell ref="A35:G35"/>
    <mergeCell ref="A40:G40"/>
    <mergeCell ref="A45:G45"/>
    <mergeCell ref="A50:G50"/>
    <mergeCell ref="A55:G55"/>
    <mergeCell ref="A60:G60"/>
    <mergeCell ref="A65:G65"/>
    <mergeCell ref="A70:G70"/>
    <mergeCell ref="A2:G2"/>
    <mergeCell ref="A5:G5"/>
    <mergeCell ref="A10:G10"/>
    <mergeCell ref="A15:G15"/>
    <mergeCell ref="A20:G20"/>
    <mergeCell ref="A25:G25"/>
    <mergeCell ref="A30:G3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sheetData>
    <row r="1" ht="18.0" customHeight="1">
      <c r="A1" s="26"/>
      <c r="B1" s="27"/>
      <c r="C1" s="28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ht="66.0" customHeight="1">
      <c r="A2" s="31" t="s">
        <v>337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ht="18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ht="36.75" customHeight="1">
      <c r="A4" s="32" t="s">
        <v>301</v>
      </c>
      <c r="B4" s="33" t="s">
        <v>302</v>
      </c>
      <c r="C4" s="33" t="s">
        <v>303</v>
      </c>
      <c r="D4" s="33" t="s">
        <v>304</v>
      </c>
      <c r="E4" s="33" t="s">
        <v>305</v>
      </c>
      <c r="F4" s="33" t="s">
        <v>306</v>
      </c>
      <c r="G4" s="33" t="s">
        <v>307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ht="18.0" customHeight="1">
      <c r="A5" s="41">
        <v>45600.0</v>
      </c>
      <c r="B5" s="35"/>
      <c r="C5" s="35"/>
      <c r="D5" s="35"/>
      <c r="E5" s="35"/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ht="18.0" customHeight="1">
      <c r="A6" s="37" t="s">
        <v>40</v>
      </c>
      <c r="B6" s="38">
        <v>0.0</v>
      </c>
      <c r="C6" s="38">
        <v>0.0</v>
      </c>
      <c r="D6" s="38">
        <v>0.0</v>
      </c>
      <c r="E6" s="38">
        <v>0.0</v>
      </c>
      <c r="F6" s="38">
        <v>0.0</v>
      </c>
      <c r="G6" s="38">
        <v>0.0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ht="18.0" customHeight="1">
      <c r="A7" s="37" t="s">
        <v>34</v>
      </c>
      <c r="B7" s="38">
        <v>0.0</v>
      </c>
      <c r="C7" s="38">
        <v>0.0</v>
      </c>
      <c r="D7" s="38">
        <v>0.0</v>
      </c>
      <c r="E7" s="38">
        <v>0.0</v>
      </c>
      <c r="F7" s="38">
        <v>0.0</v>
      </c>
      <c r="G7" s="38">
        <v>0.0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ht="18.0" customHeight="1">
      <c r="A8" s="37" t="s">
        <v>334</v>
      </c>
      <c r="B8" s="38">
        <v>0.0</v>
      </c>
      <c r="C8" s="38">
        <v>0.0</v>
      </c>
      <c r="D8" s="38">
        <v>0.0</v>
      </c>
      <c r="E8" s="38">
        <v>0.0</v>
      </c>
      <c r="F8" s="38">
        <v>0.0</v>
      </c>
      <c r="G8" s="38">
        <v>0.0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ht="18.0" customHeight="1">
      <c r="A9" s="39" t="s">
        <v>309</v>
      </c>
      <c r="B9" s="40">
        <f t="shared" ref="B9:G9" si="1">SUM(B6:B8)</f>
        <v>0</v>
      </c>
      <c r="C9" s="40">
        <f t="shared" si="1"/>
        <v>0</v>
      </c>
      <c r="D9" s="40">
        <f t="shared" si="1"/>
        <v>0</v>
      </c>
      <c r="E9" s="40">
        <f t="shared" si="1"/>
        <v>0</v>
      </c>
      <c r="F9" s="40">
        <f t="shared" si="1"/>
        <v>0</v>
      </c>
      <c r="G9" s="40">
        <f t="shared" si="1"/>
        <v>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ht="18.0" customHeight="1">
      <c r="A10" s="41">
        <v>45601.0</v>
      </c>
      <c r="B10" s="35"/>
      <c r="C10" s="35"/>
      <c r="D10" s="35"/>
      <c r="E10" s="35"/>
      <c r="F10" s="35"/>
      <c r="G10" s="36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ht="18.0" customHeight="1">
      <c r="A11" s="37" t="s">
        <v>40</v>
      </c>
      <c r="B11" s="38">
        <v>0.0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ht="18.0" customHeight="1">
      <c r="A12" s="37" t="s">
        <v>34</v>
      </c>
      <c r="B12" s="38">
        <v>0.0</v>
      </c>
      <c r="C12" s="38">
        <v>0.0</v>
      </c>
      <c r="D12" s="38">
        <v>0.0</v>
      </c>
      <c r="E12" s="38">
        <v>0.0</v>
      </c>
      <c r="F12" s="38">
        <v>0.0</v>
      </c>
      <c r="G12" s="38">
        <v>0.0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ht="18.0" customHeight="1">
      <c r="A13" s="37" t="s">
        <v>334</v>
      </c>
      <c r="B13" s="38">
        <v>0.0</v>
      </c>
      <c r="C13" s="38">
        <v>0.0</v>
      </c>
      <c r="D13" s="38">
        <v>0.0</v>
      </c>
      <c r="E13" s="38">
        <v>0.0</v>
      </c>
      <c r="F13" s="38">
        <v>0.0</v>
      </c>
      <c r="G13" s="38">
        <v>0.0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ht="18.0" customHeight="1">
      <c r="A14" s="39" t="s">
        <v>309</v>
      </c>
      <c r="B14" s="40">
        <f t="shared" ref="B14:G14" si="2">SUM(B11:B13)</f>
        <v>0</v>
      </c>
      <c r="C14" s="40">
        <f t="shared" si="2"/>
        <v>0</v>
      </c>
      <c r="D14" s="40">
        <f t="shared" si="2"/>
        <v>0</v>
      </c>
      <c r="E14" s="40">
        <f t="shared" si="2"/>
        <v>0</v>
      </c>
      <c r="F14" s="40">
        <f t="shared" si="2"/>
        <v>0</v>
      </c>
      <c r="G14" s="40">
        <f t="shared" si="2"/>
        <v>0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ht="18.0" customHeight="1">
      <c r="A15" s="41">
        <v>45602.0</v>
      </c>
      <c r="B15" s="35"/>
      <c r="C15" s="35"/>
      <c r="D15" s="35"/>
      <c r="E15" s="35"/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ht="18.0" customHeight="1">
      <c r="A16" s="37" t="s">
        <v>40</v>
      </c>
      <c r="B16" s="38">
        <v>0.0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ht="18.0" customHeight="1">
      <c r="A17" s="37" t="s">
        <v>34</v>
      </c>
      <c r="B17" s="38">
        <v>0.0</v>
      </c>
      <c r="C17" s="38">
        <v>0.0</v>
      </c>
      <c r="D17" s="38">
        <v>0.0</v>
      </c>
      <c r="E17" s="38">
        <v>0.0</v>
      </c>
      <c r="F17" s="38">
        <v>0.0</v>
      </c>
      <c r="G17" s="38">
        <v>0.0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ht="18.0" customHeight="1">
      <c r="A18" s="37" t="s">
        <v>334</v>
      </c>
      <c r="B18" s="38">
        <v>0.0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ht="18.0" customHeight="1">
      <c r="A19" s="39" t="s">
        <v>309</v>
      </c>
      <c r="B19" s="40">
        <f t="shared" ref="B19:G19" si="3">SUM(B16:B18)</f>
        <v>0</v>
      </c>
      <c r="C19" s="40">
        <f t="shared" si="3"/>
        <v>0</v>
      </c>
      <c r="D19" s="40">
        <f t="shared" si="3"/>
        <v>0</v>
      </c>
      <c r="E19" s="40">
        <f t="shared" si="3"/>
        <v>0</v>
      </c>
      <c r="F19" s="40">
        <f t="shared" si="3"/>
        <v>0</v>
      </c>
      <c r="G19" s="40">
        <f t="shared" si="3"/>
        <v>0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ht="18.0" customHeight="1">
      <c r="A20" s="41">
        <v>45607.0</v>
      </c>
      <c r="B20" s="35"/>
      <c r="C20" s="35"/>
      <c r="D20" s="35"/>
      <c r="E20" s="35"/>
      <c r="F20" s="35"/>
      <c r="G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ht="18.0" customHeight="1">
      <c r="A21" s="37" t="s">
        <v>40</v>
      </c>
      <c r="B21" s="38">
        <v>0.0</v>
      </c>
      <c r="C21" s="38">
        <v>0.0</v>
      </c>
      <c r="D21" s="38">
        <v>0.0</v>
      </c>
      <c r="E21" s="38">
        <v>0.0</v>
      </c>
      <c r="F21" s="38">
        <v>0.0</v>
      </c>
      <c r="G21" s="38">
        <v>0.0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ht="18.0" customHeight="1">
      <c r="A22" s="37" t="s">
        <v>34</v>
      </c>
      <c r="B22" s="38">
        <v>0.0</v>
      </c>
      <c r="C22" s="38">
        <v>0.0</v>
      </c>
      <c r="D22" s="38">
        <v>0.0</v>
      </c>
      <c r="E22" s="38">
        <v>0.0</v>
      </c>
      <c r="F22" s="38">
        <v>0.0</v>
      </c>
      <c r="G22" s="38">
        <v>0.0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ht="18.0" customHeight="1">
      <c r="A23" s="37" t="s">
        <v>334</v>
      </c>
      <c r="B23" s="38">
        <v>0.0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ht="18.0" customHeight="1">
      <c r="A24" s="39" t="s">
        <v>309</v>
      </c>
      <c r="B24" s="40">
        <f t="shared" ref="B24:G24" si="4">SUM(B21:B23)</f>
        <v>0</v>
      </c>
      <c r="C24" s="40">
        <f t="shared" si="4"/>
        <v>0</v>
      </c>
      <c r="D24" s="40">
        <f t="shared" si="4"/>
        <v>0</v>
      </c>
      <c r="E24" s="40">
        <f t="shared" si="4"/>
        <v>0</v>
      </c>
      <c r="F24" s="40">
        <f t="shared" si="4"/>
        <v>0</v>
      </c>
      <c r="G24" s="40">
        <f t="shared" si="4"/>
        <v>0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ht="18.0" customHeight="1">
      <c r="A25" s="41">
        <v>45608.0</v>
      </c>
      <c r="B25" s="35"/>
      <c r="C25" s="35"/>
      <c r="D25" s="35"/>
      <c r="E25" s="35"/>
      <c r="F25" s="35"/>
      <c r="G25" s="3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ht="18.0" customHeight="1">
      <c r="A26" s="37" t="s">
        <v>40</v>
      </c>
      <c r="B26" s="38">
        <v>0.0</v>
      </c>
      <c r="C26" s="38">
        <v>0.0</v>
      </c>
      <c r="D26" s="38">
        <v>0.0</v>
      </c>
      <c r="E26" s="38">
        <v>0.0</v>
      </c>
      <c r="F26" s="38">
        <v>0.0</v>
      </c>
      <c r="G26" s="38">
        <v>0.0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ht="18.0" customHeight="1">
      <c r="A27" s="37" t="s">
        <v>34</v>
      </c>
      <c r="B27" s="38">
        <v>0.0</v>
      </c>
      <c r="C27" s="38">
        <v>0.0</v>
      </c>
      <c r="D27" s="38">
        <v>0.0</v>
      </c>
      <c r="E27" s="38">
        <v>0.0</v>
      </c>
      <c r="F27" s="38">
        <v>0.0</v>
      </c>
      <c r="G27" s="38">
        <v>0.0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ht="18.0" customHeight="1">
      <c r="A28" s="37" t="s">
        <v>334</v>
      </c>
      <c r="B28" s="38">
        <v>0.0</v>
      </c>
      <c r="C28" s="38">
        <v>0.0</v>
      </c>
      <c r="D28" s="38">
        <v>0.0</v>
      </c>
      <c r="E28" s="38">
        <v>0.0</v>
      </c>
      <c r="F28" s="38">
        <v>0.0</v>
      </c>
      <c r="G28" s="38">
        <v>0.0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ht="18.0" customHeight="1">
      <c r="A29" s="39" t="s">
        <v>309</v>
      </c>
      <c r="B29" s="40">
        <f t="shared" ref="B29:G29" si="5">SUM(B26:B28)</f>
        <v>0</v>
      </c>
      <c r="C29" s="40">
        <f t="shared" si="5"/>
        <v>0</v>
      </c>
      <c r="D29" s="40">
        <f t="shared" si="5"/>
        <v>0</v>
      </c>
      <c r="E29" s="40">
        <f t="shared" si="5"/>
        <v>0</v>
      </c>
      <c r="F29" s="40">
        <f t="shared" si="5"/>
        <v>0</v>
      </c>
      <c r="G29" s="40">
        <f t="shared" si="5"/>
        <v>0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ht="18.0" customHeight="1">
      <c r="A30" s="41">
        <v>45615.0</v>
      </c>
      <c r="B30" s="35"/>
      <c r="C30" s="35"/>
      <c r="D30" s="35"/>
      <c r="E30" s="35"/>
      <c r="F30" s="35"/>
      <c r="G30" s="36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ht="18.0" customHeight="1">
      <c r="A31" s="37" t="s">
        <v>40</v>
      </c>
      <c r="B31" s="38">
        <v>4.0</v>
      </c>
      <c r="C31" s="38">
        <v>3.0</v>
      </c>
      <c r="D31" s="38">
        <v>0.0</v>
      </c>
      <c r="E31" s="38">
        <v>0.0</v>
      </c>
      <c r="F31" s="38">
        <v>0.0</v>
      </c>
      <c r="G31" s="38">
        <v>0.0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ht="18.0" customHeight="1">
      <c r="A32" s="37" t="s">
        <v>34</v>
      </c>
      <c r="B32" s="38">
        <v>0.0</v>
      </c>
      <c r="C32" s="38">
        <v>0.0</v>
      </c>
      <c r="D32" s="38">
        <v>0.0</v>
      </c>
      <c r="E32" s="38">
        <v>0.0</v>
      </c>
      <c r="F32" s="38">
        <v>0.0</v>
      </c>
      <c r="G32" s="38">
        <v>0.0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ht="18.0" customHeight="1">
      <c r="A33" s="37" t="s">
        <v>334</v>
      </c>
      <c r="B33" s="38">
        <v>0.0</v>
      </c>
      <c r="C33" s="38">
        <v>0.0</v>
      </c>
      <c r="D33" s="38">
        <v>0.0</v>
      </c>
      <c r="E33" s="38">
        <v>0.0</v>
      </c>
      <c r="F33" s="38">
        <v>0.0</v>
      </c>
      <c r="G33" s="38">
        <v>0.0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ht="18.0" customHeight="1">
      <c r="A34" s="39" t="s">
        <v>309</v>
      </c>
      <c r="B34" s="40">
        <f t="shared" ref="B34:G34" si="6">SUM(B31:B32)</f>
        <v>4</v>
      </c>
      <c r="C34" s="40">
        <f t="shared" si="6"/>
        <v>3</v>
      </c>
      <c r="D34" s="40">
        <f t="shared" si="6"/>
        <v>0</v>
      </c>
      <c r="E34" s="40">
        <f t="shared" si="6"/>
        <v>0</v>
      </c>
      <c r="F34" s="40">
        <f t="shared" si="6"/>
        <v>0</v>
      </c>
      <c r="G34" s="40">
        <f t="shared" si="6"/>
        <v>0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ht="18.0" customHeight="1">
      <c r="A35" s="41">
        <v>45616.0</v>
      </c>
      <c r="B35" s="35"/>
      <c r="C35" s="35"/>
      <c r="D35" s="35"/>
      <c r="E35" s="35"/>
      <c r="F35" s="35"/>
      <c r="G35" s="3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ht="18.0" customHeight="1">
      <c r="A36" s="37" t="s">
        <v>40</v>
      </c>
      <c r="B36" s="38">
        <v>0.0</v>
      </c>
      <c r="C36" s="38">
        <v>0.0</v>
      </c>
      <c r="D36" s="38">
        <v>0.0</v>
      </c>
      <c r="E36" s="38">
        <v>0.0</v>
      </c>
      <c r="F36" s="38">
        <v>0.0</v>
      </c>
      <c r="G36" s="38">
        <v>0.0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ht="18.0" customHeight="1">
      <c r="A37" s="37" t="s">
        <v>34</v>
      </c>
      <c r="B37" s="38">
        <v>0.0</v>
      </c>
      <c r="C37" s="38">
        <v>0.0</v>
      </c>
      <c r="D37" s="38">
        <v>0.0</v>
      </c>
      <c r="E37" s="38">
        <v>0.0</v>
      </c>
      <c r="F37" s="38">
        <v>0.0</v>
      </c>
      <c r="G37" s="38">
        <v>0.0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ht="18.0" customHeight="1">
      <c r="A38" s="37" t="s">
        <v>334</v>
      </c>
      <c r="B38" s="38">
        <v>0.0</v>
      </c>
      <c r="C38" s="38">
        <v>0.0</v>
      </c>
      <c r="D38" s="38">
        <v>0.0</v>
      </c>
      <c r="E38" s="38">
        <v>0.0</v>
      </c>
      <c r="F38" s="38">
        <v>0.0</v>
      </c>
      <c r="G38" s="38">
        <v>0.0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ht="18.0" customHeight="1">
      <c r="A39" s="39" t="s">
        <v>309</v>
      </c>
      <c r="B39" s="40">
        <f t="shared" ref="B39:G39" si="7">SUM(B36:B38)</f>
        <v>0</v>
      </c>
      <c r="C39" s="40">
        <f t="shared" si="7"/>
        <v>0</v>
      </c>
      <c r="D39" s="40">
        <f t="shared" si="7"/>
        <v>0</v>
      </c>
      <c r="E39" s="40">
        <f t="shared" si="7"/>
        <v>0</v>
      </c>
      <c r="F39" s="40">
        <f t="shared" si="7"/>
        <v>0</v>
      </c>
      <c r="G39" s="40">
        <f t="shared" si="7"/>
        <v>0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ht="18.0" customHeight="1">
      <c r="A40" s="41">
        <v>45617.0</v>
      </c>
      <c r="B40" s="35"/>
      <c r="C40" s="35"/>
      <c r="D40" s="35"/>
      <c r="E40" s="35"/>
      <c r="F40" s="35"/>
      <c r="G40" s="36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ht="18.0" customHeight="1">
      <c r="A41" s="37" t="s">
        <v>40</v>
      </c>
      <c r="B41" s="38">
        <v>0.0</v>
      </c>
      <c r="C41" s="38">
        <v>0.0</v>
      </c>
      <c r="D41" s="38">
        <v>0.0</v>
      </c>
      <c r="E41" s="38">
        <v>0.0</v>
      </c>
      <c r="F41" s="38">
        <v>0.0</v>
      </c>
      <c r="G41" s="38">
        <v>0.0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ht="18.0" customHeight="1">
      <c r="A42" s="37" t="s">
        <v>34</v>
      </c>
      <c r="B42" s="38">
        <v>0.0</v>
      </c>
      <c r="C42" s="38">
        <v>0.0</v>
      </c>
      <c r="D42" s="38">
        <v>0.0</v>
      </c>
      <c r="E42" s="38">
        <v>0.0</v>
      </c>
      <c r="F42" s="38">
        <v>0.0</v>
      </c>
      <c r="G42" s="38">
        <v>0.0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ht="18.0" customHeight="1">
      <c r="A43" s="37" t="s">
        <v>334</v>
      </c>
      <c r="B43" s="38">
        <v>0.0</v>
      </c>
      <c r="C43" s="38">
        <v>0.0</v>
      </c>
      <c r="D43" s="38">
        <v>0.0</v>
      </c>
      <c r="E43" s="38">
        <v>0.0</v>
      </c>
      <c r="F43" s="38">
        <v>0.0</v>
      </c>
      <c r="G43" s="38">
        <v>0.0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ht="18.0" customHeight="1">
      <c r="A44" s="39" t="s">
        <v>309</v>
      </c>
      <c r="B44" s="40">
        <f t="shared" ref="B44:G44" si="8">SUM(B41:B43)</f>
        <v>0</v>
      </c>
      <c r="C44" s="40">
        <f t="shared" si="8"/>
        <v>0</v>
      </c>
      <c r="D44" s="40">
        <f t="shared" si="8"/>
        <v>0</v>
      </c>
      <c r="E44" s="40">
        <f t="shared" si="8"/>
        <v>0</v>
      </c>
      <c r="F44" s="40">
        <f t="shared" si="8"/>
        <v>0</v>
      </c>
      <c r="G44" s="40">
        <f t="shared" si="8"/>
        <v>0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ht="18.0" customHeight="1">
      <c r="A45" s="41">
        <v>45618.0</v>
      </c>
      <c r="B45" s="35"/>
      <c r="C45" s="35"/>
      <c r="D45" s="35"/>
      <c r="E45" s="35"/>
      <c r="F45" s="35"/>
      <c r="G45" s="36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ht="18.0" customHeight="1">
      <c r="A46" s="37" t="s">
        <v>40</v>
      </c>
      <c r="B46" s="38">
        <v>0.0</v>
      </c>
      <c r="C46" s="38">
        <v>0.0</v>
      </c>
      <c r="D46" s="38">
        <v>0.0</v>
      </c>
      <c r="E46" s="38">
        <v>0.0</v>
      </c>
      <c r="F46" s="38">
        <v>0.0</v>
      </c>
      <c r="G46" s="38">
        <v>0.0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ht="18.0" customHeight="1">
      <c r="A47" s="37" t="s">
        <v>34</v>
      </c>
      <c r="B47" s="38">
        <v>0.0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ht="18.0" customHeight="1">
      <c r="A48" s="37" t="s">
        <v>334</v>
      </c>
      <c r="B48" s="38">
        <v>0.0</v>
      </c>
      <c r="C48" s="38">
        <v>0.0</v>
      </c>
      <c r="D48" s="38">
        <v>0.0</v>
      </c>
      <c r="E48" s="38">
        <v>0.0</v>
      </c>
      <c r="F48" s="38">
        <v>0.0</v>
      </c>
      <c r="G48" s="38">
        <v>0.0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ht="18.0" customHeight="1">
      <c r="A49" s="39" t="s">
        <v>309</v>
      </c>
      <c r="B49" s="40">
        <f t="shared" ref="B49:G49" si="9">SUM(B46:B48)</f>
        <v>0</v>
      </c>
      <c r="C49" s="40">
        <f t="shared" si="9"/>
        <v>0</v>
      </c>
      <c r="D49" s="40">
        <f t="shared" si="9"/>
        <v>0</v>
      </c>
      <c r="E49" s="40">
        <f t="shared" si="9"/>
        <v>0</v>
      </c>
      <c r="F49" s="40">
        <f t="shared" si="9"/>
        <v>0</v>
      </c>
      <c r="G49" s="40">
        <f t="shared" si="9"/>
        <v>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ht="18.0" customHeight="1">
      <c r="A50" s="41">
        <v>45622.0</v>
      </c>
      <c r="B50" s="35"/>
      <c r="C50" s="35"/>
      <c r="D50" s="35"/>
      <c r="E50" s="35"/>
      <c r="F50" s="35"/>
      <c r="G50" s="36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ht="18.0" customHeight="1">
      <c r="A51" s="37" t="s">
        <v>40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ht="18.0" customHeight="1">
      <c r="A52" s="37" t="s">
        <v>34</v>
      </c>
      <c r="B52" s="38">
        <v>0.0</v>
      </c>
      <c r="C52" s="38">
        <v>0.0</v>
      </c>
      <c r="D52" s="38">
        <v>0.0</v>
      </c>
      <c r="E52" s="38">
        <v>0.0</v>
      </c>
      <c r="F52" s="38">
        <v>0.0</v>
      </c>
      <c r="G52" s="38">
        <v>0.0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ht="18.0" customHeight="1">
      <c r="A53" s="37" t="s">
        <v>334</v>
      </c>
      <c r="B53" s="38">
        <v>0.0</v>
      </c>
      <c r="C53" s="38">
        <v>0.0</v>
      </c>
      <c r="D53" s="38">
        <v>0.0</v>
      </c>
      <c r="E53" s="38">
        <v>0.0</v>
      </c>
      <c r="F53" s="38">
        <v>0.0</v>
      </c>
      <c r="G53" s="38">
        <v>0.0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ht="18.0" customHeight="1">
      <c r="A54" s="39" t="s">
        <v>309</v>
      </c>
      <c r="B54" s="40">
        <f t="shared" ref="B54:G54" si="10">SUM(B51:B53)</f>
        <v>0</v>
      </c>
      <c r="C54" s="40">
        <f t="shared" si="10"/>
        <v>0</v>
      </c>
      <c r="D54" s="40">
        <f t="shared" si="10"/>
        <v>0</v>
      </c>
      <c r="E54" s="40">
        <f t="shared" si="10"/>
        <v>0</v>
      </c>
      <c r="F54" s="40">
        <f t="shared" si="10"/>
        <v>0</v>
      </c>
      <c r="G54" s="40">
        <f t="shared" si="10"/>
        <v>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ht="18.0" customHeight="1">
      <c r="A55" s="41">
        <v>45623.0</v>
      </c>
      <c r="B55" s="35"/>
      <c r="C55" s="35"/>
      <c r="D55" s="35"/>
      <c r="E55" s="35"/>
      <c r="F55" s="35"/>
      <c r="G55" s="36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ht="18.0" customHeight="1">
      <c r="A56" s="37" t="s">
        <v>40</v>
      </c>
      <c r="B56" s="3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ht="18.0" customHeight="1">
      <c r="A57" s="37" t="s">
        <v>34</v>
      </c>
      <c r="B57" s="38">
        <v>0.0</v>
      </c>
      <c r="C57" s="38">
        <v>0.0</v>
      </c>
      <c r="D57" s="38">
        <v>0.0</v>
      </c>
      <c r="E57" s="38">
        <v>0.0</v>
      </c>
      <c r="F57" s="38">
        <v>0.0</v>
      </c>
      <c r="G57" s="38">
        <v>0.0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ht="18.0" customHeight="1">
      <c r="A58" s="37" t="s">
        <v>334</v>
      </c>
      <c r="B58" s="38">
        <v>0.0</v>
      </c>
      <c r="C58" s="38">
        <v>0.0</v>
      </c>
      <c r="D58" s="38">
        <v>0.0</v>
      </c>
      <c r="E58" s="38">
        <v>0.0</v>
      </c>
      <c r="F58" s="38">
        <v>0.0</v>
      </c>
      <c r="G58" s="38">
        <v>0.0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ht="18.0" customHeight="1">
      <c r="A59" s="39" t="s">
        <v>309</v>
      </c>
      <c r="B59" s="40">
        <f t="shared" ref="B59:G59" si="11">SUM(B56:B58)</f>
        <v>0</v>
      </c>
      <c r="C59" s="40">
        <f t="shared" si="11"/>
        <v>0</v>
      </c>
      <c r="D59" s="40">
        <f t="shared" si="11"/>
        <v>0</v>
      </c>
      <c r="E59" s="40">
        <f t="shared" si="11"/>
        <v>0</v>
      </c>
      <c r="F59" s="40">
        <f t="shared" si="11"/>
        <v>0</v>
      </c>
      <c r="G59" s="40">
        <f t="shared" si="11"/>
        <v>0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ht="18.0" customHeight="1">
      <c r="A60" s="41">
        <v>45624.0</v>
      </c>
      <c r="B60" s="35"/>
      <c r="C60" s="35"/>
      <c r="D60" s="35"/>
      <c r="E60" s="35"/>
      <c r="F60" s="35"/>
      <c r="G60" s="36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ht="18.0" customHeight="1">
      <c r="A61" s="37" t="s">
        <v>40</v>
      </c>
      <c r="B61" s="38">
        <v>0.0</v>
      </c>
      <c r="C61" s="38">
        <v>0.0</v>
      </c>
      <c r="D61" s="38">
        <v>0.0</v>
      </c>
      <c r="E61" s="38">
        <v>0.0</v>
      </c>
      <c r="F61" s="38">
        <v>0.0</v>
      </c>
      <c r="G61" s="38">
        <v>0.0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ht="18.0" customHeight="1">
      <c r="A62" s="37" t="s">
        <v>34</v>
      </c>
      <c r="B62" s="38">
        <v>0.0</v>
      </c>
      <c r="C62" s="38">
        <v>0.0</v>
      </c>
      <c r="D62" s="38">
        <v>0.0</v>
      </c>
      <c r="E62" s="38">
        <v>0.0</v>
      </c>
      <c r="F62" s="38">
        <v>0.0</v>
      </c>
      <c r="G62" s="38">
        <v>0.0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ht="18.0" customHeight="1">
      <c r="A63" s="37" t="s">
        <v>334</v>
      </c>
      <c r="B63" s="38">
        <v>0.0</v>
      </c>
      <c r="C63" s="38">
        <v>0.0</v>
      </c>
      <c r="D63" s="38">
        <v>0.0</v>
      </c>
      <c r="E63" s="38">
        <v>0.0</v>
      </c>
      <c r="F63" s="38">
        <v>0.0</v>
      </c>
      <c r="G63" s="38">
        <v>0.0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ht="18.0" customHeight="1">
      <c r="A64" s="39" t="s">
        <v>309</v>
      </c>
      <c r="B64" s="40">
        <f t="shared" ref="B64:G64" si="12">SUM(B61:B63)</f>
        <v>0</v>
      </c>
      <c r="C64" s="40">
        <f t="shared" si="12"/>
        <v>0</v>
      </c>
      <c r="D64" s="40">
        <f t="shared" si="12"/>
        <v>0</v>
      </c>
      <c r="E64" s="40">
        <f t="shared" si="12"/>
        <v>0</v>
      </c>
      <c r="F64" s="40">
        <f t="shared" si="12"/>
        <v>0</v>
      </c>
      <c r="G64" s="40">
        <f t="shared" si="12"/>
        <v>0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ht="18.0" customHeight="1">
      <c r="A65" s="41">
        <v>45625.0</v>
      </c>
      <c r="B65" s="35"/>
      <c r="C65" s="35"/>
      <c r="D65" s="35"/>
      <c r="E65" s="35"/>
      <c r="F65" s="35"/>
      <c r="G65" s="36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ht="18.0" customHeight="1">
      <c r="A66" s="37" t="s">
        <v>40</v>
      </c>
      <c r="B66" s="38">
        <v>0.0</v>
      </c>
      <c r="C66" s="38">
        <v>0.0</v>
      </c>
      <c r="D66" s="38">
        <v>0.0</v>
      </c>
      <c r="E66" s="38">
        <v>0.0</v>
      </c>
      <c r="F66" s="38">
        <v>0.0</v>
      </c>
      <c r="G66" s="38">
        <v>0.0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ht="18.0" customHeight="1">
      <c r="A67" s="37" t="s">
        <v>34</v>
      </c>
      <c r="B67" s="38">
        <v>0.0</v>
      </c>
      <c r="C67" s="38">
        <v>0.0</v>
      </c>
      <c r="D67" s="38">
        <v>0.0</v>
      </c>
      <c r="E67" s="38">
        <v>0.0</v>
      </c>
      <c r="F67" s="38">
        <v>0.0</v>
      </c>
      <c r="G67" s="38">
        <v>0.0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ht="18.0" customHeight="1">
      <c r="A68" s="37" t="s">
        <v>334</v>
      </c>
      <c r="B68" s="38">
        <v>0.0</v>
      </c>
      <c r="C68" s="38">
        <v>0.0</v>
      </c>
      <c r="D68" s="38">
        <v>0.0</v>
      </c>
      <c r="E68" s="38">
        <v>0.0</v>
      </c>
      <c r="F68" s="38">
        <v>0.0</v>
      </c>
      <c r="G68" s="38">
        <v>0.0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ht="18.0" customHeight="1">
      <c r="A69" s="39" t="s">
        <v>309</v>
      </c>
      <c r="B69" s="40">
        <f t="shared" ref="B69:G69" si="13">SUM(B66:B68)</f>
        <v>0</v>
      </c>
      <c r="C69" s="40">
        <f t="shared" si="13"/>
        <v>0</v>
      </c>
      <c r="D69" s="40">
        <f t="shared" si="13"/>
        <v>0</v>
      </c>
      <c r="E69" s="40">
        <f t="shared" si="13"/>
        <v>0</v>
      </c>
      <c r="F69" s="40">
        <f t="shared" si="13"/>
        <v>0</v>
      </c>
      <c r="G69" s="40">
        <f t="shared" si="13"/>
        <v>0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ht="18.0" customHeight="1">
      <c r="A70" s="41">
        <v>45626.0</v>
      </c>
      <c r="B70" s="35"/>
      <c r="C70" s="35"/>
      <c r="D70" s="35"/>
      <c r="E70" s="35"/>
      <c r="F70" s="35"/>
      <c r="G70" s="36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ht="18.0" customHeight="1">
      <c r="A71" s="37" t="s">
        <v>40</v>
      </c>
      <c r="B71" s="38">
        <v>0.0</v>
      </c>
      <c r="C71" s="38">
        <v>0.0</v>
      </c>
      <c r="D71" s="38">
        <v>0.0</v>
      </c>
      <c r="E71" s="38">
        <v>0.0</v>
      </c>
      <c r="F71" s="38">
        <v>0.0</v>
      </c>
      <c r="G71" s="38">
        <v>0.0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ht="18.0" customHeight="1">
      <c r="A72" s="37" t="s">
        <v>34</v>
      </c>
      <c r="B72" s="38">
        <v>0.0</v>
      </c>
      <c r="C72" s="38">
        <v>0.0</v>
      </c>
      <c r="D72" s="38">
        <v>0.0</v>
      </c>
      <c r="E72" s="38">
        <v>0.0</v>
      </c>
      <c r="F72" s="38">
        <v>0.0</v>
      </c>
      <c r="G72" s="38">
        <v>0.0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ht="18.0" customHeight="1">
      <c r="A73" s="37" t="s">
        <v>334</v>
      </c>
      <c r="B73" s="38">
        <v>0.0</v>
      </c>
      <c r="C73" s="38">
        <v>0.0</v>
      </c>
      <c r="D73" s="38">
        <v>0.0</v>
      </c>
      <c r="E73" s="38">
        <v>0.0</v>
      </c>
      <c r="F73" s="38">
        <v>0.0</v>
      </c>
      <c r="G73" s="38">
        <v>0.0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ht="18.0" customHeight="1">
      <c r="A74" s="39" t="s">
        <v>309</v>
      </c>
      <c r="B74" s="40">
        <f t="shared" ref="B74:G74" si="14">SUM(B71:B73)</f>
        <v>0</v>
      </c>
      <c r="C74" s="40">
        <f t="shared" si="14"/>
        <v>0</v>
      </c>
      <c r="D74" s="40">
        <f t="shared" si="14"/>
        <v>0</v>
      </c>
      <c r="E74" s="40">
        <f t="shared" si="14"/>
        <v>0</v>
      </c>
      <c r="F74" s="40">
        <f t="shared" si="14"/>
        <v>0</v>
      </c>
      <c r="G74" s="40">
        <f t="shared" si="14"/>
        <v>0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ht="18.0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ht="18.0" customHeight="1">
      <c r="A76" s="42" t="s">
        <v>330</v>
      </c>
      <c r="B76" s="43">
        <f t="shared" ref="B76:G76" si="15">SUM(B9,B14,B19,B24,B29,B34,B39,B44,B49,B54,B59,B64,B69,B74)</f>
        <v>4</v>
      </c>
      <c r="C76" s="43">
        <f t="shared" si="15"/>
        <v>3</v>
      </c>
      <c r="D76" s="43">
        <f t="shared" si="15"/>
        <v>0</v>
      </c>
      <c r="E76" s="43">
        <f t="shared" si="15"/>
        <v>0</v>
      </c>
      <c r="F76" s="43">
        <f t="shared" si="15"/>
        <v>0</v>
      </c>
      <c r="G76" s="43">
        <f t="shared" si="15"/>
        <v>0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</sheetData>
  <mergeCells count="15">
    <mergeCell ref="A35:G35"/>
    <mergeCell ref="A40:G40"/>
    <mergeCell ref="A45:G45"/>
    <mergeCell ref="A50:G50"/>
    <mergeCell ref="A55:G55"/>
    <mergeCell ref="A60:G60"/>
    <mergeCell ref="A65:G65"/>
    <mergeCell ref="A70:G70"/>
    <mergeCell ref="A2:G2"/>
    <mergeCell ref="A5:G5"/>
    <mergeCell ref="A10:G10"/>
    <mergeCell ref="A15:G15"/>
    <mergeCell ref="A20:G20"/>
    <mergeCell ref="A25:G25"/>
    <mergeCell ref="A30:G3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