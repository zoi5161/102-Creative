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NHập hợp đồng" sheetId="2" r:id="rId6"/>
    <sheet state="visible" name="Nhập phụ lục" sheetId="3" r:id="rId7"/>
    <sheet state="visible" name="Nhập ĐNTT" sheetId="4" r:id="rId8"/>
    <sheet state="hidden" name="NVScriptsProperties" sheetId="5" r:id="rId9"/>
    <sheet state="hidden" name="DO NOT DELETE - AutoCrat Job Se" sheetId="6" r:id="rId10"/>
  </sheets>
  <definedNames/>
  <calcPr/>
</workbook>
</file>

<file path=xl/sharedStrings.xml><?xml version="1.0" encoding="utf-8"?>
<sst xmlns="http://schemas.openxmlformats.org/spreadsheetml/2006/main" count="322" uniqueCount="227">
  <si>
    <t>STT</t>
  </si>
  <si>
    <t>TÊN CÔNG TY</t>
  </si>
  <si>
    <t>MÃ HỢP ĐỒNG</t>
  </si>
  <si>
    <t>NGÀY KÝ HĐ</t>
  </si>
  <si>
    <t>DỰ ÁN</t>
  </si>
  <si>
    <t>TỔNG GIÁ TRỊ HỢP ĐỒNG</t>
  </si>
  <si>
    <t>THANH TOÁN THEO HỢP ĐỒNG</t>
  </si>
  <si>
    <t>THỰC TẾ THANH TOÁN</t>
  </si>
  <si>
    <t>CÔNG NỢ CÒN LẠI</t>
  </si>
  <si>
    <t>ĐỢT 1</t>
  </si>
  <si>
    <t>ĐỢT 2</t>
  </si>
  <si>
    <t>ĐỢT 3</t>
  </si>
  <si>
    <t>NGÀY</t>
  </si>
  <si>
    <t>SỐ TIỀN</t>
  </si>
  <si>
    <t>437747966.1</t>
  </si>
  <si>
    <t>ĐẤT PHƯƠNG NAM</t>
  </si>
  <si>
    <t>01/DVFB</t>
  </si>
  <si>
    <t>ArtStella</t>
  </si>
  <si>
    <t>100,000,000 ₫</t>
  </si>
  <si>
    <t>02/DVFB</t>
  </si>
  <si>
    <t>Gia Khải Luxury</t>
  </si>
  <si>
    <t>170,000,000 ₫</t>
  </si>
  <si>
    <t>120,000,000 ₫</t>
  </si>
  <si>
    <t>50,000,000 ₫</t>
  </si>
  <si>
    <t>CÁ NHÂN _ Anh Khánh</t>
  </si>
  <si>
    <t>Maison Grand</t>
  </si>
  <si>
    <t>35,747,966 ₫</t>
  </si>
  <si>
    <t>33,000,000 ₫</t>
  </si>
  <si>
    <t>2,747,966 ₫</t>
  </si>
  <si>
    <t>GPT LAND</t>
  </si>
  <si>
    <t>0910/2025/HĐ- GPT</t>
  </si>
  <si>
    <t>A&amp;T Saigon Riverside</t>
  </si>
  <si>
    <t>275,000,000 ₫</t>
  </si>
  <si>
    <t>82,500,000 ₫</t>
  </si>
  <si>
    <t>110,000,000 ₫</t>
  </si>
  <si>
    <t>192,500,000 ₫</t>
  </si>
  <si>
    <t>1010/2025/HĐ- GPT</t>
  </si>
  <si>
    <t>Charm Resort Long Hải</t>
  </si>
  <si>
    <t>CÁ NHÂN _ Chị Hường</t>
  </si>
  <si>
    <t>20,000,000 ₫</t>
  </si>
  <si>
    <t>30,000,000 ₫</t>
  </si>
  <si>
    <t>CÁ NHÂN _ Anh Duy Phạm</t>
  </si>
  <si>
    <t>Aspira</t>
  </si>
  <si>
    <t>Emerald</t>
  </si>
  <si>
    <t xml:space="preserve"> Việt Á Land</t>
  </si>
  <si>
    <t>T&amp;T</t>
  </si>
  <si>
    <t>Sunshine</t>
  </si>
  <si>
    <t>CÁ NHÂN _ Anh Kiệt</t>
  </si>
  <si>
    <t>CT04</t>
  </si>
  <si>
    <t>CÁ NHÂN _ Chị Trang</t>
  </si>
  <si>
    <t>Ava</t>
  </si>
  <si>
    <t>LƯƠNG GIA LAND</t>
  </si>
  <si>
    <t>Dragon Eden</t>
  </si>
  <si>
    <t>CÁ NHÂN _ Chị Phương Anh</t>
  </si>
  <si>
    <t>Đất Bảo Lộc</t>
  </si>
  <si>
    <t>https://docs.google.com/spreadsheets/d/1zImNaK7-1hDyBnG5BvSQTIdk8Q8WK2jcEUiOOg0OIyw/edit?gid=1756299220#gid=1756299220</t>
  </si>
  <si>
    <t>Số hợp đồng</t>
  </si>
  <si>
    <t>Tên doanh nghiệp</t>
  </si>
  <si>
    <t>Mã số thuế</t>
  </si>
  <si>
    <t>Đại diện</t>
  </si>
  <si>
    <t>Chức vụ</t>
  </si>
  <si>
    <t>Địa chỉ</t>
  </si>
  <si>
    <t>Dự án</t>
  </si>
  <si>
    <t>Số lead</t>
  </si>
  <si>
    <t>Tổng ngân sách chạy</t>
  </si>
  <si>
    <t>Phí dịch vụ nền tảng</t>
  </si>
  <si>
    <t>PHÍ DỊCH VỤ</t>
  </si>
  <si>
    <t>THUẾ VAT</t>
  </si>
  <si>
    <t>Bằng chữ</t>
  </si>
  <si>
    <t>Merged Doc ID - Hợp đồng quảng cáo test</t>
  </si>
  <si>
    <t>Merged Doc URL - Hợp đồng quảng cáo test</t>
  </si>
  <si>
    <t>Link to merged Doc - Hợp đồng quảng cáo test</t>
  </si>
  <si>
    <t>Document Merge Status - Hợp đồng quảng cáo test</t>
  </si>
  <si>
    <t>01/2026/HDDV - 102C</t>
  </si>
  <si>
    <t>Công ty TNHH Long Hoàng Investment</t>
  </si>
  <si>
    <t>0315761287</t>
  </si>
  <si>
    <t>Hoàng Phi Long</t>
  </si>
  <si>
    <t>Tổng Giám Đốc</t>
  </si>
  <si>
    <t>227A Xô Viết Nghệ Tĩnh, Phường Gia Định, TP HCM</t>
  </si>
  <si>
    <t>Vinhomes</t>
  </si>
  <si>
    <t>1nx1eg2tzmZ1pjMN2zSCRcClx8oXIG6VG3qzlEgbieSA</t>
  </si>
  <si>
    <t>https://docs.google.com/document/d/1nx1eg2tzmZ1pjMN2zSCRcClx8oXIG6VG3qzlEgbieSA/edit?usp=drivesdk</t>
  </si>
  <si>
    <t>Document successfully created; Document successfully merged; Manually run by hotrokinhdoanh.lhi@gmail.com; Timestamp: Mar 24 2026 11:54 PM</t>
  </si>
  <si>
    <t>02/2026/HDDV - 102C</t>
  </si>
  <si>
    <t>19HZBV7dWwlkkFhcnBCMRRaaboeUFrr0Ip_9pRXbQ5Do</t>
  </si>
  <si>
    <t>https://docs.google.com/document/d/19HZBV7dWwlkkFhcnBCMRRaaboeUFrr0Ip_9pRXbQ5Do/edit?usp=drivesdk</t>
  </si>
  <si>
    <t>03/2026/HDDV - 102C</t>
  </si>
  <si>
    <t xml:space="preserve">Một trăm ba mươi lăm triệu đồng </t>
  </si>
  <si>
    <t>1xgVmjANJAXx-hheOTgNTUevk8c3m6mR4zqgmPyEr6WU</t>
  </si>
  <si>
    <t>https://docs.google.com/document/d/1xgVmjANJAXx-hheOTgNTUevk8c3m6mR4zqgmPyEr6WU/edit?usp=drivesdk</t>
  </si>
  <si>
    <t>Công ty TNHH 102 Creative</t>
  </si>
  <si>
    <t>0315761288</t>
  </si>
  <si>
    <t>Hai trăm sáu mươi triệu</t>
  </si>
  <si>
    <t>1BSs6cSKBAOFm75fJjRGau_Rd4_L7SkBT8NiTE2OHF54</t>
  </si>
  <si>
    <t>https://docs.google.com/document/d/1BSs6cSKBAOFm75fJjRGau_Rd4_L7SkBT8NiTE2OHF54/edit?usp=drivesdk</t>
  </si>
  <si>
    <t>13/2026/HDDV - TPR</t>
  </si>
  <si>
    <t>CÔNG TY TNHH THƯƠNG MẠI VÀ ĐẦU TƯ ĐỊA ỐC THIÊN PHÚC</t>
  </si>
  <si>
    <t>0317842767</t>
  </si>
  <si>
    <t>NGUYỄN ĐÌNH THIÊN</t>
  </si>
  <si>
    <t xml:space="preserve"> Giám Đốc</t>
  </si>
  <si>
    <t xml:space="preserve"> 336/24 Nguyễn Văn Luông, Phường Phú Lâm, Thành Phố Hồ Chí Minh, Việt Nam</t>
  </si>
  <si>
    <t>Destino Centro</t>
  </si>
  <si>
    <t>Tám mươi triệu sáu trăm bốn mươi nghìn đồng.</t>
  </si>
  <si>
    <t>1rZ-5qA2zF7uxck6x0nlsL_2OgxhUUU1N-KALSxtzbeQ</t>
  </si>
  <si>
    <t>https://docs.google.com/document/d/1rZ-5qA2zF7uxck6x0nlsL_2OgxhUUU1N-KALSxtzbeQ/edit?usp=drivesdk</t>
  </si>
  <si>
    <t>Document successfully created; Document successfully merged; Manually run by lh.networking.2025@gmail.com; Timestamp: Mar 27 2026 11:06 PM</t>
  </si>
  <si>
    <t>15/2026/102C – NL</t>
  </si>
  <si>
    <t>CÔNG TY CỔ PHẦN PHÁT TRIỂN VÀ ĐẦU TƯ NEXTLAND KVVN</t>
  </si>
  <si>
    <t>0315545166</t>
  </si>
  <si>
    <t>Ông Nguyễn Văn Thịnh</t>
  </si>
  <si>
    <t>Tổng Giám đốc</t>
  </si>
  <si>
    <t>L17-11, Tầng 17, Tòa Nhà Vincom Center, Số 72 Lê Thánh Tôn, Phường Sài Gòn, TP Hồ Chí Minh, Việt Nam</t>
  </si>
  <si>
    <t>The Global City</t>
  </si>
  <si>
    <t>Sáu mươi chín triệu một trăm hai mươi nghìn đồng</t>
  </si>
  <si>
    <t>1XSFDY5i9Ep7nesV1viL8Coqp20w0G4IVqTHMIje-5zE</t>
  </si>
  <si>
    <t>https://docs.google.com/document/d/1XSFDY5i9Ep7nesV1viL8Coqp20w0G4IVqTHMIje-5zE/edit?usp=drivesdk</t>
  </si>
  <si>
    <t>Document successfully created; Document successfully merged; Manually run by lh.networking.2025@gmail.com; Timestamp: Apr 8 2026 4:35 AM</t>
  </si>
  <si>
    <t>số phụ lục</t>
  </si>
  <si>
    <t>số hợp đồng</t>
  </si>
  <si>
    <t>ngày ký hợp đồng</t>
  </si>
  <si>
    <t>tên doanh nghiệp</t>
  </si>
  <si>
    <t>mã số thuế</t>
  </si>
  <si>
    <t>đại diện</t>
  </si>
  <si>
    <t>chức vụ</t>
  </si>
  <si>
    <t xml:space="preserve">số điện thoại </t>
  </si>
  <si>
    <t>địa chỉ</t>
  </si>
  <si>
    <t>dự án</t>
  </si>
  <si>
    <t>số lead</t>
  </si>
  <si>
    <t>số MQL</t>
  </si>
  <si>
    <t>ngày hiệu lực hợp đồng</t>
  </si>
  <si>
    <t>ngày kết thúc hợp đồng</t>
  </si>
  <si>
    <t>Merged Doc ID - phụ lục quảng cáo test</t>
  </si>
  <si>
    <t>Merged Doc URL - phụ lục quảng cáo test</t>
  </si>
  <si>
    <t>Link to merged Doc - phụ lục quảng cáo test</t>
  </si>
  <si>
    <t>Document Merge Status - phụ lục quảng cáo test</t>
  </si>
  <si>
    <t>01/2026/PL/102C-TPG</t>
  </si>
  <si>
    <t>13/2026/102C – TPG</t>
  </si>
  <si>
    <t>1JHpQeh8hTOZjjZdxYR-fEARHhNDpr_SaVSKIO7doVyA</t>
  </si>
  <si>
    <t>https://docs.google.com/document/d/1JHpQeh8hTOZjjZdxYR-fEARHhNDpr_SaVSKIO7doVyA/edit?usp=drivesdk</t>
  </si>
  <si>
    <t>Document successfully created; Document successfully merged; Manually run by lh.networking.2025@gmail.com; Timestamp: Mar 30 2026 3:22 AM</t>
  </si>
  <si>
    <t>01/2026/PL/102C-NL</t>
  </si>
  <si>
    <t>1scUjWJLEylNq5N71CUqsVZtjLW8mA2JKDoEgIHyS5So</t>
  </si>
  <si>
    <t>https://docs.google.com/document/d/1scUjWJLEylNq5N71CUqsVZtjLW8mA2JKDoEgIHyS5So/edit?usp=drivesdk</t>
  </si>
  <si>
    <t>Document successfully created; Document successfully merged; Manually run by lh.networking.2025@gmail.com; Timestamp: Apr 8 2026 4:45 AM</t>
  </si>
  <si>
    <t>stt</t>
  </si>
  <si>
    <t>số đề nghị thanh toán</t>
  </si>
  <si>
    <t>ngày kí hợp đồng</t>
  </si>
  <si>
    <t>tên công ty</t>
  </si>
  <si>
    <t>số tiền</t>
  </si>
  <si>
    <t>bằng chữ</t>
  </si>
  <si>
    <t>Merged Doc ID - đề nghị thanh toán mẫu</t>
  </si>
  <si>
    <t>Merged Doc URL - đề nghị thanh toán mẫu</t>
  </si>
  <si>
    <t>Link to merged Doc - đề nghị thanh toán mẫu</t>
  </si>
  <si>
    <t>Document Merge Status - đề nghị thanh toán mẫu</t>
  </si>
  <si>
    <t>10/03/2026/ĐNTT-102C</t>
  </si>
  <si>
    <t>13/2026/102C</t>
  </si>
  <si>
    <t>Tám mươi triệu sáu trăm bốn mươi nghìn đồng</t>
  </si>
  <si>
    <t>18LDswXUAljuHhxW7To46kIIlJt13-iiyqkX_WLEdnKo</t>
  </si>
  <si>
    <t>https://docs.google.com/document/d/18LDswXUAljuHhxW7To46kIIlJt13-iiyqkX_WLEdnKo/edit?usp=drivesdk</t>
  </si>
  <si>
    <t>Document successfully created; Document successfully merged; Manually run by lh.networking.2025@gmail.com; Timestamp: Mar 30 2026 3:46 AM</t>
  </si>
  <si>
    <t>12/04/2026/ĐNTT-102C</t>
  </si>
  <si>
    <t>1SGAxFI1CGHHI-GYg3TjMsYEy8ltjsY-bt5MgC7F_cK4</t>
  </si>
  <si>
    <t>https://docs.google.com/document/d/1SGAxFI1CGHHI-GYg3TjMsYEy8ltjsY-bt5MgC7F_cK4/edit?usp=drivesdk</t>
  </si>
  <si>
    <t>Document successfully created; Document successfully merged; Manually run by lh.networking.2025@gmail.com; Timestamp: Apr 8 2026 4:53 AM</t>
  </si>
  <si>
    <t>autocratn</t>
  </si>
  <si>
    <t>autocratp</t>
  </si>
  <si>
    <t>dataSheetName</t>
  </si>
  <si>
    <t>"Nhập phụ lục"</t>
  </si>
  <si>
    <t>v</t>
  </si>
  <si>
    <t>"5.1"</t>
  </si>
  <si>
    <t>dataSheetId</t>
  </si>
  <si>
    <t>"1.75629922E9"</t>
  </si>
  <si>
    <t>updateTime</t>
  </si>
  <si>
    <t>"1.77459399416E12"</t>
  </si>
  <si>
    <t>vp</t>
  </si>
  <si>
    <t>ssId</t>
  </si>
  <si>
    <t>"1zImNaK7-1hDyBnG5BvSQTIdk8Q8WK2jcEUiOOg0OIyw"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</si>
  <si>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</si>
  <si>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</si>
  <si>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</si>
  <si>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</si>
  <si>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</si>
  <si>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</si>
  <si>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</si>
  <si>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</si>
  <si>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</si>
  <si>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</si>
  <si>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</si>
  <si>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</si>
  <si>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</si>
  <si>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</si>
  <si>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</si>
  <si>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</si>
  <si>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</si>
  <si>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</si>
  <si>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</si>
  <si>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</si>
  <si>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</si>
  <si>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</si>
  <si>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</si>
  <si>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</si>
  <si>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</si>
  <si>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</si>
  <si>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</si>
  <si>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</si>
  <si>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</si>
  <si>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_1773306412901</t>
  </si>
  <si>
    <t>Hợp đồng quảng cáo test</t>
  </si>
  <si>
    <t>1PLsGTUsdnRocsErLzPc8i0OPlcJgF7y4U7nXTsPFin8</t>
  </si>
  <si>
    <t>Hợp đồng quảng cáo mẫu</t>
  </si>
  <si>
    <t>GOOG_DOC</t>
  </si>
  <si>
    <t>EDITABLE</t>
  </si>
  <si>
    <t>["1-c9wDcx1VePV6RT0BX0BeZYrNC3-I3_X"]</t>
  </si>
  <si>
    <t>[]</t>
  </si>
  <si>
    <t>MULTIPLE_OUTPUT</t>
  </si>
  <si>
    <t>[{"tag":"Số hợp đồng","type":"STANDARD","details":{"headerMap":"Số hợp đồng","isUnmapped":false}},{"tag":"Tên doanh nghiệp","type":"STANDARD","details":{"headerMap":"Tên doanh nghiệp","isUnmapped":false}},{"tag":"Địa chỉ","type":"STANDARD","details":{"headerMap":"Địa chỉ","isUnmapped":false}},{"tag":"Mã số thuế","type":"STANDARD","details":{"headerMap":"Mã số thuế","isUnmapped":false}},{"tag":"Đại diện","type":"STANDARD","details":{"headerMap":"Đại diện","isUnmapped":false}},{"tag":"Chức vụ","type":"STANDARD","details":{"headerMap":"Chức vụ","isUnmapped":false}},{"tag":"Dự án","type":"STANDARD","details":{"headerMap":"Dự án","isUnmapped":false}},{"tag":"Số lead","type":"STANDARD","details":{"headerMap":"Số lead","isUnmapped":false}},{"tag":"Tổng ngân sách chạy","type":"STANDARD","details":{"headerMap":"Tổng ngân sách chạy","isUnmapped":false}},{"tag":"Phí dịch vụ nền tảng","type":"STANDARD","details":{"headerMap":"Phí dịch vụ nền tảng","isUnmapped":false}},{"tag":"PHÍ DỊCH VỤ","type":"STANDARD","details":{"headerMap":"PHÍ DỊCH VỤ","isUnmapped":false}},{"tag":"THUẾ VAT","type":"STANDARD","details":{"headerMap":"THUẾ VAT","isUnmapped":false}},{"tag":"TỔNG GIÁ TRỊ HỢP ĐỒNG","type":"STANDARD","details":{"headerMap":"TỔNG GIÁ TRỊ HỢP ĐỒNG","isUnmapped":false}},{"tag":"Bằng chữ","type":"STANDARD","details":{"headerMap":"Bằng chữ","isUnmapped":false}}]</t>
  </si>
  <si>
    <t>_1774855352713</t>
  </si>
  <si>
    <t>phụ lục quảng cáo test</t>
  </si>
  <si>
    <t>1BMzNsASYyKF49cqIYHsqrLTbDl5Phx_kDSjZvWpaqZc</t>
  </si>
  <si>
    <t>phụ lục quảng cáo mẫu</t>
  </si>
  <si>
    <t>[{"type":"STANDARD","details":{"isUnmapped":false,"headerMap":"số phụ lục"},"tag":"số phụ lục"},{"type":"STANDARD","details":{"isUnmapped":false,"headerMap":"dự án"},"tag":"dự án"},{"type":"STANDARD","details":{"isUnmapped":false,"headerMap":"số hợp đồng"},"tag":"số hợp đồng"},{"type":"STANDARD","details":{"isUnmapped":false,"headerMap":"ngày ký hợp đồng"},"tag":"ngày ký hợp đồng"},{"type":"STANDARD","details":{"isUnmapped":false,"headerMap":"tên doanh nghiệp"},"tag":"tên doanh nghiệp"},{"type":"STANDARD","details":{"isUnmapped":false,"headerMap":"địa chỉ"},"tag":"địa chỉ"},{"type":"STANDARD","details":{"isUnmapped":false,"headerMap":"mã số thuế"},"tag":"mã số thuế"},{"type":"STANDARD","details":{"isUnmapped":false,"headerMap":"số điện thoại "},"tag":"số điện thoại"},{"type":"STANDARD","details":{"isUnmapped":false,"headerMap":"đại diện"},"tag":"đại diện"},{"type":"STANDARD","details":{"isUnmapped":false,"headerMap":"chức vụ"},"tag":"chức vụ"},{"type":"STANDARD","details":{"isUnmapped":false,"headerMap":"số lead"},"tag":"số lead"},{"type":"STANDARD","details":{"isUnmapped":false,"headerMap":"số MQL"},"tag":"số MQL"},{"type":"STANDARD","details":{"isUnmapped":false,"headerMap":"ngày hiệu lực hợp đồng"},"tag":"ngày hiệu lực hợp đồng"},{"type":"STANDARD","details":{"isUnmapped":false,"headerMap":"ngày kết thúc hợp đồng"},"tag":"ngày kết thúc hợp đồng"}]</t>
  </si>
  <si>
    <t>_1774856768370</t>
  </si>
  <si>
    <t>đề nghị thanh toán mẫu</t>
  </si>
  <si>
    <t>1WQ_m8GHsygTX50uoJa6D1vtyhNugcj-996kUhtH9nK8</t>
  </si>
  <si>
    <t>đề nghị thanh toán quảng cáo mẫu</t>
  </si>
  <si>
    <t>["0AJijxSa-dxhNUk9PVA"]</t>
  </si>
  <si>
    <t>[{"type":"STANDARD","details":{"isUnmapped":false,"headerMap":"số đề nghị thanh toán"},"tag":"số đề nghị thanh toán"},{"type":"STANDARD","details":{"isUnmapped":false,"headerMap":"tên công ty"},"tag":"tên công ty"},{"type":"STANDARD","details":{"isUnmapped":false,"headerMap":"số hợp đồng"},"tag":"số hợp đồng"},{"type":"STANDARD","details":{"isUnmapped":false,"headerMap":"ngày kí hợp đồng"},"tag":"ngày kí hợp đồng"},{"type":"STANDARD","details":{"isUnmapped":false,"headerMap":"số tiền"},"tag":"số tiền"},{"type":"STANDARD","details":{"isUnmapped":false,"headerMap":"bằng chữ"},"tag":"bằng chữ"}]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</si>
</sst>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đ-42A]"/>
    <numFmt numFmtId="165" formatCode="dd/mm/yy"/>
    <numFmt numFmtId="166" formatCode="#,##0&quot;₫&quot;"/>
    <numFmt numFmtId="167" formatCode="d/m/yy"/>
    <numFmt numFmtId="168" formatCode="#,##0\ [$đ-42A]"/>
    <numFmt numFmtId="169" formatCode="#,##0;(#,##0)"/>
    <numFmt numFmtId="170" formatCode="dd/mm/yyyy"/>
  </numFmts>
  <fonts count="2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rgb="FF1F2329"/>
      <name val="Arial"/>
      <scheme val="minor"/>
    </font>
    <font/>
    <font>
      <b/>
      <sz val="11.0"/>
      <color rgb="FFF54A45"/>
      <name val="Arial"/>
      <scheme val="minor"/>
    </font>
    <font>
      <b/>
      <color rgb="FFF54A45"/>
      <name val="Arial"/>
      <scheme val="minor"/>
    </font>
    <font>
      <b/>
      <sz val="12.0"/>
      <color rgb="FFF54A45"/>
      <name val="Arial"/>
      <scheme val="minor"/>
    </font>
    <font>
      <color theme="1"/>
      <name val="Arial"/>
      <scheme val="minor"/>
    </font>
    <font>
      <b/>
      <u/>
      <color rgb="FF0000FF"/>
    </font>
    <font>
      <b/>
      <color theme="1"/>
      <name val="Arial"/>
      <scheme val="minor"/>
    </font>
    <font>
      <b/>
      <i/>
      <color rgb="FF000000"/>
      <name val="Arial"/>
      <scheme val="minor"/>
    </font>
    <font>
      <u/>
      <color rgb="FF0000FF"/>
    </font>
    <font>
      <u/>
      <color rgb="FF0000FF"/>
    </font>
    <font>
      <sz val="13.0"/>
      <color rgb="FF000000"/>
      <name val="&quot;Times New Roman&quot;"/>
    </font>
    <font>
      <b/>
      <sz val="13.0"/>
      <color rgb="FF000000"/>
      <name val="&quot;Times New Roman&quot;"/>
    </font>
    <font>
      <sz val="12.0"/>
      <color theme="1"/>
      <name val="&quot;Times New Roman&quot;"/>
    </font>
    <font>
      <sz val="11.0"/>
      <color theme="1"/>
      <name val="&quot;Times New Roman&quot;"/>
    </font>
    <font>
      <b/>
      <sz val="11.0"/>
      <color rgb="FF000000"/>
      <name val="&quot;Times New Roman&quot;"/>
    </font>
    <font>
      <sz val="12.0"/>
      <color rgb="FF000000"/>
      <name val="&quot;Times New Roman&quot;"/>
    </font>
    <font>
      <sz val="11.0"/>
      <color rgb="FF081B3A"/>
      <name val="SegoeuiPc"/>
    </font>
    <font>
      <sz val="12.0"/>
      <color rgb="FF000000"/>
      <name val="'Times New Roman'"/>
    </font>
    <font>
      <sz val="13.0"/>
      <color rgb="FF000000"/>
      <name val="'Times New Roman'"/>
    </font>
    <font>
      <sz val="13.0"/>
      <color rgb="FF000000"/>
      <name val="Arial"/>
      <scheme val="minor"/>
    </font>
    <font>
      <i/>
      <sz val="12.0"/>
      <color rgb="FF000000"/>
      <name val="&quot;Times New Roman&quot;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7EDAFB"/>
        <bgColor rgb="FF7EDAFB"/>
      </patternFill>
    </fill>
    <fill>
      <patternFill patternType="solid">
        <fgColor rgb="FFFFF258"/>
        <bgColor rgb="FFFFF258"/>
      </patternFill>
    </fill>
    <fill>
      <patternFill patternType="solid">
        <fgColor rgb="FFF57AC0"/>
        <bgColor rgb="FFF57AC0"/>
      </patternFill>
    </fill>
    <fill>
      <patternFill patternType="solid">
        <fgColor rgb="FFD9F3FD"/>
        <bgColor rgb="FFD9F3FD"/>
      </patternFill>
    </fill>
    <fill>
      <patternFill patternType="solid">
        <fgColor rgb="FFFAF1D1"/>
        <bgColor rgb="FFFAF1D1"/>
      </patternFill>
    </fill>
    <fill>
      <patternFill patternType="solid">
        <fgColor rgb="FFFDDDEF"/>
        <bgColor rgb="FFFDDDE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1" fillId="0" fontId="3" numFmtId="0" xfId="0" applyBorder="1" applyFont="1"/>
    <xf borderId="1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8" fontId="4" numFmtId="164" xfId="0" applyAlignment="1" applyBorder="1" applyFill="1" applyFont="1" applyNumberFormat="1">
      <alignment horizontal="right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9" xfId="0" applyAlignment="1" applyBorder="1" applyFont="1" applyNumberFormat="1">
      <alignment horizontal="center" shrinkToFit="0" wrapText="1"/>
    </xf>
    <xf borderId="1" fillId="0" fontId="2" numFmtId="166" xfId="0" applyAlignment="1" applyBorder="1" applyFont="1" applyNumberFormat="1">
      <alignment horizontal="right" readingOrder="0" shrinkToFit="0" wrapText="1"/>
    </xf>
    <xf borderId="1" fillId="0" fontId="2" numFmtId="167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9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0" fontId="7" numFmtId="0" xfId="0" applyBorder="1" applyFont="1"/>
    <xf borderId="0" fillId="0" fontId="7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9" fontId="10" numFmtId="0" xfId="0" applyAlignment="1" applyFill="1" applyFont="1">
      <alignment readingOrder="0"/>
    </xf>
    <xf borderId="0" fillId="0" fontId="7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7" numFmtId="168" xfId="0" applyAlignment="1" applyFont="1" applyNumberFormat="1">
      <alignment readingOrder="0"/>
    </xf>
    <xf borderId="0" fillId="0" fontId="7" numFmtId="168" xfId="0" applyFont="1" applyNumberFormat="1"/>
    <xf borderId="0" fillId="0" fontId="7" numFmtId="169" xfId="0" applyAlignment="1" applyFont="1" applyNumberFormat="1">
      <alignment readingOrder="0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168" xfId="0" applyAlignment="1" applyFont="1" applyNumberFormat="1">
      <alignment horizontal="right" readingOrder="0"/>
    </xf>
    <xf borderId="0" fillId="0" fontId="17" numFmtId="0" xfId="0" applyAlignment="1" applyFont="1">
      <alignment readingOrder="0" vertical="top"/>
    </xf>
    <xf borderId="0" fillId="10" fontId="7" numFmtId="0" xfId="0" applyAlignment="1" applyFill="1" applyFont="1">
      <alignment readingOrder="0"/>
    </xf>
    <xf borderId="0" fillId="10" fontId="18" numFmtId="0" xfId="0" applyAlignment="1" applyFont="1">
      <alignment readingOrder="0"/>
    </xf>
    <xf borderId="0" fillId="10" fontId="19" numFmtId="0" xfId="0" applyAlignment="1" applyFont="1">
      <alignment readingOrder="0"/>
    </xf>
    <xf quotePrefix="1" borderId="0" fillId="10" fontId="7" numFmtId="0" xfId="0" applyAlignment="1" applyFont="1">
      <alignment horizontal="left" readingOrder="0"/>
    </xf>
    <xf borderId="0" fillId="10" fontId="15" numFmtId="0" xfId="0" applyAlignment="1" applyFont="1">
      <alignment readingOrder="0"/>
    </xf>
    <xf borderId="0" fillId="10" fontId="7" numFmtId="168" xfId="0" applyAlignment="1" applyFont="1" applyNumberFormat="1">
      <alignment readingOrder="0"/>
    </xf>
    <xf borderId="0" fillId="10" fontId="7" numFmtId="3" xfId="0" applyFont="1" applyNumberFormat="1"/>
    <xf borderId="0" fillId="10" fontId="7" numFmtId="168" xfId="0" applyFont="1" applyNumberForma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11" fontId="7" numFmtId="0" xfId="0" applyAlignment="1" applyFill="1" applyFont="1">
      <alignment readingOrder="0"/>
    </xf>
    <xf borderId="0" fillId="11" fontId="18" numFmtId="0" xfId="0" applyAlignment="1" applyFont="1">
      <alignment readingOrder="0"/>
    </xf>
    <xf borderId="0" fillId="11" fontId="13" numFmtId="170" xfId="0" applyAlignment="1" applyFont="1" applyNumberFormat="1">
      <alignment readingOrder="0"/>
    </xf>
    <xf borderId="0" fillId="11" fontId="13" numFmtId="0" xfId="0" applyAlignment="1" applyFont="1">
      <alignment readingOrder="0"/>
    </xf>
    <xf quotePrefix="1" borderId="0" fillId="11" fontId="13" numFmtId="0" xfId="0" applyAlignment="1" applyFont="1">
      <alignment readingOrder="0"/>
    </xf>
    <xf borderId="0" fillId="11" fontId="14" numFmtId="0" xfId="0" applyAlignment="1" applyFont="1">
      <alignment readingOrder="0"/>
    </xf>
    <xf borderId="0" fillId="11" fontId="15" numFmtId="0" xfId="0" applyAlignment="1" applyFont="1">
      <alignment readingOrder="0"/>
    </xf>
    <xf borderId="0" fillId="11" fontId="16" numFmtId="3" xfId="0" applyAlignment="1" applyFont="1" applyNumberFormat="1">
      <alignment horizontal="right" readingOrder="0"/>
    </xf>
    <xf borderId="0" fillId="11" fontId="18" numFmtId="170" xfId="0" applyAlignment="1" applyFont="1" applyNumberFormat="1">
      <alignment readingOrder="0"/>
    </xf>
    <xf borderId="0" fillId="10" fontId="13" numFmtId="170" xfId="0" applyAlignment="1" applyFont="1" applyNumberFormat="1">
      <alignment readingOrder="0"/>
    </xf>
    <xf borderId="0" fillId="10" fontId="7" numFmtId="0" xfId="0" applyFont="1"/>
    <xf borderId="0" fillId="10" fontId="7" numFmtId="170" xfId="0" applyAlignment="1" applyFont="1" applyNumberFormat="1">
      <alignment readingOrder="0"/>
    </xf>
    <xf borderId="0" fillId="0" fontId="15" numFmtId="170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18" numFmtId="3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ImNaK7-1hDyBnG5BvSQTIdk8Q8WK2jcEUiOOg0OIyw/edit?gid=1756299220" TargetMode="External"/><Relationship Id="rId2" Type="http://schemas.openxmlformats.org/officeDocument/2006/relationships/hyperlink" Target="https://docs.google.com/document/d/1nx1eg2tzmZ1pjMN2zSCRcClx8oXIG6VG3qzlEgbieSA/edit?usp=drivesdk" TargetMode="External"/><Relationship Id="rId3" Type="http://schemas.openxmlformats.org/officeDocument/2006/relationships/hyperlink" Target="https://docs.google.com/document/d/19HZBV7dWwlkkFhcnBCMRRaaboeUFrr0Ip_9pRXbQ5Do/edit?usp=drivesdk" TargetMode="External"/><Relationship Id="rId4" Type="http://schemas.openxmlformats.org/officeDocument/2006/relationships/hyperlink" Target="https://docs.google.com/document/d/1xgVmjANJAXx-hheOTgNTUevk8c3m6mR4zqgmPyEr6WU/edit?usp=drivesdk" TargetMode="External"/><Relationship Id="rId5" Type="http://schemas.openxmlformats.org/officeDocument/2006/relationships/hyperlink" Target="https://docs.google.com/document/d/1BSs6cSKBAOFm75fJjRGau_Rd4_L7SkBT8NiTE2OHF54/edit?usp=drivesdk" TargetMode="External"/><Relationship Id="rId6" Type="http://schemas.openxmlformats.org/officeDocument/2006/relationships/hyperlink" Target="https://docs.google.com/document/d/1rZ-5qA2zF7uxck6x0nlsL_2OgxhUUU1N-KALSxtzbeQ/edit?usp=drivesdk" TargetMode="External"/><Relationship Id="rId7" Type="http://schemas.openxmlformats.org/officeDocument/2006/relationships/hyperlink" Target="https://docs.google.com/document/d/1XSFDY5i9Ep7nesV1viL8Coqp20w0G4IVqTHMIje-5zE/edit?usp=drivesd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HpQeh8hTOZjjZdxYR-fEARHhNDpr_SaVSKIO7doVyA/edit?usp=drivesdk" TargetMode="External"/><Relationship Id="rId2" Type="http://schemas.openxmlformats.org/officeDocument/2006/relationships/hyperlink" Target="https://docs.google.com/document/d/1scUjWJLEylNq5N71CUqsVZtjLW8mA2JKDoEgIHyS5So/edit?usp=drivesd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LDswXUAljuHhxW7To46kIIlJt13-iiyqkX_WLEdnKo/edit?usp=drivesdk" TargetMode="External"/><Relationship Id="rId2" Type="http://schemas.openxmlformats.org/officeDocument/2006/relationships/hyperlink" Target="https://docs.google.com/document/d/1SGAxFI1CGHHI-GYg3TjMsYEy8ltjsY-bt5MgC7F_cK4/edit?usp=drivesd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0.13"/>
    <col customWidth="1" min="3" max="3" width="21.0"/>
    <col customWidth="1" min="5" max="5" width="21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M1" s="4" t="s">
        <v>7</v>
      </c>
      <c r="S1" s="5" t="s">
        <v>8</v>
      </c>
    </row>
    <row r="2">
      <c r="F2" s="6"/>
      <c r="G2" s="7" t="s">
        <v>9</v>
      </c>
      <c r="H2" s="6"/>
      <c r="I2" s="7" t="s">
        <v>10</v>
      </c>
      <c r="J2" s="6"/>
      <c r="K2" s="7" t="s">
        <v>11</v>
      </c>
      <c r="L2" s="6"/>
      <c r="M2" s="8" t="s">
        <v>9</v>
      </c>
      <c r="N2" s="6"/>
      <c r="O2" s="8" t="s">
        <v>10</v>
      </c>
      <c r="P2" s="6"/>
      <c r="Q2" s="8" t="s">
        <v>11</v>
      </c>
      <c r="R2" s="6"/>
      <c r="S2" s="6"/>
    </row>
    <row r="3">
      <c r="A3" s="6"/>
      <c r="B3" s="6"/>
      <c r="C3" s="6"/>
      <c r="D3" s="6"/>
      <c r="E3" s="6"/>
      <c r="F3" s="9"/>
      <c r="G3" s="7" t="s">
        <v>12</v>
      </c>
      <c r="H3" s="10" t="s">
        <v>13</v>
      </c>
      <c r="I3" s="7" t="s">
        <v>12</v>
      </c>
      <c r="J3" s="10" t="s">
        <v>13</v>
      </c>
      <c r="K3" s="7" t="s">
        <v>12</v>
      </c>
      <c r="L3" s="10" t="s">
        <v>13</v>
      </c>
      <c r="M3" s="8" t="s">
        <v>12</v>
      </c>
      <c r="N3" s="11" t="s">
        <v>13</v>
      </c>
      <c r="O3" s="8" t="s">
        <v>12</v>
      </c>
      <c r="P3" s="11" t="s">
        <v>13</v>
      </c>
      <c r="Q3" s="8" t="s">
        <v>12</v>
      </c>
      <c r="R3" s="11" t="s">
        <v>13</v>
      </c>
      <c r="S3" s="12" t="s">
        <v>14</v>
      </c>
    </row>
    <row r="4">
      <c r="A4" s="13">
        <v>1.0</v>
      </c>
      <c r="B4" s="14" t="s">
        <v>15</v>
      </c>
      <c r="C4" s="13" t="s">
        <v>16</v>
      </c>
      <c r="D4" s="15">
        <v>45901.0</v>
      </c>
      <c r="E4" s="13" t="s">
        <v>17</v>
      </c>
      <c r="F4" s="13" t="s">
        <v>18</v>
      </c>
      <c r="G4" s="15">
        <v>45930.0</v>
      </c>
      <c r="H4" s="13" t="s">
        <v>18</v>
      </c>
      <c r="I4" s="16"/>
      <c r="J4" s="16"/>
      <c r="K4" s="17"/>
      <c r="L4" s="17"/>
      <c r="M4" s="15">
        <v>45924.0</v>
      </c>
      <c r="N4" s="13" t="s">
        <v>18</v>
      </c>
      <c r="O4" s="17"/>
      <c r="P4" s="16"/>
      <c r="Q4" s="18"/>
      <c r="R4" s="17"/>
      <c r="S4" s="19">
        <v>0.0</v>
      </c>
    </row>
    <row r="5">
      <c r="A5" s="13">
        <v>2.0</v>
      </c>
      <c r="B5" s="14" t="s">
        <v>15</v>
      </c>
      <c r="C5" s="13" t="s">
        <v>19</v>
      </c>
      <c r="D5" s="15">
        <v>45910.0</v>
      </c>
      <c r="E5" s="13" t="s">
        <v>20</v>
      </c>
      <c r="F5" s="13" t="s">
        <v>21</v>
      </c>
      <c r="G5" s="15">
        <v>45939.0</v>
      </c>
      <c r="H5" s="13" t="s">
        <v>22</v>
      </c>
      <c r="I5" s="15">
        <v>45969.0</v>
      </c>
      <c r="J5" s="13" t="s">
        <v>23</v>
      </c>
      <c r="K5" s="17"/>
      <c r="L5" s="17"/>
      <c r="M5" s="20">
        <v>45943.0</v>
      </c>
      <c r="N5" s="13" t="s">
        <v>22</v>
      </c>
      <c r="O5" s="17"/>
      <c r="P5" s="16"/>
      <c r="Q5" s="18"/>
      <c r="R5" s="17"/>
      <c r="S5" s="21" t="s">
        <v>23</v>
      </c>
    </row>
    <row r="6">
      <c r="A6" s="13">
        <v>3.0</v>
      </c>
      <c r="B6" s="14" t="s">
        <v>24</v>
      </c>
      <c r="C6" s="17"/>
      <c r="D6" s="15">
        <v>45911.0</v>
      </c>
      <c r="E6" s="13" t="s">
        <v>25</v>
      </c>
      <c r="F6" s="13" t="s">
        <v>26</v>
      </c>
      <c r="G6" s="15">
        <v>45911.0</v>
      </c>
      <c r="H6" s="13" t="s">
        <v>27</v>
      </c>
      <c r="I6" s="20">
        <v>45950.0</v>
      </c>
      <c r="J6" s="13" t="s">
        <v>28</v>
      </c>
      <c r="K6" s="17"/>
      <c r="L6" s="17"/>
      <c r="M6" s="15">
        <v>45911.0</v>
      </c>
      <c r="N6" s="13" t="s">
        <v>27</v>
      </c>
      <c r="O6" s="17"/>
      <c r="P6" s="16"/>
      <c r="Q6" s="18"/>
      <c r="R6" s="17"/>
      <c r="S6" s="21" t="s">
        <v>28</v>
      </c>
    </row>
    <row r="7">
      <c r="A7" s="13">
        <v>4.0</v>
      </c>
      <c r="B7" s="14" t="s">
        <v>29</v>
      </c>
      <c r="C7" s="13" t="s">
        <v>30</v>
      </c>
      <c r="D7" s="20">
        <v>45940.0</v>
      </c>
      <c r="E7" s="13" t="s">
        <v>31</v>
      </c>
      <c r="F7" s="13" t="s">
        <v>32</v>
      </c>
      <c r="G7" s="20">
        <v>45940.0</v>
      </c>
      <c r="H7" s="13" t="s">
        <v>33</v>
      </c>
      <c r="I7" s="20">
        <v>45944.0</v>
      </c>
      <c r="J7" s="13" t="s">
        <v>33</v>
      </c>
      <c r="K7" s="20">
        <v>45960.0</v>
      </c>
      <c r="L7" s="13" t="s">
        <v>34</v>
      </c>
      <c r="M7" s="20">
        <v>45940.0</v>
      </c>
      <c r="N7" s="13" t="s">
        <v>33</v>
      </c>
      <c r="O7" s="22"/>
      <c r="P7" s="16"/>
      <c r="Q7" s="23"/>
      <c r="R7" s="17"/>
      <c r="S7" s="21" t="s">
        <v>35</v>
      </c>
    </row>
    <row r="8">
      <c r="A8" s="13">
        <v>5.0</v>
      </c>
      <c r="B8" s="14" t="s">
        <v>29</v>
      </c>
      <c r="C8" s="13" t="s">
        <v>36</v>
      </c>
      <c r="D8" s="20">
        <v>45940.0</v>
      </c>
      <c r="E8" s="13" t="s">
        <v>37</v>
      </c>
      <c r="F8" s="13" t="s">
        <v>32</v>
      </c>
      <c r="G8" s="20">
        <v>45940.0</v>
      </c>
      <c r="H8" s="13" t="s">
        <v>33</v>
      </c>
      <c r="I8" s="20">
        <v>45944.0</v>
      </c>
      <c r="J8" s="13" t="s">
        <v>33</v>
      </c>
      <c r="K8" s="20">
        <v>45960.0</v>
      </c>
      <c r="L8" s="13" t="s">
        <v>34</v>
      </c>
      <c r="M8" s="20">
        <v>45943.0</v>
      </c>
      <c r="N8" s="13" t="s">
        <v>33</v>
      </c>
      <c r="O8" s="24"/>
      <c r="P8" s="16"/>
      <c r="Q8" s="24"/>
      <c r="R8" s="16"/>
      <c r="S8" s="21" t="s">
        <v>35</v>
      </c>
    </row>
    <row r="9">
      <c r="A9" s="13">
        <v>6.0</v>
      </c>
      <c r="B9" s="14" t="s">
        <v>38</v>
      </c>
      <c r="C9" s="16"/>
      <c r="D9" s="20">
        <v>45948.0</v>
      </c>
      <c r="E9" s="13" t="s">
        <v>25</v>
      </c>
      <c r="F9" s="13" t="s">
        <v>39</v>
      </c>
      <c r="G9" s="20">
        <v>45948.0</v>
      </c>
      <c r="H9" s="13" t="s">
        <v>39</v>
      </c>
      <c r="I9" s="16"/>
      <c r="J9" s="16"/>
      <c r="K9" s="16"/>
      <c r="L9" s="16"/>
      <c r="M9" s="20">
        <v>45948.0</v>
      </c>
      <c r="N9" s="13" t="s">
        <v>39</v>
      </c>
      <c r="O9" s="24"/>
      <c r="P9" s="16"/>
      <c r="Q9" s="24"/>
      <c r="R9" s="16"/>
      <c r="S9" s="19">
        <v>0.0</v>
      </c>
    </row>
    <row r="10">
      <c r="A10" s="13">
        <v>7.0</v>
      </c>
      <c r="B10" s="14" t="s">
        <v>24</v>
      </c>
      <c r="C10" s="25"/>
      <c r="D10" s="20">
        <v>45964.0</v>
      </c>
      <c r="E10" s="13" t="s">
        <v>25</v>
      </c>
      <c r="F10" s="13" t="s">
        <v>40</v>
      </c>
      <c r="G10" s="20">
        <v>45964.0</v>
      </c>
      <c r="H10" s="13" t="s">
        <v>40</v>
      </c>
      <c r="I10" s="25"/>
      <c r="J10" s="25"/>
      <c r="K10" s="25"/>
      <c r="L10" s="25"/>
      <c r="M10" s="20">
        <v>45964.0</v>
      </c>
      <c r="N10" s="13" t="s">
        <v>40</v>
      </c>
      <c r="O10" s="25"/>
      <c r="P10" s="25"/>
      <c r="Q10" s="25"/>
      <c r="R10" s="25"/>
      <c r="S10" s="19">
        <v>0.0</v>
      </c>
    </row>
    <row r="11">
      <c r="A11" s="13">
        <v>8.0</v>
      </c>
      <c r="B11" s="14" t="s">
        <v>41</v>
      </c>
      <c r="C11" s="25"/>
      <c r="D11" s="20"/>
      <c r="E11" s="13" t="s">
        <v>42</v>
      </c>
      <c r="F11" s="13"/>
      <c r="G11" s="20"/>
      <c r="H11" s="13"/>
      <c r="I11" s="25"/>
      <c r="J11" s="25"/>
      <c r="K11" s="25"/>
      <c r="L11" s="25"/>
      <c r="M11" s="20"/>
      <c r="N11" s="13"/>
      <c r="O11" s="25"/>
      <c r="P11" s="25"/>
      <c r="Q11" s="25"/>
      <c r="R11" s="25"/>
      <c r="S11" s="19"/>
    </row>
    <row r="12">
      <c r="A12" s="13">
        <v>9.0</v>
      </c>
      <c r="B12" s="14" t="s">
        <v>15</v>
      </c>
      <c r="C12" s="25"/>
      <c r="D12" s="20"/>
      <c r="E12" s="13" t="s">
        <v>42</v>
      </c>
      <c r="F12" s="13"/>
      <c r="G12" s="20"/>
      <c r="H12" s="13"/>
      <c r="I12" s="25"/>
      <c r="J12" s="25"/>
      <c r="K12" s="25"/>
      <c r="L12" s="25"/>
      <c r="M12" s="20"/>
      <c r="N12" s="13"/>
      <c r="O12" s="25"/>
      <c r="P12" s="25"/>
      <c r="Q12" s="25"/>
      <c r="R12" s="25"/>
      <c r="S12" s="19"/>
    </row>
    <row r="13">
      <c r="A13" s="13">
        <v>10.0</v>
      </c>
      <c r="B13" s="14" t="s">
        <v>38</v>
      </c>
      <c r="C13" s="25"/>
      <c r="D13" s="20"/>
      <c r="E13" s="13" t="s">
        <v>43</v>
      </c>
      <c r="F13" s="13"/>
      <c r="G13" s="20"/>
      <c r="H13" s="13"/>
      <c r="I13" s="25"/>
      <c r="J13" s="25"/>
      <c r="K13" s="25"/>
      <c r="L13" s="25"/>
      <c r="M13" s="20"/>
      <c r="N13" s="13"/>
      <c r="O13" s="25"/>
      <c r="P13" s="25"/>
      <c r="Q13" s="25"/>
      <c r="R13" s="25"/>
      <c r="S13" s="19"/>
    </row>
    <row r="14">
      <c r="A14" s="13">
        <v>11.0</v>
      </c>
      <c r="B14" s="14" t="s">
        <v>44</v>
      </c>
      <c r="C14" s="25"/>
      <c r="D14" s="20"/>
      <c r="E14" s="13" t="s">
        <v>45</v>
      </c>
      <c r="F14" s="13"/>
      <c r="G14" s="20"/>
      <c r="H14" s="13"/>
      <c r="I14" s="25"/>
      <c r="J14" s="25"/>
      <c r="K14" s="25"/>
      <c r="L14" s="25"/>
      <c r="M14" s="20"/>
      <c r="N14" s="13"/>
      <c r="O14" s="25"/>
      <c r="P14" s="25"/>
      <c r="Q14" s="25"/>
      <c r="R14" s="25"/>
      <c r="S14" s="19"/>
    </row>
    <row r="15">
      <c r="A15" s="13">
        <v>12.0</v>
      </c>
      <c r="B15" s="14" t="s">
        <v>44</v>
      </c>
      <c r="C15" s="25"/>
      <c r="D15" s="20"/>
      <c r="E15" s="13" t="s">
        <v>46</v>
      </c>
      <c r="F15" s="13"/>
      <c r="G15" s="20"/>
      <c r="H15" s="13"/>
      <c r="I15" s="25"/>
      <c r="J15" s="25"/>
      <c r="K15" s="25"/>
      <c r="L15" s="25"/>
      <c r="M15" s="20"/>
      <c r="N15" s="13"/>
      <c r="O15" s="25"/>
      <c r="P15" s="25"/>
      <c r="Q15" s="25"/>
      <c r="R15" s="25"/>
      <c r="S15" s="19"/>
    </row>
    <row r="16">
      <c r="A16" s="13">
        <v>13.0</v>
      </c>
      <c r="B16" s="14" t="s">
        <v>47</v>
      </c>
      <c r="C16" s="25"/>
      <c r="D16" s="20"/>
      <c r="E16" s="13" t="s">
        <v>45</v>
      </c>
      <c r="F16" s="13"/>
      <c r="G16" s="20"/>
      <c r="H16" s="13"/>
      <c r="I16" s="25"/>
      <c r="J16" s="25"/>
      <c r="K16" s="25"/>
      <c r="L16" s="25"/>
      <c r="M16" s="20"/>
      <c r="N16" s="13"/>
      <c r="O16" s="25"/>
      <c r="P16" s="25"/>
      <c r="Q16" s="25"/>
      <c r="R16" s="25"/>
      <c r="S16" s="19"/>
    </row>
    <row r="17">
      <c r="A17" s="13">
        <v>14.0</v>
      </c>
      <c r="B17" s="14" t="s">
        <v>47</v>
      </c>
      <c r="C17" s="25"/>
      <c r="D17" s="20"/>
      <c r="E17" s="13" t="s">
        <v>48</v>
      </c>
      <c r="F17" s="13"/>
      <c r="G17" s="20"/>
      <c r="H17" s="13"/>
      <c r="I17" s="25"/>
      <c r="J17" s="25"/>
      <c r="K17" s="25"/>
      <c r="L17" s="25"/>
      <c r="M17" s="20"/>
      <c r="N17" s="13"/>
      <c r="O17" s="25"/>
      <c r="P17" s="25"/>
      <c r="Q17" s="25"/>
      <c r="R17" s="25"/>
      <c r="S17" s="19"/>
    </row>
    <row r="18">
      <c r="A18" s="13">
        <v>15.0</v>
      </c>
      <c r="B18" s="14" t="s">
        <v>49</v>
      </c>
      <c r="C18" s="25"/>
      <c r="D18" s="20"/>
      <c r="E18" s="13" t="s">
        <v>50</v>
      </c>
      <c r="F18" s="13"/>
      <c r="G18" s="20"/>
      <c r="H18" s="13"/>
      <c r="I18" s="25"/>
      <c r="J18" s="25"/>
      <c r="K18" s="25"/>
      <c r="L18" s="25"/>
      <c r="M18" s="20"/>
      <c r="N18" s="13"/>
      <c r="O18" s="25"/>
      <c r="P18" s="25"/>
      <c r="Q18" s="25"/>
      <c r="R18" s="25"/>
      <c r="S18" s="19"/>
    </row>
    <row r="19">
      <c r="A19" s="13">
        <v>16.0</v>
      </c>
      <c r="B19" s="14" t="s">
        <v>51</v>
      </c>
      <c r="C19" s="25"/>
      <c r="D19" s="20"/>
      <c r="E19" s="13" t="s">
        <v>52</v>
      </c>
      <c r="F19" s="13"/>
      <c r="G19" s="20"/>
      <c r="H19" s="13"/>
      <c r="I19" s="25"/>
      <c r="J19" s="25"/>
      <c r="K19" s="25"/>
      <c r="L19" s="25"/>
      <c r="M19" s="20"/>
      <c r="N19" s="13"/>
      <c r="O19" s="25"/>
      <c r="P19" s="25"/>
      <c r="Q19" s="25"/>
      <c r="R19" s="25"/>
      <c r="S19" s="19"/>
    </row>
    <row r="20">
      <c r="A20" s="13">
        <v>17.0</v>
      </c>
      <c r="B20" s="14" t="s">
        <v>53</v>
      </c>
      <c r="C20" s="25"/>
      <c r="D20" s="20"/>
      <c r="E20" s="13" t="s">
        <v>54</v>
      </c>
      <c r="F20" s="13"/>
      <c r="G20" s="20"/>
      <c r="H20" s="13"/>
      <c r="I20" s="25"/>
      <c r="J20" s="25"/>
      <c r="K20" s="25"/>
      <c r="L20" s="25"/>
      <c r="M20" s="20"/>
      <c r="N20" s="13"/>
      <c r="O20" s="25"/>
      <c r="P20" s="25"/>
      <c r="Q20" s="25"/>
      <c r="R20" s="25"/>
      <c r="S20" s="19"/>
    </row>
    <row r="21">
      <c r="A21" s="13">
        <v>18.0</v>
      </c>
      <c r="B21" s="14"/>
      <c r="C21" s="25"/>
      <c r="D21" s="20"/>
      <c r="E21" s="13"/>
      <c r="F21" s="13"/>
      <c r="G21" s="20"/>
      <c r="H21" s="13"/>
      <c r="I21" s="25"/>
      <c r="J21" s="25"/>
      <c r="K21" s="25"/>
      <c r="L21" s="25"/>
      <c r="M21" s="20"/>
      <c r="N21" s="13"/>
      <c r="O21" s="25"/>
      <c r="P21" s="25"/>
      <c r="Q21" s="25"/>
      <c r="R21" s="25"/>
      <c r="S21" s="19"/>
    </row>
    <row r="22">
      <c r="A22" s="13">
        <v>19.0</v>
      </c>
      <c r="B22" s="14"/>
      <c r="C22" s="25"/>
      <c r="D22" s="20"/>
      <c r="E22" s="13"/>
      <c r="F22" s="13"/>
      <c r="G22" s="20"/>
      <c r="H22" s="13"/>
      <c r="I22" s="25"/>
      <c r="J22" s="25"/>
      <c r="K22" s="25"/>
      <c r="L22" s="25"/>
      <c r="M22" s="20"/>
      <c r="N22" s="13"/>
      <c r="O22" s="25"/>
      <c r="P22" s="25"/>
      <c r="Q22" s="25"/>
      <c r="R22" s="25"/>
      <c r="S22" s="19"/>
    </row>
    <row r="23">
      <c r="A23" s="13">
        <v>20.0</v>
      </c>
      <c r="B23" s="14"/>
      <c r="C23" s="25"/>
      <c r="D23" s="20"/>
      <c r="E23" s="13"/>
      <c r="F23" s="13"/>
      <c r="G23" s="20"/>
      <c r="H23" s="13"/>
      <c r="I23" s="25"/>
      <c r="J23" s="25"/>
      <c r="K23" s="25"/>
      <c r="L23" s="25"/>
      <c r="M23" s="20"/>
      <c r="N23" s="13"/>
      <c r="O23" s="25"/>
      <c r="P23" s="25"/>
      <c r="Q23" s="25"/>
      <c r="R23" s="25"/>
      <c r="S23" s="19"/>
    </row>
    <row r="24">
      <c r="A24" s="13">
        <v>21.0</v>
      </c>
      <c r="B24" s="14"/>
      <c r="C24" s="25"/>
      <c r="D24" s="20"/>
      <c r="E24" s="13"/>
      <c r="F24" s="13"/>
      <c r="G24" s="20"/>
      <c r="H24" s="13"/>
      <c r="I24" s="25"/>
      <c r="J24" s="25"/>
      <c r="K24" s="25"/>
      <c r="L24" s="25"/>
      <c r="M24" s="20"/>
      <c r="N24" s="13"/>
      <c r="O24" s="25"/>
      <c r="P24" s="25"/>
      <c r="Q24" s="25"/>
      <c r="R24" s="25"/>
      <c r="S24" s="19"/>
    </row>
    <row r="25">
      <c r="A25" s="13">
        <v>22.0</v>
      </c>
      <c r="B25" s="14"/>
      <c r="C25" s="25"/>
      <c r="D25" s="20"/>
      <c r="E25" s="13"/>
      <c r="F25" s="13"/>
      <c r="G25" s="20"/>
      <c r="H25" s="13"/>
      <c r="I25" s="25"/>
      <c r="J25" s="25"/>
      <c r="K25" s="25"/>
      <c r="L25" s="25"/>
      <c r="M25" s="20"/>
      <c r="N25" s="13"/>
      <c r="O25" s="25"/>
      <c r="P25" s="25"/>
      <c r="Q25" s="25"/>
      <c r="R25" s="25"/>
      <c r="S25" s="19"/>
    </row>
    <row r="26">
      <c r="A26" s="13">
        <v>23.0</v>
      </c>
      <c r="B26" s="14"/>
      <c r="C26" s="25"/>
      <c r="D26" s="20"/>
      <c r="E26" s="13"/>
      <c r="F26" s="13"/>
      <c r="G26" s="20"/>
      <c r="H26" s="13"/>
      <c r="I26" s="25"/>
      <c r="J26" s="25"/>
      <c r="K26" s="25"/>
      <c r="L26" s="25"/>
      <c r="M26" s="20"/>
      <c r="N26" s="13"/>
      <c r="O26" s="25"/>
      <c r="P26" s="25"/>
      <c r="Q26" s="25"/>
      <c r="R26" s="25"/>
      <c r="S26" s="19"/>
    </row>
    <row r="27">
      <c r="A27" s="13">
        <v>24.0</v>
      </c>
      <c r="B27" s="14"/>
      <c r="C27" s="25"/>
      <c r="D27" s="20"/>
      <c r="E27" s="13"/>
      <c r="F27" s="13"/>
      <c r="G27" s="20"/>
      <c r="H27" s="13"/>
      <c r="I27" s="25"/>
      <c r="J27" s="25"/>
      <c r="K27" s="25"/>
      <c r="L27" s="25"/>
      <c r="M27" s="20"/>
      <c r="N27" s="13"/>
      <c r="O27" s="25"/>
      <c r="P27" s="25"/>
      <c r="Q27" s="25"/>
      <c r="R27" s="25"/>
      <c r="S27" s="19"/>
    </row>
    <row r="28">
      <c r="A28" s="13">
        <v>25.0</v>
      </c>
      <c r="B28" s="14"/>
      <c r="C28" s="25"/>
      <c r="D28" s="20"/>
      <c r="E28" s="13"/>
      <c r="F28" s="13"/>
      <c r="G28" s="20"/>
      <c r="H28" s="13"/>
      <c r="I28" s="25"/>
      <c r="J28" s="25"/>
      <c r="K28" s="25"/>
      <c r="L28" s="25"/>
      <c r="M28" s="20"/>
      <c r="N28" s="13"/>
      <c r="O28" s="25"/>
      <c r="P28" s="25"/>
      <c r="Q28" s="25"/>
      <c r="R28" s="25"/>
      <c r="S28" s="19"/>
    </row>
    <row r="29">
      <c r="A29" s="13">
        <v>26.0</v>
      </c>
      <c r="B29" s="14"/>
      <c r="C29" s="25"/>
      <c r="D29" s="20"/>
      <c r="E29" s="13"/>
      <c r="F29" s="13"/>
      <c r="G29" s="20"/>
      <c r="H29" s="13"/>
      <c r="I29" s="25"/>
      <c r="J29" s="25"/>
      <c r="K29" s="25"/>
      <c r="L29" s="25"/>
      <c r="M29" s="20"/>
      <c r="N29" s="13"/>
      <c r="O29" s="25"/>
      <c r="P29" s="25"/>
      <c r="Q29" s="25"/>
      <c r="R29" s="25"/>
      <c r="S29" s="19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  <row r="1000">
      <c r="B1000" s="26"/>
    </row>
    <row r="1001">
      <c r="B1001" s="26"/>
    </row>
    <row r="1002">
      <c r="B1002" s="26"/>
    </row>
    <row r="1003">
      <c r="B1003" s="26"/>
    </row>
  </sheetData>
  <mergeCells count="15">
    <mergeCell ref="M1:R1"/>
    <mergeCell ref="S1:S2"/>
    <mergeCell ref="M2:N2"/>
    <mergeCell ref="O2:P2"/>
    <mergeCell ref="Q2:R2"/>
    <mergeCell ref="G2:H2"/>
    <mergeCell ref="I2:J2"/>
    <mergeCell ref="A1:A3"/>
    <mergeCell ref="B1:B3"/>
    <mergeCell ref="C1:C3"/>
    <mergeCell ref="D1:D3"/>
    <mergeCell ref="E1:E3"/>
    <mergeCell ref="F1:F2"/>
    <mergeCell ref="G1:L1"/>
    <mergeCell ref="K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0.5"/>
    <col customWidth="1" min="7" max="7" width="15.75"/>
    <col customWidth="1" min="10" max="13" width="18.0"/>
    <col customWidth="1" min="14" max="14" width="22.0"/>
    <col customWidth="1" min="15" max="17" width="18.88"/>
    <col customWidth="1" min="18" max="18" width="38.13"/>
    <col customWidth="1" min="19" max="19" width="18.88"/>
  </cols>
  <sheetData>
    <row r="1">
      <c r="A1" s="27" t="s">
        <v>55</v>
      </c>
      <c r="B1" s="28" t="s">
        <v>56</v>
      </c>
      <c r="C1" s="28" t="s">
        <v>57</v>
      </c>
      <c r="D1" s="28" t="s">
        <v>58</v>
      </c>
      <c r="E1" s="28" t="s">
        <v>59</v>
      </c>
      <c r="F1" s="28" t="s">
        <v>60</v>
      </c>
      <c r="G1" s="28" t="s">
        <v>61</v>
      </c>
      <c r="H1" s="28" t="s">
        <v>62</v>
      </c>
      <c r="I1" s="28" t="s">
        <v>63</v>
      </c>
      <c r="J1" s="28" t="s">
        <v>64</v>
      </c>
      <c r="K1" s="28" t="s">
        <v>65</v>
      </c>
      <c r="L1" s="28" t="s">
        <v>66</v>
      </c>
      <c r="M1" s="28" t="s">
        <v>67</v>
      </c>
      <c r="N1" s="28" t="s">
        <v>5</v>
      </c>
      <c r="O1" s="28" t="s">
        <v>68</v>
      </c>
      <c r="P1" s="29" t="s">
        <v>69</v>
      </c>
      <c r="Q1" s="29" t="s">
        <v>70</v>
      </c>
      <c r="R1" s="29" t="s">
        <v>71</v>
      </c>
      <c r="S1" s="29" t="s">
        <v>72</v>
      </c>
    </row>
    <row r="2">
      <c r="A2" s="30">
        <v>1.0</v>
      </c>
      <c r="B2" s="30" t="s">
        <v>73</v>
      </c>
      <c r="C2" s="30" t="s">
        <v>74</v>
      </c>
      <c r="D2" s="31" t="s">
        <v>75</v>
      </c>
      <c r="E2" s="30" t="s">
        <v>76</v>
      </c>
      <c r="F2" s="30" t="s">
        <v>77</v>
      </c>
      <c r="G2" s="30" t="s">
        <v>78</v>
      </c>
      <c r="H2" s="30" t="s">
        <v>79</v>
      </c>
      <c r="O2" s="30"/>
      <c r="P2" s="30" t="s">
        <v>80</v>
      </c>
      <c r="Q2" s="32" t="s">
        <v>81</v>
      </c>
      <c r="R2" s="33" t="str">
        <f>HYPERLINK("https://docs.google.com/document/d/1nx1eg2tzmZ1pjMN2zSCRcClx8oXIG6VG3qzlEgbieSA/edit?usp=drivesdk","Hợp đồng quảng cáo mẫu")</f>
        <v>Hợp đồng quảng cáo mẫu</v>
      </c>
      <c r="S2" s="30" t="s">
        <v>82</v>
      </c>
    </row>
    <row r="3">
      <c r="A3" s="30">
        <v>2.0</v>
      </c>
      <c r="B3" s="30" t="s">
        <v>83</v>
      </c>
      <c r="C3" s="30" t="s">
        <v>74</v>
      </c>
      <c r="D3" s="31" t="s">
        <v>75</v>
      </c>
      <c r="E3" s="30" t="s">
        <v>76</v>
      </c>
      <c r="F3" s="30" t="s">
        <v>77</v>
      </c>
      <c r="G3" s="30" t="s">
        <v>78</v>
      </c>
      <c r="H3" s="30" t="s">
        <v>79</v>
      </c>
      <c r="O3" s="30"/>
      <c r="P3" s="30" t="s">
        <v>84</v>
      </c>
      <c r="Q3" s="32" t="s">
        <v>85</v>
      </c>
      <c r="R3" s="33" t="str">
        <f>HYPERLINK("https://docs.google.com/document/d/19HZBV7dWwlkkFhcnBCMRRaaboeUFrr0Ip_9pRXbQ5Do/edit?usp=drivesdk","Hợp đồng quảng cáo mẫu")</f>
        <v>Hợp đồng quảng cáo mẫu</v>
      </c>
      <c r="S3" s="30" t="s">
        <v>82</v>
      </c>
    </row>
    <row r="4">
      <c r="A4" s="30">
        <v>3.0</v>
      </c>
      <c r="B4" s="30" t="s">
        <v>86</v>
      </c>
      <c r="C4" s="30" t="s">
        <v>74</v>
      </c>
      <c r="D4" s="31" t="s">
        <v>75</v>
      </c>
      <c r="E4" s="30" t="s">
        <v>76</v>
      </c>
      <c r="F4" s="30" t="s">
        <v>77</v>
      </c>
      <c r="G4" s="30" t="s">
        <v>78</v>
      </c>
      <c r="H4" s="30" t="s">
        <v>79</v>
      </c>
      <c r="I4" s="30">
        <v>100.0</v>
      </c>
      <c r="J4" s="34">
        <v>1.0E8</v>
      </c>
      <c r="K4" s="35">
        <f t="shared" ref="K4:K7" si="1">J4*10%</f>
        <v>10000000</v>
      </c>
      <c r="L4" s="35">
        <f>J4*15%</f>
        <v>15000000</v>
      </c>
      <c r="M4" s="35">
        <f t="shared" ref="M4:M7" si="2">(J4+K4+L4)*8%</f>
        <v>10000000</v>
      </c>
      <c r="N4" s="36">
        <f t="shared" ref="N4:N7" si="3">J4+K4+L4+M4</f>
        <v>135000000</v>
      </c>
      <c r="O4" s="30" t="s">
        <v>87</v>
      </c>
      <c r="P4" s="30" t="s">
        <v>88</v>
      </c>
      <c r="Q4" s="32" t="s">
        <v>89</v>
      </c>
      <c r="R4" s="33" t="str">
        <f>HYPERLINK("https://docs.google.com/document/d/1xgVmjANJAXx-hheOTgNTUevk8c3m6mR4zqgmPyEr6WU/edit?usp=drivesdk","Hợp đồng quảng cáo mẫu")</f>
        <v>Hợp đồng quảng cáo mẫu</v>
      </c>
      <c r="S4" s="30" t="s">
        <v>82</v>
      </c>
    </row>
    <row r="5">
      <c r="A5" s="30">
        <v>4.0</v>
      </c>
      <c r="B5" s="30" t="s">
        <v>86</v>
      </c>
      <c r="C5" s="30" t="s">
        <v>90</v>
      </c>
      <c r="D5" s="30" t="s">
        <v>91</v>
      </c>
      <c r="E5" s="30" t="s">
        <v>76</v>
      </c>
      <c r="F5" s="30" t="s">
        <v>77</v>
      </c>
      <c r="G5" s="30" t="s">
        <v>78</v>
      </c>
      <c r="H5" s="30" t="s">
        <v>79</v>
      </c>
      <c r="I5" s="30">
        <v>100.0</v>
      </c>
      <c r="J5" s="34">
        <v>2.0E8</v>
      </c>
      <c r="K5" s="35">
        <f t="shared" si="1"/>
        <v>20000000</v>
      </c>
      <c r="L5" s="35">
        <f>J5*12%</f>
        <v>24000000</v>
      </c>
      <c r="M5" s="35">
        <f t="shared" si="2"/>
        <v>19520000</v>
      </c>
      <c r="N5" s="36">
        <f t="shared" si="3"/>
        <v>263520000</v>
      </c>
      <c r="O5" s="30" t="s">
        <v>92</v>
      </c>
      <c r="P5" s="30" t="s">
        <v>93</v>
      </c>
      <c r="Q5" s="32" t="s">
        <v>94</v>
      </c>
      <c r="R5" s="33" t="str">
        <f>HYPERLINK("https://docs.google.com/document/d/1BSs6cSKBAOFm75fJjRGau_Rd4_L7SkBT8NiTE2OHF54/edit?usp=drivesdk","Hợp đồng quảng cáo mẫu")</f>
        <v>Hợp đồng quảng cáo mẫu</v>
      </c>
      <c r="S5" s="30" t="s">
        <v>82</v>
      </c>
    </row>
    <row r="6">
      <c r="A6" s="30">
        <v>5.0</v>
      </c>
      <c r="B6" s="30" t="s">
        <v>95</v>
      </c>
      <c r="C6" s="37" t="s">
        <v>96</v>
      </c>
      <c r="D6" s="38" t="s">
        <v>97</v>
      </c>
      <c r="E6" s="39" t="s">
        <v>98</v>
      </c>
      <c r="F6" s="30" t="s">
        <v>99</v>
      </c>
      <c r="G6" s="37" t="s">
        <v>100</v>
      </c>
      <c r="H6" s="40" t="s">
        <v>101</v>
      </c>
      <c r="I6" s="30">
        <v>233.0</v>
      </c>
      <c r="J6" s="41">
        <v>5.8333333E7</v>
      </c>
      <c r="K6" s="35">
        <f t="shared" si="1"/>
        <v>5833333.3</v>
      </c>
      <c r="L6" s="35">
        <f t="shared" ref="L6:L7" si="4">J6*18%</f>
        <v>10499999.94</v>
      </c>
      <c r="M6" s="35">
        <f t="shared" si="2"/>
        <v>5973333.299</v>
      </c>
      <c r="N6" s="35">
        <f t="shared" si="3"/>
        <v>80639999.54</v>
      </c>
      <c r="O6" s="42" t="s">
        <v>102</v>
      </c>
      <c r="P6" s="30" t="s">
        <v>103</v>
      </c>
      <c r="Q6" s="32" t="s">
        <v>104</v>
      </c>
      <c r="R6" s="33" t="str">
        <f>HYPERLINK("https://docs.google.com/document/d/1rZ-5qA2zF7uxck6x0nlsL_2OgxhUUU1N-KALSxtzbeQ/edit?usp=drivesdk","Hợp đồng quảng cáo mẫu")</f>
        <v>Hợp đồng quảng cáo mẫu</v>
      </c>
      <c r="S6" s="30" t="s">
        <v>105</v>
      </c>
    </row>
    <row r="7">
      <c r="A7" s="43">
        <v>6.0</v>
      </c>
      <c r="B7" s="44" t="s">
        <v>106</v>
      </c>
      <c r="C7" s="45" t="s">
        <v>107</v>
      </c>
      <c r="D7" s="46" t="s">
        <v>108</v>
      </c>
      <c r="E7" s="45" t="s">
        <v>109</v>
      </c>
      <c r="F7" s="45" t="s">
        <v>110</v>
      </c>
      <c r="G7" s="45" t="s">
        <v>111</v>
      </c>
      <c r="H7" s="47" t="s">
        <v>112</v>
      </c>
      <c r="I7" s="43">
        <v>100.0</v>
      </c>
      <c r="J7" s="48">
        <v>5.0E7</v>
      </c>
      <c r="K7" s="49">
        <f t="shared" si="1"/>
        <v>5000000</v>
      </c>
      <c r="L7" s="49">
        <f t="shared" si="4"/>
        <v>9000000</v>
      </c>
      <c r="M7" s="50">
        <f t="shared" si="2"/>
        <v>5120000</v>
      </c>
      <c r="N7" s="50">
        <f t="shared" si="3"/>
        <v>69120000</v>
      </c>
      <c r="O7" s="30" t="s">
        <v>113</v>
      </c>
      <c r="P7" s="30" t="s">
        <v>114</v>
      </c>
      <c r="Q7" s="32" t="s">
        <v>115</v>
      </c>
      <c r="R7" s="33" t="str">
        <f>HYPERLINK("https://docs.google.com/document/d/1XSFDY5i9Ep7nesV1viL8Coqp20w0G4IVqTHMIje-5zE/edit?usp=drivesdk","Hợp đồng quảng cáo mẫu")</f>
        <v>Hợp đồng quảng cáo mẫu</v>
      </c>
      <c r="S7" s="30" t="s">
        <v>116</v>
      </c>
    </row>
  </sheetData>
  <hyperlinks>
    <hyperlink r:id="rId1" location="gid=1756299220" ref="A1"/>
    <hyperlink r:id="rId2" ref="Q2"/>
    <hyperlink r:id="rId3" ref="Q3"/>
    <hyperlink r:id="rId4" ref="Q4"/>
    <hyperlink r:id="rId5" ref="Q5"/>
    <hyperlink r:id="rId6" ref="Q6"/>
    <hyperlink r:id="rId7" ref="Q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9" width="18.88"/>
  </cols>
  <sheetData>
    <row r="1">
      <c r="A1" s="28" t="s">
        <v>0</v>
      </c>
      <c r="B1" s="51" t="s">
        <v>117</v>
      </c>
      <c r="C1" s="51" t="s">
        <v>118</v>
      </c>
      <c r="D1" s="51" t="s">
        <v>119</v>
      </c>
      <c r="E1" s="51" t="s">
        <v>120</v>
      </c>
      <c r="F1" s="52" t="s">
        <v>121</v>
      </c>
      <c r="G1" s="52" t="s">
        <v>122</v>
      </c>
      <c r="H1" s="52" t="s">
        <v>123</v>
      </c>
      <c r="I1" s="52" t="s">
        <v>124</v>
      </c>
      <c r="J1" s="52" t="s">
        <v>125</v>
      </c>
      <c r="K1" s="51" t="s">
        <v>126</v>
      </c>
      <c r="L1" s="51" t="s">
        <v>127</v>
      </c>
      <c r="M1" s="51" t="s">
        <v>128</v>
      </c>
      <c r="N1" s="51" t="s">
        <v>129</v>
      </c>
      <c r="O1" s="51" t="s">
        <v>130</v>
      </c>
      <c r="P1" s="29" t="s">
        <v>131</v>
      </c>
      <c r="Q1" s="29" t="s">
        <v>132</v>
      </c>
      <c r="R1" s="29" t="s">
        <v>133</v>
      </c>
      <c r="S1" s="29" t="s">
        <v>134</v>
      </c>
    </row>
    <row r="2">
      <c r="A2" s="53">
        <v>1.0</v>
      </c>
      <c r="B2" s="54" t="s">
        <v>135</v>
      </c>
      <c r="C2" s="54" t="s">
        <v>136</v>
      </c>
      <c r="D2" s="55">
        <v>46108.0</v>
      </c>
      <c r="E2" s="56" t="s">
        <v>96</v>
      </c>
      <c r="F2" s="57" t="s">
        <v>97</v>
      </c>
      <c r="G2" s="58" t="s">
        <v>98</v>
      </c>
      <c r="H2" s="53" t="s">
        <v>99</v>
      </c>
      <c r="I2" s="53">
        <v>9.09090909E8</v>
      </c>
      <c r="J2" s="56" t="s">
        <v>100</v>
      </c>
      <c r="K2" s="59" t="s">
        <v>101</v>
      </c>
      <c r="L2" s="53">
        <v>233.0</v>
      </c>
      <c r="M2" s="60">
        <v>105.0</v>
      </c>
      <c r="N2" s="61">
        <v>46108.0</v>
      </c>
      <c r="O2" s="61">
        <v>46153.0</v>
      </c>
      <c r="P2" s="30" t="s">
        <v>137</v>
      </c>
      <c r="Q2" s="32" t="s">
        <v>138</v>
      </c>
      <c r="R2" s="33" t="str">
        <f>HYPERLINK("https://docs.google.com/document/d/1JHpQeh8hTOZjjZdxYR-fEARHhNDpr_SaVSKIO7doVyA/edit?usp=drivesdk","phụ lục quảng cáo mẫu")</f>
        <v>phụ lục quảng cáo mẫu</v>
      </c>
      <c r="S2" s="30" t="s">
        <v>139</v>
      </c>
    </row>
    <row r="3">
      <c r="A3" s="43">
        <v>2.0</v>
      </c>
      <c r="B3" s="44" t="s">
        <v>140</v>
      </c>
      <c r="C3" s="44" t="s">
        <v>106</v>
      </c>
      <c r="D3" s="62">
        <v>46119.0</v>
      </c>
      <c r="E3" s="45" t="s">
        <v>107</v>
      </c>
      <c r="F3" s="46" t="s">
        <v>108</v>
      </c>
      <c r="G3" s="45" t="s">
        <v>109</v>
      </c>
      <c r="H3" s="45" t="s">
        <v>110</v>
      </c>
      <c r="I3" s="63"/>
      <c r="J3" s="45" t="s">
        <v>111</v>
      </c>
      <c r="K3" s="47" t="s">
        <v>112</v>
      </c>
      <c r="L3" s="43">
        <v>100.0</v>
      </c>
      <c r="M3" s="43">
        <v>45.0</v>
      </c>
      <c r="N3" s="64">
        <v>46119.0</v>
      </c>
      <c r="O3" s="64">
        <v>46163.0</v>
      </c>
      <c r="P3" s="30" t="s">
        <v>141</v>
      </c>
      <c r="Q3" s="32" t="s">
        <v>142</v>
      </c>
      <c r="R3" s="33" t="str">
        <f>HYPERLINK("https://docs.google.com/document/d/1scUjWJLEylNq5N71CUqsVZtjLW8mA2JKDoEgIHyS5So/edit?usp=drivesdk","phụ lục quảng cáo mẫu")</f>
        <v>phụ lục quảng cáo mẫu</v>
      </c>
      <c r="S3" s="30" t="s">
        <v>143</v>
      </c>
    </row>
  </sheetData>
  <hyperlinks>
    <hyperlink r:id="rId1" ref="Q2"/>
    <hyperlink r:id="rId2" ref="Q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1" width="18.88"/>
  </cols>
  <sheetData>
    <row r="1">
      <c r="A1" s="30" t="s">
        <v>144</v>
      </c>
      <c r="B1" s="51" t="s">
        <v>145</v>
      </c>
      <c r="C1" s="51" t="s">
        <v>118</v>
      </c>
      <c r="D1" s="51" t="s">
        <v>146</v>
      </c>
      <c r="E1" s="51" t="s">
        <v>147</v>
      </c>
      <c r="F1" s="51" t="s">
        <v>148</v>
      </c>
      <c r="G1" s="51" t="s">
        <v>149</v>
      </c>
      <c r="H1" s="29" t="s">
        <v>150</v>
      </c>
      <c r="I1" s="29" t="s">
        <v>151</v>
      </c>
      <c r="J1" s="29" t="s">
        <v>152</v>
      </c>
      <c r="K1" s="29" t="s">
        <v>153</v>
      </c>
    </row>
    <row r="2">
      <c r="A2" s="30">
        <v>1.0</v>
      </c>
      <c r="B2" s="40" t="s">
        <v>154</v>
      </c>
      <c r="C2" s="40" t="s">
        <v>155</v>
      </c>
      <c r="D2" s="65">
        <v>46108.0</v>
      </c>
      <c r="E2" s="66" t="s">
        <v>96</v>
      </c>
      <c r="F2" s="67">
        <v>8.064E7</v>
      </c>
      <c r="G2" s="68" t="s">
        <v>156</v>
      </c>
      <c r="H2" s="30" t="s">
        <v>157</v>
      </c>
      <c r="I2" s="32" t="s">
        <v>158</v>
      </c>
      <c r="J2" s="33" t="str">
        <f>HYPERLINK("https://docs.google.com/document/d/18LDswXUAljuHhxW7To46kIIlJt13-iiyqkX_WLEdnKo/edit?usp=drivesdk","đề nghị thanh toán quảng cáo mẫu")</f>
        <v>đề nghị thanh toán quảng cáo mẫu</v>
      </c>
      <c r="K2" s="30" t="s">
        <v>159</v>
      </c>
    </row>
    <row r="3">
      <c r="A3" s="30">
        <v>2.0</v>
      </c>
      <c r="B3" s="30" t="s">
        <v>160</v>
      </c>
      <c r="C3" s="44" t="s">
        <v>106</v>
      </c>
      <c r="D3" s="62">
        <v>46119.0</v>
      </c>
      <c r="E3" s="45" t="s">
        <v>107</v>
      </c>
      <c r="F3" s="43">
        <v>6.912E7</v>
      </c>
      <c r="G3" s="30" t="s">
        <v>113</v>
      </c>
      <c r="H3" s="30" t="s">
        <v>161</v>
      </c>
      <c r="I3" s="32" t="s">
        <v>162</v>
      </c>
      <c r="J3" s="33" t="str">
        <f>HYPERLINK("https://docs.google.com/document/d/1SGAxFI1CGHHI-GYg3TjMsYEy8ltjsY-bt5MgC7F_cK4/edit?usp=drivesdk","đề nghị thanh toán quảng cáo mẫu")</f>
        <v>đề nghị thanh toán quảng cáo mẫu</v>
      </c>
      <c r="K3" s="30" t="s">
        <v>163</v>
      </c>
    </row>
  </sheetData>
  <hyperlinks>
    <hyperlink r:id="rId1" ref="I2"/>
    <hyperlink r:id="rId2" ref="I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164</v>
      </c>
      <c r="B1" s="69" t="s">
        <v>165</v>
      </c>
    </row>
    <row r="2">
      <c r="A2" s="30" t="s">
        <v>166</v>
      </c>
      <c r="B2" s="30" t="s">
        <v>167</v>
      </c>
    </row>
    <row r="3">
      <c r="A3" s="30" t="s">
        <v>168</v>
      </c>
      <c r="B3" s="30" t="s">
        <v>169</v>
      </c>
    </row>
    <row r="4">
      <c r="A4" s="30" t="s">
        <v>170</v>
      </c>
      <c r="B4" s="30" t="s">
        <v>171</v>
      </c>
    </row>
    <row r="5">
      <c r="A5" s="30" t="s">
        <v>172</v>
      </c>
      <c r="B5" s="30" t="s">
        <v>173</v>
      </c>
    </row>
    <row r="6">
      <c r="A6" s="30" t="s">
        <v>174</v>
      </c>
      <c r="B6" s="30" t="s">
        <v>169</v>
      </c>
    </row>
    <row r="7">
      <c r="A7" s="30" t="s">
        <v>175</v>
      </c>
      <c r="B7" s="30" t="s">
        <v>176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177</v>
      </c>
      <c r="B1" s="30" t="s">
        <v>178</v>
      </c>
      <c r="C1" s="30" t="s">
        <v>179</v>
      </c>
      <c r="D1" s="30" t="s">
        <v>180</v>
      </c>
      <c r="E1" s="30" t="s">
        <v>181</v>
      </c>
      <c r="F1" s="30" t="s">
        <v>182</v>
      </c>
      <c r="G1" s="30" t="s">
        <v>183</v>
      </c>
      <c r="H1" s="30" t="s">
        <v>184</v>
      </c>
      <c r="I1" s="30" t="s">
        <v>185</v>
      </c>
      <c r="J1" s="30" t="s">
        <v>186</v>
      </c>
      <c r="K1" s="30" t="s">
        <v>187</v>
      </c>
      <c r="L1" s="30" t="s">
        <v>188</v>
      </c>
      <c r="M1" s="30" t="s">
        <v>189</v>
      </c>
      <c r="N1" s="30" t="s">
        <v>190</v>
      </c>
      <c r="O1" s="30" t="s">
        <v>191</v>
      </c>
      <c r="P1" s="30" t="s">
        <v>192</v>
      </c>
      <c r="Q1" s="30" t="s">
        <v>193</v>
      </c>
      <c r="R1" s="30" t="s">
        <v>194</v>
      </c>
      <c r="S1" s="30" t="s">
        <v>195</v>
      </c>
      <c r="T1" s="30" t="s">
        <v>196</v>
      </c>
      <c r="U1" s="30" t="s">
        <v>197</v>
      </c>
      <c r="V1" s="30" t="s">
        <v>198</v>
      </c>
      <c r="W1" s="30" t="s">
        <v>199</v>
      </c>
      <c r="X1" s="30" t="s">
        <v>200</v>
      </c>
      <c r="Y1" s="30" t="s">
        <v>201</v>
      </c>
      <c r="Z1" s="30" t="s">
        <v>202</v>
      </c>
      <c r="AA1" s="30" t="s">
        <v>203</v>
      </c>
      <c r="AB1" s="30" t="s">
        <v>204</v>
      </c>
      <c r="AC1" s="30" t="s">
        <v>205</v>
      </c>
    </row>
    <row r="2">
      <c r="A2" s="30" t="s">
        <v>206</v>
      </c>
      <c r="B2" s="30" t="s">
        <v>207</v>
      </c>
      <c r="C2" s="30" t="s">
        <v>208</v>
      </c>
      <c r="D2" s="70">
        <v>3.70860138E8</v>
      </c>
      <c r="E2" s="70">
        <v>1.0</v>
      </c>
      <c r="F2" s="70">
        <v>2.0</v>
      </c>
      <c r="G2" s="30" t="s">
        <v>209</v>
      </c>
      <c r="H2" s="30" t="s">
        <v>210</v>
      </c>
      <c r="I2" s="30" t="s">
        <v>211</v>
      </c>
      <c r="J2" s="30" t="s">
        <v>212</v>
      </c>
      <c r="K2" s="30" t="s">
        <v>213</v>
      </c>
      <c r="L2" s="30" t="s">
        <v>213</v>
      </c>
      <c r="M2" s="30" t="s">
        <v>214</v>
      </c>
      <c r="N2" s="30" t="b">
        <v>1</v>
      </c>
      <c r="O2" s="30" t="s">
        <v>215</v>
      </c>
      <c r="P2" s="30" t="b">
        <v>0</v>
      </c>
      <c r="R2" s="30" t="b">
        <v>0</v>
      </c>
      <c r="S2" s="30" t="b">
        <v>0</v>
      </c>
      <c r="X2" s="30" t="b">
        <v>0</v>
      </c>
      <c r="AA2" s="30" t="b">
        <v>0</v>
      </c>
    </row>
    <row r="3">
      <c r="A3" s="30" t="s">
        <v>216</v>
      </c>
      <c r="B3" s="30" t="s">
        <v>217</v>
      </c>
      <c r="C3" s="30" t="s">
        <v>218</v>
      </c>
      <c r="D3" s="70">
        <v>1.75629922E9</v>
      </c>
      <c r="E3" s="70">
        <v>1.0</v>
      </c>
      <c r="F3" s="70">
        <v>2.0</v>
      </c>
      <c r="G3" s="30" t="s">
        <v>219</v>
      </c>
      <c r="H3" s="30" t="s">
        <v>210</v>
      </c>
      <c r="I3" s="30" t="s">
        <v>211</v>
      </c>
      <c r="J3" s="30" t="s">
        <v>212</v>
      </c>
      <c r="K3" s="30" t="s">
        <v>213</v>
      </c>
      <c r="L3" s="30" t="s">
        <v>213</v>
      </c>
      <c r="M3" s="30" t="s">
        <v>214</v>
      </c>
      <c r="N3" s="30" t="b">
        <v>1</v>
      </c>
      <c r="O3" s="30" t="s">
        <v>220</v>
      </c>
      <c r="P3" s="30" t="b">
        <v>0</v>
      </c>
      <c r="R3" s="30" t="b">
        <v>0</v>
      </c>
      <c r="S3" s="30" t="b">
        <v>0</v>
      </c>
      <c r="T3" s="69"/>
      <c r="X3" s="30" t="b">
        <v>0</v>
      </c>
      <c r="Y3" s="69"/>
      <c r="Z3" s="69"/>
      <c r="AA3" s="30" t="b">
        <v>0</v>
      </c>
    </row>
    <row r="4">
      <c r="A4" s="30" t="s">
        <v>221</v>
      </c>
      <c r="B4" s="30" t="s">
        <v>222</v>
      </c>
      <c r="C4" s="30" t="s">
        <v>223</v>
      </c>
      <c r="D4" s="70">
        <v>1.566495929E9</v>
      </c>
      <c r="E4" s="70">
        <v>1.0</v>
      </c>
      <c r="F4" s="70">
        <v>2.0</v>
      </c>
      <c r="G4" s="30" t="s">
        <v>224</v>
      </c>
      <c r="H4" s="30" t="s">
        <v>210</v>
      </c>
      <c r="I4" s="30" t="s">
        <v>211</v>
      </c>
      <c r="J4" s="30" t="s">
        <v>225</v>
      </c>
      <c r="K4" s="30" t="s">
        <v>213</v>
      </c>
      <c r="L4" s="30" t="s">
        <v>213</v>
      </c>
      <c r="M4" s="30" t="s">
        <v>214</v>
      </c>
      <c r="N4" s="30" t="b">
        <v>1</v>
      </c>
      <c r="O4" s="30" t="s">
        <v>226</v>
      </c>
      <c r="P4" s="30" t="b">
        <v>0</v>
      </c>
      <c r="R4" s="30" t="b">
        <v>0</v>
      </c>
      <c r="S4" s="30" t="b">
        <v>0</v>
      </c>
      <c r="T4" s="69"/>
      <c r="X4" s="30" t="b">
        <v>0</v>
      </c>
      <c r="Y4" s="69"/>
      <c r="Z4" s="69"/>
      <c r="AA4" s="30" t="b">
        <v>0</v>
      </c>
    </row>
  </sheetData>
  <drawing r:id="rId1"/>
</worksheet>
</file>