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ăm" sheetId="1" r:id="rId4"/>
    <sheet state="visible" name="T3" sheetId="2" r:id="rId5"/>
    <sheet state="visible" name="Tháng 4" sheetId="3" r:id="rId6"/>
    <sheet state="visible" name="Tháng 5" sheetId="4" r:id="rId7"/>
    <sheet state="hidden" name="T4" sheetId="5" r:id="rId8"/>
    <sheet state="hidden" name="T5" sheetId="6" r:id="rId9"/>
    <sheet state="hidden" name="T6" sheetId="7" r:id="rId10"/>
    <sheet state="hidden" name="T7" sheetId="8" r:id="rId11"/>
    <sheet state="hidden" name="T8" sheetId="9" r:id="rId12"/>
    <sheet state="hidden" name="T9" sheetId="10" r:id="rId13"/>
    <sheet state="hidden" name="T10" sheetId="11" r:id="rId14"/>
    <sheet state="hidden" name="T11" sheetId="12" r:id="rId15"/>
    <sheet state="hidden" name="T12" sheetId="13" r:id="rId16"/>
  </sheets>
  <definedNames/>
  <calcPr/>
  <extLst>
    <ext uri="GoogleSheetsCustomDataVersion2">
      <go:sheetsCustomData xmlns:go="http://customooxmlschemas.google.com/" r:id="rId17" roundtripDataChecksum="xpCB++lm1shWzB5k45kNv/7QeUSSoK13L3TLdM6MPcw="/>
    </ext>
  </extLst>
</workbook>
</file>

<file path=xl/sharedStrings.xml><?xml version="1.0" encoding="utf-8"?>
<sst xmlns="http://schemas.openxmlformats.org/spreadsheetml/2006/main" count="1501" uniqueCount="318">
  <si>
    <t>Tháng</t>
  </si>
  <si>
    <t>Năm</t>
  </si>
  <si>
    <t>Số dư đầu kỳ</t>
  </si>
  <si>
    <t>Thu</t>
  </si>
  <si>
    <t>Chi</t>
  </si>
  <si>
    <t>Số dư cuối kỳ</t>
  </si>
  <si>
    <t>Lợi nhuận</t>
  </si>
  <si>
    <t>Tháng 1</t>
  </si>
  <si>
    <t>2026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</si>
  <si>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</si>
  <si>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</si>
  <si>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</si>
  <si>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</si>
  <si>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</si>
  <si>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</si>
  <si>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</si>
  <si>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</si>
  <si>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</si>
  <si>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</si>
  <si>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</si>
  <si>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I. Theo dõi khoản thu - chi (nhập mỗi ngày)</t>
  </si>
  <si>
    <t>II. Báo cáo kết quả hoạt động kinh doanh (30 hàng tháng)</t>
  </si>
  <si>
    <t>KHOẢN THU - CHI THÁNG T3/2026</t>
  </si>
  <si>
    <t>KHOẢN</t>
  </si>
  <si>
    <t>DIỄN GIẢI</t>
  </si>
  <si>
    <t xml:space="preserve"> Số tiền </t>
  </si>
  <si>
    <t>STT</t>
  </si>
  <si>
    <t>Ngày</t>
  </si>
  <si>
    <t>Số tiền</t>
  </si>
  <si>
    <t>Doanh thu</t>
  </si>
  <si>
    <t>THU</t>
  </si>
  <si>
    <t>CHI</t>
  </si>
  <si>
    <t>Doanh số (phí dịch vụ MKT)</t>
  </si>
  <si>
    <t xml:space="preserve">Khoản thu khác </t>
  </si>
  <si>
    <t>Các khoản giảm trừ DT (ưu đãi, …)</t>
  </si>
  <si>
    <t>Tuần</t>
  </si>
  <si>
    <t>Ngày dự kiến phát sinh</t>
  </si>
  <si>
    <t>Số tiền Khoản thu</t>
  </si>
  <si>
    <t>Số tiền Khoản chi</t>
  </si>
  <si>
    <t>Nội dung</t>
  </si>
  <si>
    <t>Lọc</t>
  </si>
  <si>
    <t>2 (9 - 15/03/26</t>
  </si>
  <si>
    <t>TT hợp đồng DVQC Phú Kháng Holdings</t>
  </si>
  <si>
    <t>2,11</t>
  </si>
  <si>
    <t>Đăng ký hóa đơn điện tử và chữ ký số</t>
  </si>
  <si>
    <t>Chi phí</t>
  </si>
  <si>
    <t>TT hợp đồng DVQC Treand Realty</t>
  </si>
  <si>
    <t>2,6</t>
  </si>
  <si>
    <t>Tiền nhà T3 và điện vp T2.26</t>
  </si>
  <si>
    <t>Giá vốn hàng bán</t>
  </si>
  <si>
    <t>TT hợp đồng DVQC BCONS đợt 1</t>
  </si>
  <si>
    <t>1,1</t>
  </si>
  <si>
    <t>TT hợp đồng DVQC Việt Á</t>
  </si>
  <si>
    <t xml:space="preserve">Chi phí Lương </t>
  </si>
  <si>
    <t>Chi phí quảng cáo trong tuần</t>
  </si>
  <si>
    <t>TT hợp đồng DVQC Thiên Phúc Group</t>
  </si>
  <si>
    <t>Chi phí TT MKT</t>
  </si>
  <si>
    <t>TT hợp đồng DVQC  Đất Phương Nam</t>
  </si>
  <si>
    <t>TT hợp đồng DVQC Phú Khang Holdings</t>
  </si>
  <si>
    <t>Chi phí tuyển dụng</t>
  </si>
  <si>
    <t>26,886,364</t>
  </si>
  <si>
    <t>Lương tháng 2.2026</t>
  </si>
  <si>
    <t>2,2</t>
  </si>
  <si>
    <t>Lương T2.2026</t>
  </si>
  <si>
    <t>Chi phí vận hành bán hàng</t>
  </si>
  <si>
    <t xml:space="preserve">TT HDDV Chị Phương Anh </t>
  </si>
  <si>
    <t>Tiền nhà</t>
  </si>
  <si>
    <t>2,3</t>
  </si>
  <si>
    <t>Mua gói sử dụng Landipage</t>
  </si>
  <si>
    <t>Chi phí vận hành khác (điện, nước, internet, điện thoại, văn phòng phẩm …)</t>
  </si>
  <si>
    <t xml:space="preserve">Nộp tiền thanh toán bất động sản.com </t>
  </si>
  <si>
    <t>Khoản vay</t>
  </si>
  <si>
    <t>Tổng số tiền Thu/Chi trong tuần</t>
  </si>
  <si>
    <t>TT hợp đồng DVQC Unireal</t>
  </si>
  <si>
    <t>BHXH</t>
  </si>
  <si>
    <t>3 ( 16-22/03/26)</t>
  </si>
  <si>
    <t xml:space="preserve">TT hơp đồng DVQC Đất Phương Nam </t>
  </si>
  <si>
    <t>Chi phí khác</t>
  </si>
  <si>
    <t>TT hợp đồng DVQC Đất Phương Nam</t>
  </si>
  <si>
    <t>Nâng cấp số lượng page được thêm vào Smax.ai</t>
  </si>
  <si>
    <t>Khoảng chi bán hàng khác (hoàn tiền,đặt chỗ)</t>
  </si>
  <si>
    <t xml:space="preserve">TT hơp đồng DVQC Mai Tuấn Kiệt </t>
  </si>
  <si>
    <t>Lợi nhuận (trước Thuế)</t>
  </si>
  <si>
    <t>Phí tạm ứng dịch vụ Media</t>
  </si>
  <si>
    <t>III. Báo cáo lưu chuyển tiền tệ ( 30 hàng tháng )</t>
  </si>
  <si>
    <t>Mua tên miền dragoneden-dpn.com</t>
  </si>
  <si>
    <t>A</t>
  </si>
  <si>
    <t>Số dư đầu kỳ (Tồn quỹ đầu kỳ)</t>
  </si>
  <si>
    <t>B</t>
  </si>
  <si>
    <t>Phát sinh tăng trong kỳ</t>
  </si>
  <si>
    <t>Doanh thu bán hàng thực thu</t>
  </si>
  <si>
    <t>Thu hồi công nợ</t>
  </si>
  <si>
    <t>Đi vay</t>
  </si>
  <si>
    <t>C</t>
  </si>
  <si>
    <t>Phát sinh giảm trong kỳ</t>
  </si>
  <si>
    <t xml:space="preserve"> </t>
  </si>
  <si>
    <t>Khoảng chi bán hàng chiết khấu , ưu đãi</t>
  </si>
  <si>
    <t>Khoảng chi bán hàng khác (hoàn đặt chỗ)</t>
  </si>
  <si>
    <t>D</t>
  </si>
  <si>
    <t>IV. Dự toán dòng tiền tháng mới ( ngày 1 hàng tháng)</t>
  </si>
  <si>
    <t xml:space="preserve"> Ngày </t>
  </si>
  <si>
    <t>KHOẢN THU - CHI THÁNG T4/2026</t>
  </si>
  <si>
    <t xml:space="preserve">Media+ quay Emeral Garden View+ quay chị
 Phương Anh+ quay The Win City+ Dragon Eden </t>
  </si>
  <si>
    <t xml:space="preserve">Dự án Elite Life </t>
  </si>
  <si>
    <t>TT hợp đồng DVQC Nextland</t>
  </si>
  <si>
    <t>Tiền nhà T4 và điện vp T3.26</t>
  </si>
  <si>
    <t xml:space="preserve"> TT hợp đồng DVQC Trend ( đợt 1)</t>
  </si>
  <si>
    <t>1,3</t>
  </si>
  <si>
    <t>TT hợp đồng DVQC Anh Kiệt</t>
  </si>
  <si>
    <t>TT hợp đồng DVQC Minh Long Investment</t>
  </si>
  <si>
    <t>Dự án CT04 ....</t>
  </si>
  <si>
    <t>1,2</t>
  </si>
  <si>
    <t>Mua đồ công ty - gửi hồ sơ đối tác</t>
  </si>
  <si>
    <t>TT hợp đồng DVQC LGL</t>
  </si>
  <si>
    <t>Lương T3.2026</t>
  </si>
  <si>
    <t>KHOẢN THU - CHI THÁNG T5/2026</t>
  </si>
  <si>
    <t>Tiền nhà T5 và điện vp T4.26</t>
  </si>
  <si>
    <t xml:space="preserve">Tiền Media và quay </t>
  </si>
  <si>
    <t>Lương T4.2026</t>
  </si>
  <si>
    <t>II. Báo cáo kết quả hoạt động kinh doanh (25 hàng tháng)</t>
  </si>
  <si>
    <t>KHOẢN THU - CHI THÁNG T4/2025</t>
  </si>
  <si>
    <t>Doanh thu bán hàng</t>
  </si>
  <si>
    <t xml:space="preserve">Khoản thu bán hàng khác </t>
  </si>
  <si>
    <t>2,7</t>
  </si>
  <si>
    <t>Màn hình máy tính MKT</t>
  </si>
  <si>
    <t>Chi phí vận hành văn phòng</t>
  </si>
  <si>
    <t>Lương tháng 3</t>
  </si>
  <si>
    <t>2,8</t>
  </si>
  <si>
    <t>Vay oto 7 chỗ VIB</t>
  </si>
  <si>
    <t>2,5</t>
  </si>
  <si>
    <t>Phí xe di chuyển dự án BD</t>
  </si>
  <si>
    <t>Thanh toán Lark Đợt 2</t>
  </si>
  <si>
    <t>III. Báo cáo lưu chuyển tiền tệ ( 25 hàng tháng )</t>
  </si>
  <si>
    <t>Doanh thu căn B2.0605 Lavida+ Đợt 2</t>
  </si>
  <si>
    <t>Doanh thu căn FA.06.09 Fiato Airport City Đợt 1</t>
  </si>
  <si>
    <t>Doanh thu căn B2.0605 Lavida+ Đợt 1</t>
  </si>
  <si>
    <t xml:space="preserve">Thưởng nóng căn B2.0605 Lavida+ </t>
  </si>
  <si>
    <t>Lương tháng 6.25</t>
  </si>
  <si>
    <t xml:space="preserve">Hoa hồng căn B2.0606 Lavida+ </t>
  </si>
  <si>
    <t>Hoa hồng căn FA.06.09 Fiato Airport City Đợt 1</t>
  </si>
  <si>
    <t>Phí thuê văn phòng T7.25</t>
  </si>
  <si>
    <t>Tiền điện văn phòng T6.25</t>
  </si>
  <si>
    <t>KHOẢN THU - CHI THÁNG T5/2025</t>
  </si>
  <si>
    <t>Lương tháng 4</t>
  </si>
  <si>
    <t>Cọc văn phòng 227A</t>
  </si>
  <si>
    <t>Tiền thuê vp tháng 5</t>
  </si>
  <si>
    <t>KHOẢN THU - CHI THÁNG T6/2025</t>
  </si>
  <si>
    <t>Tiền xe dịch vụ HCM - ĐN</t>
  </si>
  <si>
    <t>Lương tháng 5</t>
  </si>
  <si>
    <t>Tiền thuê VP tháng 6, điện tháng 5</t>
  </si>
  <si>
    <t>Thưởng nóng  Lavida B2.0605</t>
  </si>
  <si>
    <t>CK Giang</t>
  </si>
  <si>
    <t>Đăng ký đổi địa chỉ GPKD</t>
  </si>
  <si>
    <t>Tạm ứng lương anh Kiên</t>
  </si>
  <si>
    <t>Phí MKT ads</t>
  </si>
  <si>
    <t>Thuê dịch vụ MKT ngoài</t>
  </si>
  <si>
    <t>Phí MKT tiktok ads</t>
  </si>
  <si>
    <t/>
  </si>
  <si>
    <t>Tạm ứng phí môi giới DA Lavida+</t>
  </si>
  <si>
    <t>KHOẢN THU - CHI THÁNG T7/2025</t>
  </si>
  <si>
    <t>Mua phần mềm MKT</t>
  </si>
  <si>
    <t>Hoa hồng căn B2.0605 Phạm Lê Nhật Vy Đợt 1</t>
  </si>
  <si>
    <t>Hoa hồng admin căn B2.0605 Đợt 1</t>
  </si>
  <si>
    <t>Phí môi giới căn B2.0605 Đợt 1</t>
  </si>
  <si>
    <t>Mua đồ công sở</t>
  </si>
  <si>
    <t>Lương tháng 6</t>
  </si>
  <si>
    <t>Vay oto 7 chỗ VIB gốc</t>
  </si>
  <si>
    <t>Vay oto 7 chỗ VIB lãi</t>
  </si>
  <si>
    <t>Hoa hồng căn B2.0605 Phạm Lê Nhật Vy Đợt 2</t>
  </si>
  <si>
    <t>Tiền thuê VP tháng 7, điện tháng 6</t>
  </si>
  <si>
    <t>Hoa hồng admin căn B2.0605 Đợt 2</t>
  </si>
  <si>
    <t>Hoàn thuế nội bộ tạm trích 2023-2024 - Nguyễn Hữu Nam</t>
  </si>
  <si>
    <t>Hoàn thuế nội bộ tạm trích 2023-2024 - Nguyễn Thành Long</t>
  </si>
  <si>
    <t>Hoàn thuế nội bộ tạm trích 2023-2024 - Phạm Phương Phương</t>
  </si>
  <si>
    <t>Hoàn thuế nội bộ tạm trích 2023-2024 - Lê Nguyễn Anh Thư</t>
  </si>
  <si>
    <t>Cọc 1 tháng thuê vp 227A XVNT</t>
  </si>
  <si>
    <t xml:space="preserve">VAREAL THANH TOAN PHI MOI GIOI
THANG 05.2025 GD1.2025 DU AN
LAVIDA+ HOA DON SO 8 CHO CONG
TY LONG HOANG </t>
  </si>
  <si>
    <t>CONG TY CO PHAN DAU TU CONG
NGHE BAT DONG SAN DATA LOCA-GD
627249-2025-07-08T14:37:12-970407-
/CTR/DATA LOCA THANH TOAN TIEN
PHI DU AN FIATO AIRPORT THEO HOA
DONSO 9/MAC/EAA4BC0000004C12</t>
  </si>
  <si>
    <t>SGP TT PHI GIOI THIEU DA FIATO
AIRPORT CITY, HOP DONG
04/2025/HDGTSP/SGP-LHI_HD 10</t>
  </si>
  <si>
    <t>CT CP DV BAT DONG SAN DANH KHOIGD 787362-2025-07-25T17:12:12-
970407-/CTR/CTY CP DV BDS DANH
KHOI THANH LY TIEN DAT MUA DU AN
FIATO</t>
  </si>
  <si>
    <t>Nộp thuế</t>
  </si>
  <si>
    <t>KHOẢN THU - CHI THÁNG T8/2025</t>
  </si>
  <si>
    <t>Lương tháng 7</t>
  </si>
  <si>
    <t>Tiền thuê VP tháng 8</t>
  </si>
  <si>
    <t>Tiền thuê VP tháng 8 VAT</t>
  </si>
  <si>
    <t>Tiền điện tháng 7</t>
  </si>
  <si>
    <t>Tiền điện tháng 7 VAT</t>
  </si>
  <si>
    <t>Phí vận hành văn phòng</t>
  </si>
  <si>
    <t>Hoàn thuế nội bộ tạm trích T4- 5.2025- Hà Văn giang</t>
  </si>
  <si>
    <t>Tiền xe dịch vụ HCM - BT</t>
  </si>
  <si>
    <t>Hoa hồng admin căn FA.06.09 Đợt 1</t>
  </si>
  <si>
    <t>Hoa hồng căn FA.06.09 Phạm Lê Nhật Vy Đợt 1</t>
  </si>
  <si>
    <t>Hoa hồng admin căn FA.06.08 Đợt 1 - Sàn PKH</t>
  </si>
  <si>
    <t>Hoa hồng admin căn FC.3B.14 Đợt 1  - Sàn PKH</t>
  </si>
  <si>
    <t>Hoa hồng admin căn FB.05.01 Đợt 1 - Sàn PKH</t>
  </si>
  <si>
    <t xml:space="preserve">Doanh thu từ CĐT FA.06.09 Đợt 1 </t>
  </si>
  <si>
    <t>Doanh thu từ CĐT FA.06.09 Đợt 1 - VAT</t>
  </si>
  <si>
    <t>Chi phí môi giới FB.05.01 Đợt 1 - Sàn PKH</t>
  </si>
  <si>
    <t>Chi phí môi giới FB.05.01 Đợt 1 - Sàn PKH VAT</t>
  </si>
  <si>
    <t>Chi phí môi giới FA.06.08 &amp; FC.3B.14 Đợt 1 - Sàn PKH</t>
  </si>
  <si>
    <t>Chi phí môi giới FA.06.08 &amp; FC.3B.14 Đợt 1 - Sàn PKH VAT</t>
  </si>
  <si>
    <t>Gói đăng tin TOP CV</t>
  </si>
  <si>
    <t>Gói đăng tin TOP CV VAT</t>
  </si>
  <si>
    <t>CTY TNHH LONG HOANG
INVESTMENT HOAN DAT CHO KH WU
SU JUNG DA FIATO AIRPORT CITY</t>
  </si>
  <si>
    <t>KHOẢN THU - CHI THÁNG T9/2025</t>
  </si>
  <si>
    <t>Tiền thuê VP tháng 9</t>
  </si>
  <si>
    <t>Tiền thuê VP tháng 9 VAT</t>
  </si>
  <si>
    <t>Tiền điện tháng 8</t>
  </si>
  <si>
    <t>Tiền điện tháng 8 VAT</t>
  </si>
  <si>
    <t>Lương tháng 8</t>
  </si>
  <si>
    <t>Thuê diễn viên quay video</t>
  </si>
  <si>
    <t>Thuê thiếp bị quay</t>
  </si>
  <si>
    <t>Chi BHXH tháng 7-9 của NV</t>
  </si>
  <si>
    <t>Chi BHXH tháng 7-9 công ty</t>
  </si>
  <si>
    <t>Tạm ứng phí tuyển dụng</t>
  </si>
  <si>
    <t>Chuyen tien thanh toan dich vu theo hoa
don so 12 ngay 24-09-2025-GD-243990-
240925</t>
  </si>
  <si>
    <t>khoản vay oto T9.25</t>
  </si>
  <si>
    <t xml:space="preserve">Rút tiền hoàn trả </t>
  </si>
  <si>
    <t>Lương tháng 9</t>
  </si>
  <si>
    <t>Tiền thuê VP tháng 10</t>
  </si>
  <si>
    <t>Thanh toán khoản vay VIB Tháng 10</t>
  </si>
  <si>
    <t>BHXH tháng 10</t>
  </si>
  <si>
    <t>KHOẢN THU - CHI THÁNG T10/2025</t>
  </si>
  <si>
    <t>1</t>
  </si>
  <si>
    <t>1.1</t>
  </si>
  <si>
    <t>1.2</t>
  </si>
  <si>
    <t>1.3</t>
  </si>
  <si>
    <t>Phí thuê vp, điện tháng 10.25</t>
  </si>
  <si>
    <t>2</t>
  </si>
  <si>
    <t>Khoản vay oto 7 chỗ T10.25</t>
  </si>
  <si>
    <t>2.1</t>
  </si>
  <si>
    <t>2.2</t>
  </si>
  <si>
    <t>2,4</t>
  </si>
  <si>
    <t xml:space="preserve">Chi phí tuyển dụng </t>
  </si>
  <si>
    <t>2.3</t>
  </si>
  <si>
    <t xml:space="preserve">Lương tháng 9.25 Đợt 1 </t>
  </si>
  <si>
    <t>2.4</t>
  </si>
  <si>
    <t>Lương tháng 9.25 Đợt 2</t>
  </si>
  <si>
    <t>2.5</t>
  </si>
  <si>
    <t>Làm video dự án A&amp;T</t>
  </si>
  <si>
    <t>2.6</t>
  </si>
  <si>
    <t>Thanh toán quảng cáo facebook</t>
  </si>
  <si>
    <t>2.7</t>
  </si>
  <si>
    <t>2.8</t>
  </si>
  <si>
    <t>Tạm ứng lương Giang T10.25</t>
  </si>
  <si>
    <t>2.9</t>
  </si>
  <si>
    <t xml:space="preserve">Làm video </t>
  </si>
  <si>
    <t>2.11</t>
  </si>
  <si>
    <t>2.12</t>
  </si>
  <si>
    <t>3</t>
  </si>
  <si>
    <t>Phí dịch vụ MKT DA A&amp;T Đợt 2</t>
  </si>
  <si>
    <t>Phí dịch vụ MKT DA Charm Đợt 2</t>
  </si>
  <si>
    <t>Phí dịch vụ MKT DA A&amp;T Đợt 1</t>
  </si>
  <si>
    <t>Phí dịch vụ MKT DA Charm Đợt 1</t>
  </si>
  <si>
    <t>Phí dịch vụ MKT DA Gia Khải Đợt 1</t>
  </si>
  <si>
    <t>Phí dịch vụ MKT sàn PKH</t>
  </si>
  <si>
    <t>Phí dịch vụ MKTchị Hường - Maison Grand</t>
  </si>
  <si>
    <t>Phí dịch vụ MKT DA Gia Khải Đợt 2</t>
  </si>
  <si>
    <t>Phí dịch vụ MKT DA A&amp;T Đợt 3</t>
  </si>
  <si>
    <t>Phí dịch vụ MKT DA Charm Đợt 3</t>
  </si>
  <si>
    <t>Lương tháng 10.25</t>
  </si>
  <si>
    <t>BHXH T10.25</t>
  </si>
  <si>
    <t>Thuê freelancer MKT</t>
  </si>
  <si>
    <t>Phí thuê vp, điện tháng 11.25</t>
  </si>
  <si>
    <t>Khoản vay oto 7 chỗ T11.25</t>
  </si>
  <si>
    <t>KHOẢN THU - CHI THÁNG T11/2025</t>
  </si>
  <si>
    <t>IV. Dự toán thu chi theo tuần:</t>
  </si>
  <si>
    <t>Tổng</t>
  </si>
  <si>
    <t>1 (3-9/11/25)</t>
  </si>
  <si>
    <t>Sửa xe 7 chỗ</t>
  </si>
  <si>
    <t>Lương T10</t>
  </si>
  <si>
    <t>Thuê vp T11</t>
  </si>
  <si>
    <t>Khoản vay oto T11</t>
  </si>
  <si>
    <t>Phí dịch vụ MKT chị Hường - The Emerald Garden View</t>
  </si>
  <si>
    <t>Phí dịch vụ MKT ĐPN - Aspira</t>
  </si>
  <si>
    <t>2 (10-16/11/25)</t>
  </si>
  <si>
    <t>Phí dịch vụ MKT anh Duy - Aspira</t>
  </si>
  <si>
    <t>Lương tháng 10.25 Đợt 2</t>
  </si>
  <si>
    <t>3 (17-23/11/25)</t>
  </si>
  <si>
    <t>Lương Tháng 10 Lần 2</t>
  </si>
  <si>
    <t>4 (24-30/11/25)</t>
  </si>
  <si>
    <t>Hoàn tiền DV FB GPT Land</t>
  </si>
  <si>
    <t>BHXH T11.25</t>
  </si>
  <si>
    <t>Phí dịch vụ MKT DA T&amp;T  - Việt Á</t>
  </si>
  <si>
    <t>Lương tháng 11.25</t>
  </si>
  <si>
    <t>BHXH T10+11.25</t>
  </si>
  <si>
    <t>Phí thuê vp, điện tháng 12.25</t>
  </si>
  <si>
    <t>Khoản vay oto 7 chỗ T12.25</t>
  </si>
  <si>
    <t>Phí dịch vụ MKT (~80%)</t>
  </si>
  <si>
    <t>KHOẢN THU - CHI THÁNG T12/2025</t>
  </si>
  <si>
    <t>2 (8-14/12/25)</t>
  </si>
  <si>
    <t>Tạm ứng phí dịch vụ Media - NV Giang T11</t>
  </si>
  <si>
    <t>Khoản vay oto T12.25</t>
  </si>
  <si>
    <t>Tiền thuê vp T12.25</t>
  </si>
  <si>
    <t xml:space="preserve">Phí dịch vụ MKT DA Sunshine </t>
  </si>
  <si>
    <t>Lương tháng 12.25</t>
  </si>
  <si>
    <t>BHXH T10-11.25</t>
  </si>
  <si>
    <t>Phí vận hành công ty</t>
  </si>
  <si>
    <t>Phí dịch vụ MKT Da Vin Cần Giờ</t>
  </si>
  <si>
    <t>Phí thuê DV MKt - Nv San</t>
  </si>
  <si>
    <t>Ngân sách chạy  ads Tuần 1</t>
  </si>
  <si>
    <t>2,9</t>
  </si>
  <si>
    <t>BHXH T10-12.25</t>
  </si>
  <si>
    <t>Hoàn tiền chạy ads GPTLand</t>
  </si>
  <si>
    <t>Tạm ứng phí dịch vụ Media - NV Giang T12</t>
  </si>
  <si>
    <t>3 (15-21/12/25)</t>
  </si>
  <si>
    <t>BHXH T10-11-12.25</t>
  </si>
  <si>
    <t>Phí dịch vụ MKT Da Ava Center</t>
  </si>
  <si>
    <t>Tiền CTV Chị San</t>
  </si>
  <si>
    <t>Ngân sách chạy  ads Tuần 3</t>
  </si>
  <si>
    <t>Phí dịch vụ MKT Da T&amp;T (Việt Á)</t>
  </si>
  <si>
    <t>4 (22-28/12/25)</t>
  </si>
  <si>
    <t>Phí dịch vụ MKT DA Dragon Eden LGL</t>
  </si>
  <si>
    <t>Phí dịch vụ MKT DA Ava Center chị Trang</t>
  </si>
  <si>
    <t>Phí dịch vụ MKT DA T&amp;T Việt Á</t>
  </si>
  <si>
    <t>Phí dịch vụ MKT DA Sunshine  Việt Á</t>
  </si>
  <si>
    <t>Phí dịch vụ MKT DA T&amp;T Anh Kiệt</t>
  </si>
  <si>
    <t>Hoàn tiền HĐ HV GPT 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</si>
</sst>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₫&quot;#,##0"/>
    <numFmt numFmtId="165" formatCode="dd/mm/yy"/>
    <numFmt numFmtId="166" formatCode="#,##0\ [$đ-42A]"/>
    <numFmt numFmtId="167" formatCode="d/m"/>
    <numFmt numFmtId="168" formatCode="#,##0;(#,##0)"/>
  </numFmts>
  <fonts count="19">
    <font>
      <sz val="10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FF0000"/>
      <name val="Calibri"/>
    </font>
    <font/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EA4335"/>
      <name val="Calibri"/>
    </font>
    <font>
      <b/>
      <color theme="1"/>
      <name val="Calibri"/>
    </font>
    <font>
      <color theme="1"/>
      <name val="Calibri"/>
    </font>
    <font>
      <sz val="12.0"/>
      <color theme="1"/>
      <name val="Times New Roman"/>
    </font>
    <font>
      <b/>
      <sz val="11.0"/>
      <color theme="1"/>
      <name val="Times New Roman"/>
    </font>
    <font>
      <b/>
      <color rgb="FF0000FF"/>
      <name val="Calibri"/>
    </font>
    <font>
      <sz val="10.0"/>
      <color rgb="FF000000"/>
      <name val="Calibri"/>
    </font>
    <font>
      <sz val="12.0"/>
      <color rgb="FF000000"/>
      <name val="Times New Roman"/>
    </font>
    <font>
      <b/>
      <sz val="12.0"/>
      <color rgb="FFF54A45"/>
      <name val="Calibri"/>
    </font>
    <font>
      <color theme="1"/>
      <name val="Arial"/>
    </font>
    <font>
      <sz val="11.0"/>
      <color theme="1"/>
      <name val="Calibri"/>
    </font>
    <font>
      <u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1F2329"/>
      </left>
      <right style="thin">
        <color rgb="FF1F2329"/>
      </right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top style="thin">
        <color rgb="FF1F2329"/>
      </top>
      <bottom style="thin">
        <color rgb="FF1F2329"/>
      </bottom>
    </border>
    <border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top style="thin">
        <color rgb="FF1F2329"/>
      </top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</border>
    <border>
      <left style="thin">
        <color rgb="FF1F2329"/>
      </left>
    </border>
    <border>
      <left style="thin">
        <color rgb="FF1F2329"/>
      </left>
      <bottom style="thin">
        <color rgb="FF1F232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1F2329"/>
      </top>
      <bottom style="thin">
        <color rgb="FF1F2329"/>
      </bottom>
    </border>
    <border>
      <right style="thin">
        <color rgb="FF1F2329"/>
      </right>
      <top style="thin">
        <color rgb="FF1F2329"/>
      </top>
    </border>
    <border>
      <right style="thin">
        <color rgb="FF1F2329"/>
      </right>
      <bottom style="thin">
        <color rgb="FF1F2329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2" numFmtId="49" xfId="0" applyAlignment="1" applyBorder="1" applyFont="1" applyNumberFormat="1">
      <alignment readingOrder="0" vertical="center"/>
    </xf>
    <xf borderId="0" fillId="0" fontId="1" numFmtId="0" xfId="0" applyAlignment="1" applyFont="1">
      <alignment vertical="center"/>
    </xf>
    <xf borderId="0" fillId="0" fontId="2" numFmtId="49" xfId="0" applyAlignment="1" applyFont="1" applyNumberFormat="1">
      <alignment vertical="center"/>
    </xf>
    <xf borderId="0" fillId="0" fontId="3" numFmtId="0" xfId="0" applyAlignment="1" applyFont="1">
      <alignment shrinkToFit="0" vertical="center" wrapText="1"/>
    </xf>
    <xf borderId="2" fillId="0" fontId="4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shrinkToFit="0" vertical="center" wrapText="1"/>
    </xf>
    <xf borderId="10" fillId="0" fontId="6" numFmtId="3" xfId="0" applyAlignment="1" applyBorder="1" applyFont="1" applyNumberFormat="1">
      <alignment shrinkToFit="0" vertical="center" wrapText="1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0" fillId="0" fontId="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vertical="center"/>
    </xf>
    <xf borderId="10" fillId="0" fontId="7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vertical="center"/>
    </xf>
    <xf borderId="8" fillId="0" fontId="5" numFmtId="0" xfId="0" applyAlignment="1" applyBorder="1" applyFont="1">
      <alignment shrinkToFit="0" vertical="center" wrapText="1"/>
    </xf>
    <xf borderId="1" fillId="2" fontId="8" numFmtId="0" xfId="0" applyAlignment="1" applyBorder="1" applyFill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49" xfId="0" applyAlignment="1" applyFont="1" applyNumberFormat="1">
      <alignment horizontal="left" shrinkToFit="0" vertical="center" wrapText="1"/>
    </xf>
    <xf borderId="0" fillId="0" fontId="6" numFmtId="3" xfId="0" applyAlignment="1" applyFont="1" applyNumberFormat="1">
      <alignment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right" readingOrder="0" vertical="center"/>
    </xf>
    <xf borderId="1" fillId="0" fontId="9" numFmtId="3" xfId="0" applyAlignment="1" applyBorder="1" applyFont="1" applyNumberFormat="1">
      <alignment readingOrder="0" vertical="center"/>
    </xf>
    <xf borderId="1" fillId="0" fontId="9" numFmtId="3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readingOrder="0" vertical="center"/>
    </xf>
    <xf borderId="10" fillId="0" fontId="5" numFmtId="0" xfId="0" applyAlignment="1" applyBorder="1" applyFont="1">
      <alignment horizontal="center" shrinkToFit="0" vertical="center" wrapText="1"/>
    </xf>
    <xf borderId="1" fillId="0" fontId="10" numFmtId="167" xfId="0" applyAlignment="1" applyBorder="1" applyFont="1" applyNumberFormat="1">
      <alignment horizontal="center" readingOrder="0" vertical="center"/>
    </xf>
    <xf borderId="1" fillId="3" fontId="10" numFmtId="166" xfId="0" applyAlignment="1" applyBorder="1" applyFill="1" applyFont="1" applyNumberFormat="1">
      <alignment horizontal="right" readingOrder="0" vertical="bottom"/>
    </xf>
    <xf borderId="1" fillId="0" fontId="11" numFmtId="49" xfId="0" applyAlignment="1" applyBorder="1" applyFont="1" applyNumberFormat="1">
      <alignment horizontal="center" readingOrder="0" vertical="center"/>
    </xf>
    <xf borderId="1" fillId="0" fontId="10" numFmtId="49" xfId="0" applyAlignment="1" applyBorder="1" applyFont="1" applyNumberFormat="1">
      <alignment readingOrder="0" vertical="center"/>
    </xf>
    <xf borderId="10" fillId="0" fontId="6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vertical="center"/>
    </xf>
    <xf borderId="16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5" fillId="0" fontId="6" numFmtId="3" xfId="0" applyAlignment="1" applyBorder="1" applyFont="1" applyNumberFormat="1">
      <alignment shrinkToFit="0" vertical="center" wrapText="1"/>
    </xf>
    <xf borderId="1" fillId="0" fontId="9" numFmtId="3" xfId="0" applyAlignment="1" applyBorder="1" applyFont="1" applyNumberFormat="1">
      <alignment horizontal="right" readingOrder="0" vertical="center"/>
    </xf>
    <xf borderId="1" fillId="0" fontId="9" numFmtId="3" xfId="0" applyAlignment="1" applyBorder="1" applyFont="1" applyNumberFormat="1">
      <alignment vertical="center"/>
    </xf>
    <xf borderId="17" fillId="0" fontId="11" numFmtId="49" xfId="0" applyAlignment="1" applyBorder="1" applyFont="1" applyNumberFormat="1">
      <alignment horizontal="center" readingOrder="0" vertical="center"/>
    </xf>
    <xf borderId="17" fillId="0" fontId="10" numFmtId="49" xfId="0" applyAlignment="1" applyBorder="1" applyFont="1" applyNumberFormat="1">
      <alignment readingOrder="0" vertical="center"/>
    </xf>
    <xf borderId="1" fillId="0" fontId="9" numFmtId="165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vertical="center"/>
    </xf>
    <xf borderId="18" fillId="0" fontId="12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" fillId="0" fontId="12" numFmtId="3" xfId="0" applyAlignment="1" applyBorder="1" applyFont="1" applyNumberFormat="1">
      <alignment horizontal="right" vertical="center"/>
    </xf>
    <xf borderId="14" fillId="0" fontId="9" numFmtId="0" xfId="0" applyAlignment="1" applyBorder="1" applyFont="1">
      <alignment readingOrder="0" vertical="center"/>
    </xf>
    <xf borderId="1" fillId="0" fontId="9" numFmtId="165" xfId="0" applyAlignment="1" applyBorder="1" applyFont="1" applyNumberFormat="1">
      <alignment readingOrder="0" vertical="center"/>
    </xf>
    <xf borderId="0" fillId="0" fontId="13" numFmtId="3" xfId="0" applyAlignment="1" applyFont="1" applyNumberFormat="1">
      <alignment readingOrder="0" vertical="center"/>
    </xf>
    <xf borderId="10" fillId="0" fontId="14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shrinkToFit="0" vertical="center" wrapText="1"/>
    </xf>
    <xf borderId="10" fillId="0" fontId="15" numFmtId="3" xfId="0" applyAlignment="1" applyBorder="1" applyFont="1" applyNumberFormat="1">
      <alignment shrinkToFit="0" vertical="center" wrapText="1"/>
    </xf>
    <xf borderId="4" fillId="0" fontId="14" numFmtId="0" xfId="0" applyAlignment="1" applyBorder="1" applyFont="1">
      <alignment readingOrder="0" shrinkToFit="0" vertical="center" wrapText="1"/>
    </xf>
    <xf borderId="1" fillId="0" fontId="9" numFmtId="165" xfId="0" applyAlignment="1" applyBorder="1" applyFont="1" applyNumberFormat="1">
      <alignment vertical="center"/>
    </xf>
    <xf borderId="1" fillId="0" fontId="10" numFmtId="167" xfId="0" applyAlignment="1" applyBorder="1" applyFont="1" applyNumberFormat="1">
      <alignment horizontal="center" vertical="center"/>
    </xf>
    <xf borderId="1" fillId="0" fontId="11" numFmtId="49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right" shrinkToFit="0" vertical="center" wrapText="1"/>
    </xf>
    <xf borderId="1" fillId="0" fontId="10" numFmtId="49" xfId="0" applyAlignment="1" applyBorder="1" applyFont="1" applyNumberFormat="1">
      <alignment vertical="center"/>
    </xf>
    <xf borderId="4" fillId="0" fontId="6" numFmtId="3" xfId="0" applyAlignment="1" applyBorder="1" applyFont="1" applyNumberFormat="1">
      <alignment horizontal="right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14" fillId="0" fontId="9" numFmtId="0" xfId="0" applyAlignment="1" applyBorder="1" applyFont="1">
      <alignment vertical="center"/>
    </xf>
    <xf borderId="4" fillId="0" fontId="5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shrinkToFit="0" vertical="center" wrapText="1"/>
    </xf>
    <xf borderId="19" fillId="0" fontId="4" numFmtId="0" xfId="0" applyAlignment="1" applyBorder="1" applyFont="1">
      <alignment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165" xfId="0" applyAlignment="1" applyBorder="1" applyFont="1" applyNumberFormat="1">
      <alignment shrinkToFit="0" vertical="center" wrapText="1"/>
    </xf>
    <xf borderId="4" fillId="0" fontId="6" numFmtId="3" xfId="0" applyAlignment="1" applyBorder="1" applyFont="1" applyNumberForma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1" fillId="3" fontId="10" numFmtId="166" xfId="0" applyAlignment="1" applyBorder="1" applyFont="1" applyNumberFormat="1">
      <alignment horizontal="right" readingOrder="0" vertical="bottom"/>
    </xf>
    <xf borderId="1" fillId="0" fontId="16" numFmtId="49" xfId="0" applyAlignment="1" applyBorder="1" applyFont="1" applyNumberFormat="1">
      <alignment vertical="bottom"/>
    </xf>
    <xf borderId="0" fillId="0" fontId="16" numFmtId="0" xfId="0" applyAlignment="1" applyFont="1">
      <alignment vertical="bottom"/>
    </xf>
    <xf borderId="1" fillId="0" fontId="16" numFmtId="0" xfId="0" applyAlignment="1" applyBorder="1" applyFont="1">
      <alignment vertical="bottom"/>
    </xf>
    <xf borderId="3" fillId="0" fontId="3" numFmtId="0" xfId="0" applyAlignment="1" applyBorder="1" applyFont="1">
      <alignment shrinkToFit="0" vertical="center" wrapText="1"/>
    </xf>
    <xf borderId="1" fillId="0" fontId="17" numFmtId="166" xfId="0" applyAlignment="1" applyBorder="1" applyFont="1" applyNumberFormat="1">
      <alignment vertical="center"/>
    </xf>
    <xf borderId="1" fillId="3" fontId="10" numFmtId="166" xfId="0" applyAlignment="1" applyBorder="1" applyFont="1" applyNumberFormat="1">
      <alignment horizontal="right" vertical="bottom"/>
    </xf>
    <xf borderId="1" fillId="0" fontId="10" numFmtId="166" xfId="0" applyAlignment="1" applyBorder="1" applyFont="1" applyNumberFormat="1">
      <alignment horizontal="right" vertical="center"/>
    </xf>
    <xf borderId="17" fillId="0" fontId="11" numFmtId="49" xfId="0" applyAlignment="1" applyBorder="1" applyFont="1" applyNumberFormat="1">
      <alignment horizontal="center" vertical="center"/>
    </xf>
    <xf borderId="17" fillId="0" fontId="10" numFmtId="49" xfId="0" applyAlignment="1" applyBorder="1" applyFont="1" applyNumberFormat="1">
      <alignment vertical="center"/>
    </xf>
    <xf borderId="10" fillId="0" fontId="5" numFmtId="3" xfId="0" applyAlignment="1" applyBorder="1" applyFont="1" applyNumberFormat="1">
      <alignment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right" shrinkToFit="0" vertical="center" wrapText="1"/>
    </xf>
    <xf borderId="5" fillId="0" fontId="5" numFmtId="3" xfId="0" applyAlignment="1" applyBorder="1" applyFont="1" applyNumberForma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10" fillId="0" fontId="18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5" numFmtId="3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3" fillId="0" fontId="3" numFmtId="49" xfId="0" applyAlignment="1" applyBorder="1" applyFont="1" applyNumberFormat="1">
      <alignment shrinkToFit="0" vertical="center" wrapText="1"/>
    </xf>
    <xf borderId="10" fillId="0" fontId="6" numFmtId="49" xfId="0" applyAlignment="1" applyBorder="1" applyFont="1" applyNumberFormat="1">
      <alignment shrinkToFit="0" vertical="center" wrapText="1"/>
    </xf>
    <xf borderId="9" fillId="0" fontId="6" numFmtId="49" xfId="0" applyAlignment="1" applyBorder="1" applyFont="1" applyNumberFormat="1">
      <alignment horizontal="center" shrinkToFit="0" vertical="center" wrapText="1"/>
    </xf>
    <xf borderId="10" fillId="0" fontId="6" numFmtId="49" xfId="0" applyAlignment="1" applyBorder="1" applyFont="1" applyNumberFormat="1">
      <alignment horizontal="left" shrinkToFit="0" vertical="center" wrapText="1"/>
    </xf>
    <xf borderId="10" fillId="0" fontId="6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4" fillId="0" fontId="6" numFmtId="49" xfId="0" applyAlignment="1" applyBorder="1" applyFont="1" applyNumberFormat="1">
      <alignment horizontal="center" shrinkToFit="0" vertical="center" wrapText="1"/>
    </xf>
    <xf borderId="3" fillId="0" fontId="6" numFmtId="49" xfId="0" applyAlignment="1" applyBorder="1" applyFont="1" applyNumberFormat="1">
      <alignment horizontal="center" shrinkToFit="0" vertical="center" wrapText="1"/>
    </xf>
    <xf borderId="4" fillId="0" fontId="6" numFmtId="49" xfId="0" applyAlignment="1" applyBorder="1" applyFont="1" applyNumberFormat="1">
      <alignment horizontal="left" shrinkToFit="0" vertical="center" wrapText="1"/>
    </xf>
    <xf borderId="0" fillId="0" fontId="5" numFmtId="49" xfId="0" applyAlignment="1" applyFont="1" applyNumberFormat="1">
      <alignment shrinkToFit="0" vertical="center" wrapText="1"/>
    </xf>
    <xf borderId="4" fillId="0" fontId="5" numFmtId="49" xfId="0" applyAlignment="1" applyBorder="1" applyFont="1" applyNumberFormat="1">
      <alignment shrinkToFit="0" vertical="center" wrapText="1"/>
    </xf>
    <xf borderId="4" fillId="0" fontId="6" numFmtId="49" xfId="0" applyAlignment="1" applyBorder="1" applyFont="1" applyNumberFormat="1">
      <alignment shrinkToFit="0" vertical="center" wrapText="1"/>
    </xf>
    <xf borderId="7" fillId="0" fontId="3" numFmtId="49" xfId="0" applyAlignment="1" applyBorder="1" applyFont="1" applyNumberFormat="1">
      <alignment shrinkToFit="0" vertical="center" wrapText="1"/>
    </xf>
    <xf borderId="0" fillId="0" fontId="5" numFmtId="49" xfId="0" applyAlignment="1" applyFont="1" applyNumberFormat="1">
      <alignment vertical="center"/>
    </xf>
    <xf borderId="0" fillId="0" fontId="9" numFmtId="49" xfId="0" applyAlignment="1" applyFont="1" applyNumberFormat="1">
      <alignment vertical="center"/>
    </xf>
    <xf borderId="0" fillId="0" fontId="9" numFmtId="166" xfId="0" applyAlignment="1" applyFont="1" applyNumberFormat="1">
      <alignment vertical="center"/>
    </xf>
    <xf borderId="0" fillId="0" fontId="3" numFmtId="49" xfId="0" applyAlignment="1" applyFont="1" applyNumberFormat="1">
      <alignment shrinkToFit="0" vertical="center" wrapText="1"/>
    </xf>
    <xf borderId="1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6" fillId="0" fontId="6" numFmtId="49" xfId="0" applyAlignment="1" applyBorder="1" applyFont="1" applyNumberFormat="1">
      <alignment horizontal="left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" fillId="0" fontId="9" numFmtId="165" xfId="0" applyAlignment="1" applyBorder="1" applyFont="1" applyNumberFormat="1">
      <alignment vertical="center"/>
    </xf>
    <xf borderId="1" fillId="0" fontId="9" numFmtId="0" xfId="0" applyAlignment="1" applyBorder="1" applyFont="1">
      <alignment vertical="center"/>
    </xf>
    <xf borderId="1" fillId="0" fontId="9" numFmtId="3" xfId="0" applyAlignment="1" applyBorder="1" applyFont="1" applyNumberFormat="1">
      <alignment vertical="center"/>
    </xf>
    <xf borderId="7" fillId="0" fontId="5" numFmtId="3" xfId="0" applyAlignment="1" applyBorder="1" applyFont="1" applyNumberFormat="1">
      <alignment shrinkToFit="0" vertical="center" wrapText="1"/>
    </xf>
    <xf borderId="16" fillId="0" fontId="4" numFmtId="0" xfId="0" applyAlignment="1" applyBorder="1" applyFont="1">
      <alignment vertical="center"/>
    </xf>
    <xf borderId="18" fillId="0" fontId="12" numFmtId="0" xfId="0" applyAlignment="1" applyBorder="1" applyFont="1">
      <alignment vertical="center"/>
    </xf>
    <xf borderId="1" fillId="0" fontId="12" numFmtId="3" xfId="0" applyAlignment="1" applyBorder="1" applyFont="1" applyNumberFormat="1">
      <alignment vertical="center"/>
    </xf>
    <xf borderId="1" fillId="0" fontId="12" numFmtId="0" xfId="0" applyAlignment="1" applyBorder="1" applyFont="1">
      <alignment vertical="center"/>
    </xf>
    <xf borderId="20" fillId="0" fontId="5" numFmtId="0" xfId="0" applyAlignment="1" applyBorder="1" applyFont="1">
      <alignment shrinkToFit="0" vertical="center" wrapText="1"/>
    </xf>
    <xf borderId="1" fillId="0" fontId="6" numFmtId="49" xfId="0" applyAlignment="1" applyBorder="1" applyFont="1" applyNumberFormat="1">
      <alignment horizontal="left" shrinkToFit="0" vertical="center" wrapText="1"/>
    </xf>
    <xf borderId="21" fillId="0" fontId="5" numFmtId="0" xfId="0" applyAlignment="1" applyBorder="1" applyFont="1">
      <alignment shrinkToFit="0" vertical="center" wrapText="1"/>
    </xf>
    <xf borderId="1" fillId="0" fontId="9" numFmtId="168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6" fillId="0" fontId="5" numFmtId="3" xfId="0" applyAlignment="1" applyBorder="1" applyFont="1" applyNumberFormat="1">
      <alignment shrinkToFit="0" vertical="center" wrapText="1"/>
    </xf>
    <xf borderId="0" fillId="0" fontId="9" numFmtId="3" xfId="0" applyAlignment="1" applyFont="1" applyNumberFormat="1">
      <alignment vertical="center"/>
    </xf>
    <xf borderId="9" fillId="0" fontId="5" numFmtId="3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Theo dõi theo từng tháng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'Năm'!$D$1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'Năm'!$A$2:$A$13</c:f>
            </c:strRef>
          </c:cat>
          <c:val>
            <c:numRef>
              <c:f>'Năm'!$D$2:$D$13</c:f>
              <c:numCache/>
            </c:numRef>
          </c:val>
        </c:ser>
        <c:ser>
          <c:idx val="1"/>
          <c:order val="1"/>
          <c:tx>
            <c:strRef>
              <c:f>'Năm'!$E$1</c:f>
            </c:strRef>
          </c:tx>
          <c:cat>
            <c:strRef>
              <c:f>'Năm'!$A$2:$A$13</c:f>
            </c:strRef>
          </c:cat>
          <c:val>
            <c:numRef>
              <c:f>'Năm'!$E$2:$E$13</c:f>
              <c:numCache/>
            </c:numRef>
          </c:val>
        </c:ser>
        <c:ser>
          <c:idx val="2"/>
          <c:order val="2"/>
          <c:tx>
            <c:strRef>
              <c:f>'Năm'!$G$1</c:f>
            </c:strRef>
          </c:tx>
          <c:cat>
            <c:strRef>
              <c:f>'Năm'!$A$2:$A$13</c:f>
            </c:strRef>
          </c:cat>
          <c:val>
            <c:numRef>
              <c:f>'Năm'!$G$2:$G$13</c:f>
              <c:numCache/>
            </c:numRef>
          </c:val>
        </c:ser>
        <c:axId val="885764570"/>
        <c:axId val="710900432"/>
      </c:barChart>
      <c:catAx>
        <c:axId val="885764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>
                    <a:solidFill>
                      <a:srgbClr val="000000"/>
                    </a:solidFill>
                    <a:latin typeface="Arial"/>
                  </a:rPr>
                  <a:t>Năm 2026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710900432"/>
      </c:catAx>
      <c:valAx>
        <c:axId val="710900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đ-42A]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</a:p>
        </c:txPr>
        <c:crossAx val="88576457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</xdr:row>
      <xdr:rowOff>0</xdr:rowOff>
    </xdr:from>
    <xdr:ext cx="6162675" cy="3810000"/>
    <xdr:graphicFrame>
      <xdr:nvGraphicFramePr>
        <xdr:cNvPr id="181462465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bds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8.29"/>
    <col customWidth="1" min="2" max="2" width="15.14"/>
    <col customWidth="1" min="3" max="7" width="20.0"/>
  </cols>
  <sheetData>
    <row r="1" ht="25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5.5" customHeight="1">
      <c r="A2" s="5" t="s">
        <v>7</v>
      </c>
      <c r="B2" s="6" t="s">
        <v>8</v>
      </c>
      <c r="C2" s="5"/>
      <c r="D2" s="5"/>
      <c r="E2" s="5"/>
      <c r="F2" s="5"/>
      <c r="G2" s="5">
        <f t="shared" ref="G2:G13" si="1">D2-E2</f>
        <v>0</v>
      </c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5.5" customHeight="1">
      <c r="A3" s="5" t="s">
        <v>9</v>
      </c>
      <c r="B3" s="6" t="s">
        <v>8</v>
      </c>
      <c r="C3" s="5" t="str">
        <f t="shared" ref="C3:C13" si="2">F2</f>
        <v/>
      </c>
      <c r="D3" s="5"/>
      <c r="E3" s="5"/>
      <c r="F3" s="5"/>
      <c r="G3" s="5">
        <f t="shared" si="1"/>
        <v>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5.5" customHeight="1">
      <c r="A4" s="5" t="s">
        <v>10</v>
      </c>
      <c r="B4" s="6" t="s">
        <v>8</v>
      </c>
      <c r="C4" s="5" t="str">
        <f t="shared" si="2"/>
        <v/>
      </c>
      <c r="D4" s="5"/>
      <c r="E4" s="5"/>
      <c r="F4" s="5"/>
      <c r="G4" s="5">
        <f t="shared" si="1"/>
        <v>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5.5" customHeight="1">
      <c r="A5" s="5" t="s">
        <v>11</v>
      </c>
      <c r="B5" s="6" t="s">
        <v>8</v>
      </c>
      <c r="C5" s="5" t="str">
        <f t="shared" si="2"/>
        <v/>
      </c>
      <c r="D5" s="5"/>
      <c r="E5" s="5"/>
      <c r="F5" s="5"/>
      <c r="G5" s="5">
        <f t="shared" si="1"/>
        <v>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5.5" customHeight="1">
      <c r="A6" s="5" t="s">
        <v>12</v>
      </c>
      <c r="B6" s="6" t="s">
        <v>8</v>
      </c>
      <c r="C6" s="5" t="str">
        <f t="shared" si="2"/>
        <v/>
      </c>
      <c r="D6" s="5"/>
      <c r="E6" s="5"/>
      <c r="F6" s="5"/>
      <c r="G6" s="5">
        <f t="shared" si="1"/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5.5" customHeight="1">
      <c r="A7" s="5" t="s">
        <v>13</v>
      </c>
      <c r="B7" s="6" t="s">
        <v>8</v>
      </c>
      <c r="C7" s="5" t="str">
        <f t="shared" si="2"/>
        <v/>
      </c>
      <c r="D7" s="5"/>
      <c r="E7" s="5"/>
      <c r="F7" s="5"/>
      <c r="G7" s="5">
        <f t="shared" si="1"/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5.5" customHeight="1">
      <c r="A8" s="5" t="s">
        <v>14</v>
      </c>
      <c r="B8" s="6" t="s">
        <v>8</v>
      </c>
      <c r="C8" s="5" t="str">
        <f t="shared" si="2"/>
        <v/>
      </c>
      <c r="D8" s="5"/>
      <c r="E8" s="5"/>
      <c r="F8" s="5"/>
      <c r="G8" s="5">
        <f t="shared" si="1"/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5.5" customHeight="1">
      <c r="A9" s="5" t="s">
        <v>15</v>
      </c>
      <c r="B9" s="6" t="s">
        <v>8</v>
      </c>
      <c r="C9" s="5" t="str">
        <f t="shared" si="2"/>
        <v/>
      </c>
      <c r="D9" s="5"/>
      <c r="E9" s="5"/>
      <c r="F9" s="5"/>
      <c r="G9" s="5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5.5" customHeight="1">
      <c r="A10" s="5" t="s">
        <v>16</v>
      </c>
      <c r="B10" s="6" t="s">
        <v>8</v>
      </c>
      <c r="C10" s="5" t="str">
        <f t="shared" si="2"/>
        <v/>
      </c>
      <c r="D10" s="5"/>
      <c r="E10" s="5"/>
      <c r="F10" s="5"/>
      <c r="G10" s="5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5.5" customHeight="1">
      <c r="A11" s="5" t="s">
        <v>17</v>
      </c>
      <c r="B11" s="6" t="s">
        <v>8</v>
      </c>
      <c r="C11" s="5" t="str">
        <f t="shared" si="2"/>
        <v/>
      </c>
      <c r="D11" s="5"/>
      <c r="E11" s="5"/>
      <c r="F11" s="5"/>
      <c r="G11" s="5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5.5" customHeight="1">
      <c r="A12" s="5" t="s">
        <v>18</v>
      </c>
      <c r="B12" s="6" t="s">
        <v>8</v>
      </c>
      <c r="C12" s="5" t="str">
        <f t="shared" si="2"/>
        <v/>
      </c>
      <c r="D12" s="5"/>
      <c r="E12" s="5"/>
      <c r="F12" s="5"/>
      <c r="G12" s="5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5.5" customHeight="1">
      <c r="A13" s="5" t="s">
        <v>19</v>
      </c>
      <c r="B13" s="6" t="s">
        <v>8</v>
      </c>
      <c r="C13" s="5" t="str">
        <f t="shared" si="2"/>
        <v/>
      </c>
      <c r="D13" s="5"/>
      <c r="E13" s="5"/>
      <c r="F13" s="5"/>
      <c r="G13" s="5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8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8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8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8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8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8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8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8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8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8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8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8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8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8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8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8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8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8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8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8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8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8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8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8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8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8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8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8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8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8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8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8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8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8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8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8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8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8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8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8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8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8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8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8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8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8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8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8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8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8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8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8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8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8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8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8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8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8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8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8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8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8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8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8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8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8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8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8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8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8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8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8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8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8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8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8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8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8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8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8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8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8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8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8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8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8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8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8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8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8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8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8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8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8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8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8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8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8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8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8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8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8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8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8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8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8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8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8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8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8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8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8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8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8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8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8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8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8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8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8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8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8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8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8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8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8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8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8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8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8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8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8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8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8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8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8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8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8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8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8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8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8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8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8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8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8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8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8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8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8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8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8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8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8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8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8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8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8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8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8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8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8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8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8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8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8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8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8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8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8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8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8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8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8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8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8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8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8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8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8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8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8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8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8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8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8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8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8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8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8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8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8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8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8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8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8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8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8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8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8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8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8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8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8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8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8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8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8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8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8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8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8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8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8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8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8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8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8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8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8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8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8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8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8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8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8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8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8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8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8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8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8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8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8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8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8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8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8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8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8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8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8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8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8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8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8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8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8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8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8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8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8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8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8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8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8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8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8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8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8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8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8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8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8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8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8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8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8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8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8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8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8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8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8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8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8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8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8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8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8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8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8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8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8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8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8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8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8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8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8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8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8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8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8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8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8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8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8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8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8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8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8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8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8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8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8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8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8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8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8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8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8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8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8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8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8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8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8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8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8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8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8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8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8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8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8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8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8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8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8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8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8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8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8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8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8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8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8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8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8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8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8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8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8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8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8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8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8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8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8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8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8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8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8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8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8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8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8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8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8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8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8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8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8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8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8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8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8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8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8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8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8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8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8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8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8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8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8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8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8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8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8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8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8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8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8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8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8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8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8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8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8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8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8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8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8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8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8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8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8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8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8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8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8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8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8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8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8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8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8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8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8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8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8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8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8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8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8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8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8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8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8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8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8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8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8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8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8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8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8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8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8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8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8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8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8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8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8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8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8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8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8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8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8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8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8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8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8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8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8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8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8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8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8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8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8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8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8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8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8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8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8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8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8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8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8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8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8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8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8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8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8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8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8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8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8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8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8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8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8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8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8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8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8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8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8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8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8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8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8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8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8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8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8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8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8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8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8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8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8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8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8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8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8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8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8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8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8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8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8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8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8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8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8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8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8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8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8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8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8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8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8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8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8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8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8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8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8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8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8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8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8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8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8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8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8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8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8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8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8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8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8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8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8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8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8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8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8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8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8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8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8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8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8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8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8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8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8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8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8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8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8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8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8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8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8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8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8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8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8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8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8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8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8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8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8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8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8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8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8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8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8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8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8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8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8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8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8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8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8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8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8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8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8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8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8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8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8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8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8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8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8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8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8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8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8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8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8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8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8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8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8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8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8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8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8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8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8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8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8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8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8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8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8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8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8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8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8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8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8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8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8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8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8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8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8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8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8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8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8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8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8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8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8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8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8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8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8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8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8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8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8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8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8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8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8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8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8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8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8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8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8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8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8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8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8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8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8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8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8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8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8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8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8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8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8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8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8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8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8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8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8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8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8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8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8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8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8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8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8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8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8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8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8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8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8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8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8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8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8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8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8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8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8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8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8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8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8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8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8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8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8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8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8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8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8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8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8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8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8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8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8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8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8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8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8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8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8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8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8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8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8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8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8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8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8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8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8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8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8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8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8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8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8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8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8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8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8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8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8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8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8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8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8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8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8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8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8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8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8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8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8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8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8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8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8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8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8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8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8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8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8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8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8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8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8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8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8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8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8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8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8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8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8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8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8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8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8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8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8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8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8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8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8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8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8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8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8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8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8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8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8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8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8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8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8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8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8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8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8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8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8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8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8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8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8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8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8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8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8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8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8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8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8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8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8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8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8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8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8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8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8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8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8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8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8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8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8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8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8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8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8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8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8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8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8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8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8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8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8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8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8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8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8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8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8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8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8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8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8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8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8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8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8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8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8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8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8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8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8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8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8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8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8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8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8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8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8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8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8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8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8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8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8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8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8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8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8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8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8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8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8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8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8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8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8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8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8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8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8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8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8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8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8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8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8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8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8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8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8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8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8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8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8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8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8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8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8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8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8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8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8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8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8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8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8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8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8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dataValidations>
    <dataValidation type="list" allowBlank="1" showErrorMessage="1" sqref="B2:B13">
      <formula1>"2025,2026"</formula1>
    </dataValidation>
    <dataValidation type="list" allowBlank="1" showErrorMessage="1" sqref="A2:A13">
      <formula1>"Tháng 1,Tháng 10,Tháng 11,Tháng 12,Tháng 2,Tháng 3,Tháng 4,Tháng 5,Tháng 6,Tháng 7,Tháng 8,Tháng 9"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11" width="5.0"/>
    <col customWidth="1" min="12" max="12" width="14.0"/>
    <col customWidth="1" min="13" max="13" width="13.86"/>
    <col customWidth="1" min="14" max="15" width="14.0"/>
    <col customWidth="1" min="16" max="16" width="48.14"/>
    <col customWidth="1" min="17" max="26" width="14.0"/>
  </cols>
  <sheetData>
    <row r="1" ht="18.75" customHeight="1">
      <c r="A1" s="9" t="s">
        <v>20</v>
      </c>
      <c r="F1" s="10"/>
      <c r="G1" s="11"/>
      <c r="H1" s="12" t="s">
        <v>21</v>
      </c>
      <c r="I1" s="13"/>
      <c r="J1" s="14"/>
      <c r="K1" s="11"/>
    </row>
    <row r="2" ht="18.75" customHeight="1">
      <c r="A2" s="15" t="s">
        <v>22</v>
      </c>
      <c r="G2" s="11"/>
      <c r="H2" s="16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716802216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29" t="s">
        <v>32</v>
      </c>
      <c r="J4" s="25">
        <f>SUMIF($E$8:$E$54,1.1,$C$8:$C$45)</f>
        <v>716802216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29" t="s">
        <v>33</v>
      </c>
      <c r="J5" s="25">
        <f>SUMIF($E$8:$E$54,1.2,$C$8:$C$45)</f>
        <v>0</v>
      </c>
      <c r="K5" s="11"/>
    </row>
    <row r="6" ht="30.0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SUMIF($E$8:$E$54,1.3,$C$8:$C$45)</f>
        <v>0</v>
      </c>
      <c r="K6" s="11"/>
      <c r="L6" s="34" t="s">
        <v>35</v>
      </c>
      <c r="M6" s="35" t="s">
        <v>36</v>
      </c>
      <c r="N6" s="35" t="s">
        <v>37</v>
      </c>
      <c r="O6" s="35" t="s">
        <v>38</v>
      </c>
      <c r="P6" s="34" t="s">
        <v>39</v>
      </c>
    </row>
    <row r="7" ht="21.75" customHeight="1">
      <c r="A7" s="36"/>
      <c r="B7" s="37"/>
      <c r="C7" s="38">
        <f t="shared" ref="C7:D7" si="1">SUM(C8:C66)</f>
        <v>716802216</v>
      </c>
      <c r="D7" s="38">
        <f t="shared" si="1"/>
        <v>41929284</v>
      </c>
      <c r="E7" s="39"/>
      <c r="F7" s="40"/>
      <c r="G7" s="40" t="s">
        <v>40</v>
      </c>
      <c r="H7" s="41"/>
      <c r="I7" s="40"/>
      <c r="J7" s="42"/>
      <c r="K7" s="40"/>
      <c r="L7" s="43" t="s">
        <v>41</v>
      </c>
      <c r="M7" s="44">
        <v>46090.0</v>
      </c>
      <c r="N7" s="45">
        <v>5.94E7</v>
      </c>
      <c r="O7" s="46"/>
      <c r="P7" s="47" t="s">
        <v>42</v>
      </c>
    </row>
    <row r="8" ht="18.75" customHeight="1">
      <c r="A8" s="48">
        <v>1.0</v>
      </c>
      <c r="B8" s="49">
        <v>46085.0</v>
      </c>
      <c r="C8" s="50"/>
      <c r="D8" s="50">
        <v>2490000.0</v>
      </c>
      <c r="E8" s="51" t="s">
        <v>43</v>
      </c>
      <c r="F8" s="52" t="s">
        <v>44</v>
      </c>
      <c r="G8" s="11"/>
      <c r="H8" s="23">
        <v>2.0</v>
      </c>
      <c r="I8" s="53" t="s">
        <v>45</v>
      </c>
      <c r="J8" s="25">
        <f>SUM(J9:J19)</f>
        <v>41929284</v>
      </c>
      <c r="K8" s="11"/>
      <c r="L8" s="54"/>
      <c r="M8" s="44">
        <v>46092.0</v>
      </c>
      <c r="N8" s="45">
        <v>1.0E8</v>
      </c>
      <c r="O8" s="46"/>
      <c r="P8" s="47" t="s">
        <v>46</v>
      </c>
    </row>
    <row r="9" ht="18.75" customHeight="1">
      <c r="A9" s="55">
        <v>2.0</v>
      </c>
      <c r="B9" s="49">
        <v>46088.0</v>
      </c>
      <c r="C9" s="50"/>
      <c r="D9" s="50">
        <v>5868000.0</v>
      </c>
      <c r="E9" s="51" t="s">
        <v>47</v>
      </c>
      <c r="F9" s="52" t="s">
        <v>48</v>
      </c>
      <c r="G9" s="56"/>
      <c r="H9" s="57">
        <v>2.1</v>
      </c>
      <c r="I9" s="58" t="s">
        <v>49</v>
      </c>
      <c r="J9" s="59">
        <f>SUMIF($E$8:$E$54,2.1,$D$8:$D$45)</f>
        <v>0</v>
      </c>
      <c r="K9" s="11"/>
      <c r="L9" s="54"/>
      <c r="M9" s="44">
        <v>46093.0</v>
      </c>
      <c r="N9" s="60">
        <v>3.9528E8</v>
      </c>
      <c r="O9" s="61"/>
      <c r="P9" s="47" t="s">
        <v>50</v>
      </c>
    </row>
    <row r="10" ht="18.75" customHeight="1">
      <c r="A10" s="55">
        <v>3.0</v>
      </c>
      <c r="B10" s="49">
        <v>46088.0</v>
      </c>
      <c r="C10" s="50">
        <v>4.1472E7</v>
      </c>
      <c r="D10" s="50"/>
      <c r="E10" s="51" t="s">
        <v>51</v>
      </c>
      <c r="F10" s="52" t="s">
        <v>52</v>
      </c>
      <c r="G10" s="56"/>
      <c r="H10" s="57">
        <v>2.2</v>
      </c>
      <c r="I10" s="58" t="s">
        <v>53</v>
      </c>
      <c r="J10" s="25">
        <f>SUMIF($E$8:$E$54,2.2,$D$8:$D$45)</f>
        <v>26886364</v>
      </c>
      <c r="K10" s="11"/>
      <c r="L10" s="54"/>
      <c r="M10" s="44">
        <v>46095.0</v>
      </c>
      <c r="N10" s="61"/>
      <c r="O10" s="60">
        <v>2.83084491E8</v>
      </c>
      <c r="P10" s="47" t="s">
        <v>54</v>
      </c>
    </row>
    <row r="11" ht="18.75" customHeight="1">
      <c r="A11" s="55">
        <v>4.0</v>
      </c>
      <c r="B11" s="49">
        <v>46086.0</v>
      </c>
      <c r="C11" s="50">
        <v>6.912E7</v>
      </c>
      <c r="D11" s="50"/>
      <c r="E11" s="51" t="s">
        <v>51</v>
      </c>
      <c r="F11" s="52" t="s">
        <v>55</v>
      </c>
      <c r="G11" s="56"/>
      <c r="H11" s="57">
        <v>2.3</v>
      </c>
      <c r="I11" s="58" t="s">
        <v>56</v>
      </c>
      <c r="J11" s="25">
        <f>SUMIF($E$8:$E$54,2.3,$D$8:$D$45)</f>
        <v>6684920</v>
      </c>
      <c r="K11" s="11"/>
      <c r="L11" s="54"/>
      <c r="M11" s="44">
        <v>46095.0</v>
      </c>
      <c r="N11" s="60">
        <v>1.35E8</v>
      </c>
      <c r="O11" s="61"/>
      <c r="P11" s="47" t="s">
        <v>57</v>
      </c>
    </row>
    <row r="12" ht="18.75" customHeight="1">
      <c r="A12" s="55">
        <v>5.0</v>
      </c>
      <c r="B12" s="49">
        <v>46090.0</v>
      </c>
      <c r="C12" s="50">
        <v>5.94E7</v>
      </c>
      <c r="D12" s="50"/>
      <c r="E12" s="51" t="s">
        <v>51</v>
      </c>
      <c r="F12" s="52" t="s">
        <v>58</v>
      </c>
      <c r="G12" s="56"/>
      <c r="H12" s="57">
        <v>2.4</v>
      </c>
      <c r="I12" s="58" t="s">
        <v>59</v>
      </c>
      <c r="J12" s="25">
        <f>SUMIF($E$8:$E$54,2.4,$D$8:$D$45)</f>
        <v>0</v>
      </c>
      <c r="K12" s="11"/>
      <c r="L12" s="54"/>
      <c r="M12" s="44">
        <v>46091.0</v>
      </c>
      <c r="N12" s="61"/>
      <c r="O12" s="60" t="s">
        <v>60</v>
      </c>
      <c r="P12" s="47" t="s">
        <v>61</v>
      </c>
    </row>
    <row r="13" ht="18.75" customHeight="1">
      <c r="A13" s="55">
        <v>6.0</v>
      </c>
      <c r="B13" s="49">
        <v>46092.0</v>
      </c>
      <c r="C13" s="50"/>
      <c r="D13" s="50">
        <v>2.6886364E7</v>
      </c>
      <c r="E13" s="62" t="s">
        <v>62</v>
      </c>
      <c r="F13" s="63" t="s">
        <v>63</v>
      </c>
      <c r="G13" s="56"/>
      <c r="H13" s="57">
        <v>2.5</v>
      </c>
      <c r="I13" s="58" t="s">
        <v>64</v>
      </c>
      <c r="J13" s="25">
        <f>SUMIF($E$8:$E$54,2.5,$D$8:$D$45)</f>
        <v>0</v>
      </c>
      <c r="K13" s="11"/>
      <c r="L13" s="54"/>
      <c r="M13" s="44"/>
      <c r="N13" s="61"/>
      <c r="O13" s="60"/>
      <c r="P13" s="47"/>
    </row>
    <row r="14" ht="18.75" customHeight="1">
      <c r="A14" s="55">
        <v>7.0</v>
      </c>
      <c r="B14" s="49">
        <v>46092.0</v>
      </c>
      <c r="C14" s="50">
        <v>8874216.0</v>
      </c>
      <c r="D14" s="50"/>
      <c r="E14" s="51" t="s">
        <v>51</v>
      </c>
      <c r="F14" s="52" t="s">
        <v>65</v>
      </c>
      <c r="G14" s="56"/>
      <c r="H14" s="57">
        <v>2.6</v>
      </c>
      <c r="I14" s="58" t="s">
        <v>66</v>
      </c>
      <c r="J14" s="25">
        <f>SUMIF($E$8:$E$54,2.6,$D$8:$D$45)</f>
        <v>5868000</v>
      </c>
      <c r="K14" s="11"/>
      <c r="L14" s="54"/>
      <c r="M14" s="64"/>
      <c r="N14" s="61"/>
      <c r="O14" s="46"/>
      <c r="P14" s="65"/>
    </row>
    <row r="15" ht="18.75" customHeight="1">
      <c r="A15" s="55">
        <v>8.0</v>
      </c>
      <c r="B15" s="49">
        <v>46093.0</v>
      </c>
      <c r="C15" s="50"/>
      <c r="D15" s="50">
        <v>3360000.0</v>
      </c>
      <c r="E15" s="51" t="s">
        <v>67</v>
      </c>
      <c r="F15" s="52" t="s">
        <v>68</v>
      </c>
      <c r="G15" s="56"/>
      <c r="H15" s="57">
        <v>2.7</v>
      </c>
      <c r="I15" s="58" t="s">
        <v>69</v>
      </c>
      <c r="J15" s="25">
        <f>SUMIF($E$8:$E$54,2.7,$D$8:$D$45)</f>
        <v>0</v>
      </c>
      <c r="K15" s="11"/>
      <c r="L15" s="54"/>
      <c r="M15" s="64"/>
      <c r="N15" s="61"/>
      <c r="O15" s="46"/>
      <c r="P15" s="65"/>
    </row>
    <row r="16" ht="18.75" customHeight="1">
      <c r="A16" s="55">
        <v>9.0</v>
      </c>
      <c r="B16" s="49">
        <v>46094.0</v>
      </c>
      <c r="C16" s="50"/>
      <c r="D16" s="50">
        <v>1000000.0</v>
      </c>
      <c r="E16" s="51" t="s">
        <v>67</v>
      </c>
      <c r="F16" s="52" t="s">
        <v>70</v>
      </c>
      <c r="G16" s="56"/>
      <c r="H16" s="57">
        <v>2.8</v>
      </c>
      <c r="I16" s="58" t="s">
        <v>71</v>
      </c>
      <c r="J16" s="25">
        <f>SUMIF($E$8:$E$54,2.8,$D$8:$D$45)</f>
        <v>0</v>
      </c>
      <c r="K16" s="11"/>
      <c r="L16" s="66" t="s">
        <v>72</v>
      </c>
      <c r="M16" s="67"/>
      <c r="N16" s="68">
        <f t="shared" ref="N16:O16" si="2">SUM(N7:N15)</f>
        <v>689680000</v>
      </c>
      <c r="O16" s="68">
        <f t="shared" si="2"/>
        <v>283084491</v>
      </c>
      <c r="P16" s="65"/>
    </row>
    <row r="17" ht="18.75" customHeight="1">
      <c r="A17" s="55">
        <v>10.0</v>
      </c>
      <c r="B17" s="49">
        <v>46094.0</v>
      </c>
      <c r="C17" s="50">
        <v>2.0E8</v>
      </c>
      <c r="D17" s="50"/>
      <c r="E17" s="51" t="s">
        <v>51</v>
      </c>
      <c r="F17" s="52" t="s">
        <v>73</v>
      </c>
      <c r="G17" s="56"/>
      <c r="H17" s="57">
        <v>2.9</v>
      </c>
      <c r="I17" s="58" t="s">
        <v>74</v>
      </c>
      <c r="J17" s="25">
        <f>SUMIF($E$8:$E$54,2.9,$D$8:$D$45)</f>
        <v>0</v>
      </c>
      <c r="K17" s="11"/>
      <c r="L17" s="69" t="s">
        <v>75</v>
      </c>
      <c r="M17" s="70">
        <v>46097.0</v>
      </c>
      <c r="N17" s="71">
        <v>2.994E8</v>
      </c>
      <c r="O17" s="61"/>
      <c r="P17" s="47" t="s">
        <v>50</v>
      </c>
    </row>
    <row r="18" ht="18.75" customHeight="1">
      <c r="A18" s="55">
        <v>11.0</v>
      </c>
      <c r="B18" s="49">
        <v>46098.0</v>
      </c>
      <c r="C18" s="50">
        <v>1.35E8</v>
      </c>
      <c r="D18" s="50"/>
      <c r="E18" s="51" t="s">
        <v>51</v>
      </c>
      <c r="F18" s="52" t="s">
        <v>76</v>
      </c>
      <c r="G18" s="56"/>
      <c r="H18" s="57">
        <v>2.11</v>
      </c>
      <c r="I18" s="58" t="s">
        <v>77</v>
      </c>
      <c r="J18" s="25">
        <f>SUMIF($E$8:$E$54,2.11,$D$8:$D$45)</f>
        <v>2490000</v>
      </c>
      <c r="K18" s="11"/>
      <c r="L18" s="54"/>
      <c r="M18" s="70">
        <v>46097.0</v>
      </c>
      <c r="N18" s="45">
        <v>2.8944294E7</v>
      </c>
      <c r="O18" s="61"/>
      <c r="P18" s="47" t="s">
        <v>78</v>
      </c>
    </row>
    <row r="19" ht="18.75" customHeight="1">
      <c r="A19" s="55">
        <v>12.0</v>
      </c>
      <c r="B19" s="49">
        <v>46099.0</v>
      </c>
      <c r="C19" s="50"/>
      <c r="D19" s="50">
        <v>2056000.0</v>
      </c>
      <c r="E19" s="51" t="s">
        <v>67</v>
      </c>
      <c r="F19" s="72" t="s">
        <v>79</v>
      </c>
      <c r="G19" s="56"/>
      <c r="H19" s="57">
        <v>2.12</v>
      </c>
      <c r="I19" s="58" t="s">
        <v>80</v>
      </c>
      <c r="J19" s="25">
        <f>SUMIF($E$8:$E$54,2.12,$D$8:$D$45)</f>
        <v>0</v>
      </c>
      <c r="K19" s="11"/>
      <c r="L19" s="54"/>
      <c r="M19" s="70">
        <v>46097.0</v>
      </c>
      <c r="N19" s="61"/>
      <c r="O19" s="45">
        <v>1.76E8</v>
      </c>
      <c r="P19" s="47" t="s">
        <v>54</v>
      </c>
    </row>
    <row r="20" ht="18.75" customHeight="1">
      <c r="A20" s="55">
        <v>13.0</v>
      </c>
      <c r="B20" s="49">
        <v>46101.0</v>
      </c>
      <c r="C20" s="50">
        <v>6.7E7</v>
      </c>
      <c r="D20" s="50"/>
      <c r="E20" s="51" t="s">
        <v>51</v>
      </c>
      <c r="F20" s="72" t="s">
        <v>81</v>
      </c>
      <c r="G20" s="56"/>
      <c r="H20" s="73">
        <v>3.0</v>
      </c>
      <c r="I20" s="74" t="s">
        <v>82</v>
      </c>
      <c r="J20" s="75">
        <f>J3-J8</f>
        <v>674872932</v>
      </c>
      <c r="K20" s="11"/>
      <c r="L20" s="54"/>
      <c r="M20" s="70">
        <v>46097.0</v>
      </c>
      <c r="N20" s="61"/>
      <c r="O20" s="45">
        <v>1.0E7</v>
      </c>
      <c r="P20" s="47" t="s">
        <v>83</v>
      </c>
    </row>
    <row r="21" ht="18.75" customHeight="1">
      <c r="A21" s="55">
        <v>14.0</v>
      </c>
      <c r="B21" s="49">
        <v>46103.0</v>
      </c>
      <c r="C21" s="50">
        <v>5.5296E7</v>
      </c>
      <c r="D21" s="50"/>
      <c r="E21" s="51" t="s">
        <v>51</v>
      </c>
      <c r="F21" s="76" t="s">
        <v>52</v>
      </c>
      <c r="G21" s="11"/>
      <c r="H21" s="11"/>
      <c r="I21" s="11"/>
      <c r="J21" s="11"/>
      <c r="K21" s="11"/>
      <c r="L21" s="54"/>
      <c r="M21" s="77"/>
      <c r="N21" s="61"/>
      <c r="O21" s="61"/>
      <c r="P21" s="65"/>
    </row>
    <row r="22" ht="18.75" customHeight="1">
      <c r="A22" s="55">
        <v>15.0</v>
      </c>
      <c r="B22" s="49">
        <v>46111.0</v>
      </c>
      <c r="C22" s="50">
        <v>8.064E7</v>
      </c>
      <c r="D22" s="50"/>
      <c r="E22" s="51" t="s">
        <v>51</v>
      </c>
      <c r="F22" s="76" t="s">
        <v>55</v>
      </c>
      <c r="G22" s="11"/>
      <c r="H22" s="12" t="s">
        <v>84</v>
      </c>
      <c r="I22" s="13"/>
      <c r="J22" s="14"/>
      <c r="K22" s="11"/>
      <c r="L22" s="54"/>
      <c r="M22" s="77"/>
      <c r="N22" s="61"/>
      <c r="O22" s="61"/>
      <c r="P22" s="65"/>
    </row>
    <row r="23" ht="18.75" customHeight="1">
      <c r="A23" s="55">
        <v>16.0</v>
      </c>
      <c r="B23" s="49">
        <v>46111.0</v>
      </c>
      <c r="C23" s="50"/>
      <c r="D23" s="50">
        <v>268920.0</v>
      </c>
      <c r="E23" s="51" t="s">
        <v>67</v>
      </c>
      <c r="F23" s="76" t="s">
        <v>85</v>
      </c>
      <c r="G23" s="56"/>
      <c r="H23" s="58"/>
      <c r="I23" s="74" t="s">
        <v>24</v>
      </c>
      <c r="J23" s="57" t="s">
        <v>25</v>
      </c>
      <c r="K23" s="11"/>
      <c r="L23" s="54"/>
      <c r="M23" s="77"/>
      <c r="N23" s="61"/>
      <c r="O23" s="61"/>
      <c r="P23" s="65"/>
    </row>
    <row r="24" ht="18.75" customHeight="1">
      <c r="A24" s="55">
        <v>17.0</v>
      </c>
      <c r="B24" s="78"/>
      <c r="C24" s="50"/>
      <c r="D24" s="50"/>
      <c r="E24" s="79"/>
      <c r="F24" s="58"/>
      <c r="G24" s="56"/>
      <c r="H24" s="74" t="s">
        <v>86</v>
      </c>
      <c r="I24" s="74" t="s">
        <v>87</v>
      </c>
      <c r="J24" s="80">
        <v>0.0</v>
      </c>
      <c r="K24" s="11"/>
      <c r="L24" s="54"/>
      <c r="M24" s="77"/>
      <c r="N24" s="61"/>
      <c r="O24" s="61"/>
      <c r="P24" s="65"/>
    </row>
    <row r="25" ht="18.75" customHeight="1">
      <c r="A25" s="55">
        <v>18.0</v>
      </c>
      <c r="B25" s="78"/>
      <c r="C25" s="50"/>
      <c r="D25" s="50"/>
      <c r="E25" s="79"/>
      <c r="F25" s="81"/>
      <c r="G25" s="56"/>
      <c r="H25" s="74" t="s">
        <v>88</v>
      </c>
      <c r="I25" s="74" t="s">
        <v>89</v>
      </c>
      <c r="J25" s="82">
        <f>SUM(J26:J28)</f>
        <v>716802216</v>
      </c>
      <c r="K25" s="11"/>
      <c r="L25" s="54"/>
      <c r="M25" s="77"/>
      <c r="N25" s="61"/>
      <c r="O25" s="61"/>
      <c r="P25" s="65"/>
    </row>
    <row r="26" ht="18.75" customHeight="1">
      <c r="A26" s="55">
        <v>19.0</v>
      </c>
      <c r="B26" s="83"/>
      <c r="C26" s="50"/>
      <c r="D26" s="50"/>
      <c r="E26" s="79"/>
      <c r="F26" s="58"/>
      <c r="G26" s="56"/>
      <c r="H26" s="58"/>
      <c r="I26" s="58" t="s">
        <v>90</v>
      </c>
      <c r="J26" s="82">
        <f>J3</f>
        <v>716802216</v>
      </c>
      <c r="K26" s="11"/>
      <c r="L26" s="66" t="s">
        <v>72</v>
      </c>
      <c r="M26" s="67"/>
      <c r="N26" s="68">
        <f t="shared" ref="N26:O26" si="3">SUM(N17:N25)</f>
        <v>328344294</v>
      </c>
      <c r="O26" s="68">
        <f t="shared" si="3"/>
        <v>186000000</v>
      </c>
      <c r="P26" s="65"/>
    </row>
    <row r="27" ht="18.75" customHeight="1">
      <c r="A27" s="55">
        <v>20.0</v>
      </c>
      <c r="B27" s="83"/>
      <c r="C27" s="50"/>
      <c r="D27" s="50"/>
      <c r="E27" s="79"/>
      <c r="F27" s="58"/>
      <c r="G27" s="56"/>
      <c r="H27" s="58"/>
      <c r="I27" s="58" t="s">
        <v>91</v>
      </c>
      <c r="J27" s="74"/>
      <c r="K27" s="11"/>
      <c r="L27" s="84"/>
      <c r="M27" s="77"/>
      <c r="N27" s="65"/>
      <c r="O27" s="61"/>
      <c r="P27" s="65"/>
    </row>
    <row r="28" ht="18.75" customHeight="1">
      <c r="A28" s="55">
        <v>21.0</v>
      </c>
      <c r="B28" s="83"/>
      <c r="C28" s="50"/>
      <c r="D28" s="50"/>
      <c r="E28" s="79"/>
      <c r="F28" s="58"/>
      <c r="G28" s="56"/>
      <c r="H28" s="58"/>
      <c r="I28" s="58" t="s">
        <v>92</v>
      </c>
      <c r="J28" s="74"/>
      <c r="K28" s="11"/>
      <c r="L28" s="54"/>
      <c r="M28" s="77"/>
      <c r="N28" s="61"/>
      <c r="O28" s="61"/>
      <c r="P28" s="65"/>
    </row>
    <row r="29" ht="18.75" customHeight="1">
      <c r="A29" s="55">
        <v>22.0</v>
      </c>
      <c r="B29" s="83"/>
      <c r="C29" s="50"/>
      <c r="D29" s="50"/>
      <c r="E29" s="79"/>
      <c r="F29" s="58"/>
      <c r="G29" s="56"/>
      <c r="H29" s="74" t="s">
        <v>93</v>
      </c>
      <c r="I29" s="74" t="s">
        <v>94</v>
      </c>
      <c r="J29" s="82">
        <f>SUM(J30:J41)</f>
        <v>41929284</v>
      </c>
      <c r="K29" s="11"/>
      <c r="L29" s="54"/>
      <c r="M29" s="77"/>
      <c r="N29" s="61"/>
      <c r="O29" s="61"/>
      <c r="P29" s="65"/>
    </row>
    <row r="30" ht="18.75" customHeight="1">
      <c r="A30" s="55">
        <v>23.0</v>
      </c>
      <c r="B30" s="83"/>
      <c r="C30" s="50"/>
      <c r="D30" s="50"/>
      <c r="E30" s="79"/>
      <c r="F30" s="85" t="s">
        <v>95</v>
      </c>
      <c r="G30" s="56"/>
      <c r="H30" s="57">
        <v>2.1</v>
      </c>
      <c r="I30" s="58" t="s">
        <v>49</v>
      </c>
      <c r="J30" s="82">
        <f>J9</f>
        <v>0</v>
      </c>
      <c r="K30" s="11"/>
      <c r="L30" s="54"/>
      <c r="M30" s="77"/>
      <c r="N30" s="61"/>
      <c r="O30" s="61"/>
      <c r="P30" s="65"/>
    </row>
    <row r="31" ht="18.75" customHeight="1">
      <c r="A31" s="55">
        <v>24.0</v>
      </c>
      <c r="B31" s="83"/>
      <c r="C31" s="50"/>
      <c r="D31" s="50"/>
      <c r="E31" s="79"/>
      <c r="F31" s="58"/>
      <c r="G31" s="56"/>
      <c r="H31" s="28">
        <v>1.3</v>
      </c>
      <c r="I31" s="58" t="s">
        <v>96</v>
      </c>
      <c r="J31" s="80"/>
      <c r="K31" s="11"/>
      <c r="L31" s="54"/>
      <c r="M31" s="77"/>
      <c r="N31" s="61"/>
      <c r="O31" s="61"/>
      <c r="P31" s="65"/>
    </row>
    <row r="32" ht="18.75" customHeight="1">
      <c r="A32" s="55">
        <v>25.0</v>
      </c>
      <c r="B32" s="83"/>
      <c r="C32" s="50"/>
      <c r="D32" s="50"/>
      <c r="E32" s="79"/>
      <c r="F32" s="58"/>
      <c r="G32" s="56"/>
      <c r="H32" s="57">
        <v>2.2</v>
      </c>
      <c r="I32" s="58" t="s">
        <v>53</v>
      </c>
      <c r="J32" s="82">
        <f t="shared" ref="J32:J41" si="5">J10</f>
        <v>26886364</v>
      </c>
      <c r="K32" s="11"/>
      <c r="L32" s="66" t="s">
        <v>72</v>
      </c>
      <c r="M32" s="67"/>
      <c r="N32" s="68">
        <f t="shared" ref="N32:O32" si="4">SUM(N27:N31)</f>
        <v>0</v>
      </c>
      <c r="O32" s="68">
        <f t="shared" si="4"/>
        <v>0</v>
      </c>
      <c r="P32" s="65"/>
    </row>
    <row r="33" ht="18.75" customHeight="1">
      <c r="A33" s="55">
        <v>26.0</v>
      </c>
      <c r="B33" s="83"/>
      <c r="C33" s="50"/>
      <c r="D33" s="50"/>
      <c r="E33" s="79"/>
      <c r="F33" s="58"/>
      <c r="G33" s="56"/>
      <c r="H33" s="57">
        <v>2.3</v>
      </c>
      <c r="I33" s="58" t="s">
        <v>56</v>
      </c>
      <c r="J33" s="82">
        <f t="shared" si="5"/>
        <v>6684920</v>
      </c>
      <c r="K33" s="11"/>
      <c r="L33" s="84"/>
      <c r="M33" s="77"/>
      <c r="N33" s="65"/>
      <c r="O33" s="61"/>
      <c r="P33" s="65"/>
    </row>
    <row r="34" ht="18.75" customHeight="1">
      <c r="A34" s="55">
        <v>27.0</v>
      </c>
      <c r="B34" s="83"/>
      <c r="C34" s="50"/>
      <c r="D34" s="50"/>
      <c r="E34" s="79"/>
      <c r="F34" s="58"/>
      <c r="G34" s="56"/>
      <c r="H34" s="57">
        <v>2.4</v>
      </c>
      <c r="I34" s="58" t="s">
        <v>59</v>
      </c>
      <c r="J34" s="82">
        <f t="shared" si="5"/>
        <v>0</v>
      </c>
      <c r="K34" s="11"/>
      <c r="L34" s="54"/>
      <c r="M34" s="77"/>
      <c r="N34" s="61"/>
      <c r="O34" s="61"/>
      <c r="P34" s="65"/>
    </row>
    <row r="35" ht="18.75" customHeight="1">
      <c r="A35" s="55">
        <v>28.0</v>
      </c>
      <c r="B35" s="83"/>
      <c r="C35" s="50"/>
      <c r="D35" s="50"/>
      <c r="E35" s="79"/>
      <c r="F35" s="58"/>
      <c r="G35" s="56"/>
      <c r="H35" s="57">
        <v>2.5</v>
      </c>
      <c r="I35" s="58" t="s">
        <v>64</v>
      </c>
      <c r="J35" s="82">
        <f t="shared" si="5"/>
        <v>0</v>
      </c>
      <c r="K35" s="11"/>
      <c r="L35" s="54"/>
      <c r="M35" s="77"/>
      <c r="N35" s="61"/>
      <c r="O35" s="61"/>
      <c r="P35" s="65"/>
    </row>
    <row r="36" ht="18.75" customHeight="1">
      <c r="A36" s="55">
        <v>29.0</v>
      </c>
      <c r="B36" s="83"/>
      <c r="C36" s="50"/>
      <c r="D36" s="50"/>
      <c r="E36" s="79"/>
      <c r="F36" s="58"/>
      <c r="G36" s="56"/>
      <c r="H36" s="57">
        <v>2.6</v>
      </c>
      <c r="I36" s="58" t="s">
        <v>66</v>
      </c>
      <c r="J36" s="82">
        <f t="shared" si="5"/>
        <v>5868000</v>
      </c>
      <c r="K36" s="11"/>
      <c r="L36" s="54"/>
      <c r="M36" s="77"/>
      <c r="N36" s="61"/>
      <c r="O36" s="61"/>
      <c r="P36" s="65"/>
    </row>
    <row r="37" ht="18.75" customHeight="1">
      <c r="A37" s="55">
        <v>30.0</v>
      </c>
      <c r="B37" s="83"/>
      <c r="C37" s="50"/>
      <c r="D37" s="50"/>
      <c r="E37" s="79"/>
      <c r="F37" s="58"/>
      <c r="G37" s="56"/>
      <c r="H37" s="57">
        <v>2.7</v>
      </c>
      <c r="I37" s="58" t="s">
        <v>69</v>
      </c>
      <c r="J37" s="82">
        <f t="shared" si="5"/>
        <v>0</v>
      </c>
      <c r="K37" s="11"/>
      <c r="L37" s="54"/>
      <c r="M37" s="77"/>
      <c r="N37" s="61"/>
      <c r="O37" s="61"/>
      <c r="P37" s="65"/>
    </row>
    <row r="38" ht="18.75" customHeight="1">
      <c r="A38" s="55">
        <v>31.0</v>
      </c>
      <c r="B38" s="83"/>
      <c r="C38" s="50"/>
      <c r="D38" s="50"/>
      <c r="E38" s="79"/>
      <c r="F38" s="58"/>
      <c r="G38" s="56"/>
      <c r="H38" s="57">
        <v>2.8</v>
      </c>
      <c r="I38" s="58" t="s">
        <v>71</v>
      </c>
      <c r="J38" s="82">
        <f t="shared" si="5"/>
        <v>0</v>
      </c>
      <c r="K38" s="11"/>
      <c r="L38" s="66" t="s">
        <v>72</v>
      </c>
      <c r="M38" s="67"/>
      <c r="N38" s="68">
        <f t="shared" ref="N38:O38" si="6">SUM(N33:N37)</f>
        <v>0</v>
      </c>
      <c r="O38" s="68">
        <f t="shared" si="6"/>
        <v>0</v>
      </c>
      <c r="P38" s="65"/>
    </row>
    <row r="39" ht="18.75" customHeight="1">
      <c r="A39" s="55">
        <v>32.0</v>
      </c>
      <c r="B39" s="83"/>
      <c r="C39" s="50"/>
      <c r="D39" s="50"/>
      <c r="E39" s="79"/>
      <c r="F39" s="58"/>
      <c r="G39" s="56"/>
      <c r="H39" s="57">
        <v>2.9</v>
      </c>
      <c r="I39" s="58" t="s">
        <v>74</v>
      </c>
      <c r="J39" s="82">
        <f t="shared" si="5"/>
        <v>0</v>
      </c>
      <c r="K39" s="11"/>
      <c r="L39" s="84"/>
      <c r="M39" s="77"/>
      <c r="N39" s="61"/>
      <c r="O39" s="61"/>
      <c r="P39" s="65"/>
    </row>
    <row r="40" ht="18.75" customHeight="1">
      <c r="A40" s="55">
        <v>33.0</v>
      </c>
      <c r="B40" s="83"/>
      <c r="C40" s="50"/>
      <c r="D40" s="50"/>
      <c r="E40" s="79"/>
      <c r="F40" s="58"/>
      <c r="G40" s="56"/>
      <c r="H40" s="57">
        <v>2.11</v>
      </c>
      <c r="I40" s="58" t="s">
        <v>77</v>
      </c>
      <c r="J40" s="82">
        <f t="shared" si="5"/>
        <v>2490000</v>
      </c>
      <c r="K40" s="11"/>
      <c r="L40" s="54"/>
      <c r="M40" s="77"/>
      <c r="N40" s="61"/>
      <c r="O40" s="61"/>
      <c r="P40" s="65"/>
    </row>
    <row r="41" ht="18.75" customHeight="1">
      <c r="A41" s="55">
        <v>34.0</v>
      </c>
      <c r="B41" s="83"/>
      <c r="C41" s="50"/>
      <c r="D41" s="50"/>
      <c r="E41" s="79"/>
      <c r="F41" s="58"/>
      <c r="G41" s="56"/>
      <c r="H41" s="57">
        <v>2.12</v>
      </c>
      <c r="I41" s="58" t="s">
        <v>97</v>
      </c>
      <c r="J41" s="82">
        <f t="shared" si="5"/>
        <v>0</v>
      </c>
      <c r="K41" s="11"/>
      <c r="L41" s="54"/>
      <c r="M41" s="77"/>
      <c r="N41" s="61"/>
      <c r="O41" s="61"/>
      <c r="P41" s="65"/>
    </row>
    <row r="42" ht="18.75" customHeight="1">
      <c r="A42" s="55">
        <v>35.0</v>
      </c>
      <c r="B42" s="83"/>
      <c r="C42" s="50"/>
      <c r="D42" s="50"/>
      <c r="E42" s="79"/>
      <c r="F42" s="58"/>
      <c r="G42" s="56"/>
      <c r="H42" s="74" t="s">
        <v>98</v>
      </c>
      <c r="I42" s="74" t="s">
        <v>5</v>
      </c>
      <c r="J42" s="25">
        <f>J24+J25-J29</f>
        <v>674872932</v>
      </c>
      <c r="K42" s="11"/>
      <c r="L42" s="54"/>
      <c r="M42" s="77"/>
      <c r="N42" s="61"/>
      <c r="O42" s="61"/>
      <c r="P42" s="65"/>
    </row>
    <row r="43" ht="18.75" customHeight="1">
      <c r="A43" s="55">
        <v>36.0</v>
      </c>
      <c r="B43" s="83"/>
      <c r="C43" s="50"/>
      <c r="D43" s="50"/>
      <c r="E43" s="79"/>
      <c r="F43" s="58"/>
      <c r="G43" s="11"/>
      <c r="H43" s="11"/>
      <c r="I43" s="11"/>
      <c r="J43" s="11"/>
      <c r="K43" s="11"/>
      <c r="L43" s="54"/>
      <c r="M43" s="77"/>
      <c r="N43" s="61"/>
      <c r="O43" s="61"/>
      <c r="P43" s="65"/>
    </row>
    <row r="44" ht="18.75" customHeight="1">
      <c r="A44" s="55">
        <v>37.0</v>
      </c>
      <c r="B44" s="83"/>
      <c r="C44" s="50"/>
      <c r="D44" s="50"/>
      <c r="E44" s="79"/>
      <c r="F44" s="58"/>
      <c r="G44" s="11"/>
      <c r="H44" s="86" t="s">
        <v>99</v>
      </c>
      <c r="I44" s="87"/>
      <c r="J44" s="87"/>
      <c r="K44" s="21"/>
      <c r="L44" s="66" t="s">
        <v>72</v>
      </c>
      <c r="M44" s="67"/>
      <c r="N44" s="68">
        <f>SUM(N39:N42)</f>
        <v>0</v>
      </c>
      <c r="O44" s="68">
        <f>SUM(O39:O43)</f>
        <v>0</v>
      </c>
      <c r="P44" s="65"/>
    </row>
    <row r="45" ht="18.75" customHeight="1">
      <c r="A45" s="55">
        <v>38.0</v>
      </c>
      <c r="B45" s="83"/>
      <c r="C45" s="50"/>
      <c r="D45" s="50"/>
      <c r="E45" s="79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>
        <v>39.0</v>
      </c>
      <c r="B46" s="83"/>
      <c r="C46" s="50"/>
      <c r="D46" s="50"/>
      <c r="E46" s="79"/>
      <c r="F46" s="58"/>
      <c r="G46" s="56"/>
      <c r="H46" s="74" t="s">
        <v>86</v>
      </c>
      <c r="I46" s="74" t="s">
        <v>87</v>
      </c>
      <c r="J46" s="82">
        <f>J42</f>
        <v>674872932</v>
      </c>
      <c r="K46" s="89"/>
    </row>
    <row r="47" ht="18.75" customHeight="1">
      <c r="A47" s="55">
        <v>40.0</v>
      </c>
      <c r="B47" s="83"/>
      <c r="C47" s="50"/>
      <c r="D47" s="50"/>
      <c r="E47" s="79"/>
      <c r="F47" s="58"/>
      <c r="G47" s="56"/>
      <c r="H47" s="74" t="s">
        <v>88</v>
      </c>
      <c r="I47" s="74" t="s">
        <v>89</v>
      </c>
      <c r="J47" s="82">
        <f>SUM(J48:J54)</f>
        <v>0</v>
      </c>
      <c r="K47" s="89"/>
    </row>
    <row r="48" ht="18.75" customHeight="1">
      <c r="A48" s="55">
        <v>41.0</v>
      </c>
      <c r="B48" s="83"/>
      <c r="C48" s="50"/>
      <c r="D48" s="50"/>
      <c r="E48" s="79"/>
      <c r="F48" s="58"/>
      <c r="G48" s="56"/>
      <c r="H48" s="58"/>
      <c r="I48" s="58"/>
      <c r="J48" s="90"/>
      <c r="K48" s="89"/>
    </row>
    <row r="49" ht="18.75" customHeight="1">
      <c r="A49" s="55">
        <v>42.0</v>
      </c>
      <c r="B49" s="83"/>
      <c r="C49" s="50"/>
      <c r="D49" s="50"/>
      <c r="E49" s="79"/>
      <c r="F49" s="58"/>
      <c r="G49" s="56"/>
      <c r="H49" s="58"/>
      <c r="I49" s="58"/>
      <c r="J49" s="90"/>
      <c r="K49" s="89"/>
    </row>
    <row r="50" ht="18.75" customHeight="1">
      <c r="A50" s="55">
        <v>43.0</v>
      </c>
      <c r="B50" s="83"/>
      <c r="C50" s="50"/>
      <c r="D50" s="50"/>
      <c r="E50" s="79"/>
      <c r="F50" s="58"/>
      <c r="G50" s="56"/>
      <c r="H50" s="58"/>
      <c r="I50" s="58"/>
      <c r="J50" s="90"/>
      <c r="K50" s="89"/>
    </row>
    <row r="51" ht="18.75" customHeight="1">
      <c r="A51" s="55">
        <v>44.0</v>
      </c>
      <c r="B51" s="83"/>
      <c r="C51" s="50"/>
      <c r="D51" s="50"/>
      <c r="E51" s="79"/>
      <c r="F51" s="58"/>
      <c r="G51" s="56"/>
      <c r="H51" s="58"/>
      <c r="I51" s="58"/>
      <c r="J51" s="90"/>
      <c r="K51" s="89"/>
    </row>
    <row r="52" ht="18.75" customHeight="1">
      <c r="A52" s="55">
        <v>45.0</v>
      </c>
      <c r="B52" s="83"/>
      <c r="C52" s="50"/>
      <c r="D52" s="50"/>
      <c r="E52" s="79"/>
      <c r="F52" s="58"/>
      <c r="G52" s="56"/>
      <c r="H52" s="58"/>
      <c r="I52" s="58"/>
      <c r="J52" s="74"/>
      <c r="K52" s="89"/>
    </row>
    <row r="53" ht="18.75" customHeight="1">
      <c r="A53" s="55">
        <v>46.0</v>
      </c>
      <c r="B53" s="83"/>
      <c r="C53" s="50"/>
      <c r="D53" s="50"/>
      <c r="E53" s="79"/>
      <c r="F53" s="58"/>
      <c r="G53" s="56"/>
      <c r="H53" s="58"/>
      <c r="I53" s="58"/>
      <c r="J53" s="74"/>
      <c r="K53" s="89"/>
    </row>
    <row r="54" ht="18.75" customHeight="1">
      <c r="A54" s="55">
        <v>47.0</v>
      </c>
      <c r="B54" s="83"/>
      <c r="C54" s="50"/>
      <c r="D54" s="50"/>
      <c r="E54" s="79"/>
      <c r="F54" s="58"/>
      <c r="G54" s="56"/>
      <c r="H54" s="58"/>
      <c r="I54" s="58"/>
      <c r="J54" s="74"/>
      <c r="K54" s="89"/>
    </row>
    <row r="55" ht="18.75" customHeight="1">
      <c r="A55" s="55">
        <v>48.0</v>
      </c>
      <c r="B55" s="83"/>
      <c r="C55" s="50"/>
      <c r="D55" s="50"/>
      <c r="E55" s="79"/>
      <c r="F55" s="58"/>
      <c r="G55" s="56"/>
      <c r="H55" s="74" t="s">
        <v>93</v>
      </c>
      <c r="I55" s="74" t="s">
        <v>94</v>
      </c>
      <c r="J55" s="90">
        <f>SUM(J56:J65)</f>
        <v>0</v>
      </c>
      <c r="K55" s="89"/>
    </row>
    <row r="56" ht="18.75" customHeight="1">
      <c r="A56" s="55">
        <v>49.0</v>
      </c>
      <c r="B56" s="83"/>
      <c r="C56" s="50"/>
      <c r="D56" s="50"/>
      <c r="E56" s="79"/>
      <c r="F56" s="58"/>
      <c r="G56" s="56"/>
      <c r="H56" s="58"/>
      <c r="I56" s="58"/>
      <c r="J56" s="90"/>
      <c r="K56" s="83"/>
    </row>
    <row r="57" ht="18.75" customHeight="1">
      <c r="A57" s="55">
        <v>50.0</v>
      </c>
      <c r="B57" s="83"/>
      <c r="C57" s="50"/>
      <c r="D57" s="50"/>
      <c r="E57" s="79"/>
      <c r="F57" s="58"/>
      <c r="G57" s="56"/>
      <c r="H57" s="58"/>
      <c r="I57" s="58"/>
      <c r="J57" s="90"/>
      <c r="K57" s="83"/>
    </row>
    <row r="58" ht="18.75" customHeight="1">
      <c r="A58" s="55">
        <v>51.0</v>
      </c>
      <c r="B58" s="83"/>
      <c r="C58" s="50"/>
      <c r="D58" s="50"/>
      <c r="E58" s="79"/>
      <c r="F58" s="58"/>
      <c r="G58" s="56"/>
      <c r="H58" s="58"/>
      <c r="I58" s="58"/>
      <c r="J58" s="90"/>
      <c r="K58" s="83"/>
    </row>
    <row r="59" ht="18.75" customHeight="1">
      <c r="A59" s="55">
        <v>52.0</v>
      </c>
      <c r="B59" s="83"/>
      <c r="C59" s="50"/>
      <c r="D59" s="50"/>
      <c r="E59" s="79"/>
      <c r="F59" s="58"/>
      <c r="G59" s="56"/>
      <c r="H59" s="58"/>
      <c r="I59" s="58"/>
      <c r="J59" s="90"/>
      <c r="K59" s="83"/>
    </row>
    <row r="60" ht="18.75" customHeight="1">
      <c r="A60" s="55">
        <v>53.0</v>
      </c>
      <c r="B60" s="83"/>
      <c r="C60" s="50"/>
      <c r="D60" s="50"/>
      <c r="E60" s="79"/>
      <c r="F60" s="58"/>
      <c r="G60" s="56"/>
      <c r="H60" s="58"/>
      <c r="I60" s="58"/>
      <c r="J60" s="90"/>
      <c r="K60" s="89"/>
    </row>
    <row r="61" ht="18.75" customHeight="1">
      <c r="A61" s="55">
        <v>54.0</v>
      </c>
      <c r="B61" s="83"/>
      <c r="C61" s="50"/>
      <c r="D61" s="50"/>
      <c r="E61" s="79"/>
      <c r="F61" s="58"/>
      <c r="G61" s="56"/>
      <c r="H61" s="58"/>
      <c r="I61" s="58"/>
      <c r="J61" s="90"/>
      <c r="K61" s="89"/>
    </row>
    <row r="62" ht="18.75" customHeight="1">
      <c r="A62" s="55">
        <v>55.0</v>
      </c>
      <c r="B62" s="83"/>
      <c r="C62" s="50"/>
      <c r="D62" s="50"/>
      <c r="E62" s="79"/>
      <c r="F62" s="58"/>
      <c r="G62" s="56"/>
      <c r="H62" s="58"/>
      <c r="I62" s="58"/>
      <c r="J62" s="90"/>
      <c r="K62" s="89"/>
    </row>
    <row r="63" ht="18.75" customHeight="1">
      <c r="A63" s="55">
        <v>56.0</v>
      </c>
      <c r="B63" s="83"/>
      <c r="C63" s="50"/>
      <c r="D63" s="50"/>
      <c r="E63" s="79"/>
      <c r="F63" s="58"/>
      <c r="G63" s="56"/>
      <c r="H63" s="58"/>
      <c r="I63" s="58"/>
      <c r="J63" s="90"/>
      <c r="K63" s="89"/>
    </row>
    <row r="64" ht="18.75" customHeight="1">
      <c r="A64" s="55">
        <v>57.0</v>
      </c>
      <c r="B64" s="83"/>
      <c r="C64" s="50"/>
      <c r="D64" s="50"/>
      <c r="E64" s="79"/>
      <c r="F64" s="58"/>
      <c r="G64" s="56"/>
      <c r="H64" s="58"/>
      <c r="I64" s="58"/>
      <c r="J64" s="90"/>
      <c r="K64" s="89"/>
    </row>
    <row r="65" ht="18.75" customHeight="1">
      <c r="A65" s="55">
        <v>58.0</v>
      </c>
      <c r="B65" s="83"/>
      <c r="C65" s="50"/>
      <c r="D65" s="50"/>
      <c r="E65" s="79"/>
      <c r="F65" s="58"/>
      <c r="G65" s="56"/>
      <c r="H65" s="58"/>
      <c r="I65" s="58"/>
      <c r="J65" s="90"/>
      <c r="K65" s="89"/>
    </row>
    <row r="66" ht="18.75" customHeight="1">
      <c r="A66" s="55">
        <v>59.0</v>
      </c>
      <c r="B66" s="83"/>
      <c r="C66" s="50"/>
      <c r="D66" s="50"/>
      <c r="E66" s="79"/>
      <c r="F66" s="58"/>
      <c r="G66" s="56"/>
      <c r="H66" s="74" t="s">
        <v>98</v>
      </c>
      <c r="I66" s="74" t="s">
        <v>5</v>
      </c>
      <c r="J66" s="25">
        <f>J46+J47-J55</f>
        <v>674872932</v>
      </c>
      <c r="K66" s="89"/>
    </row>
    <row r="67" ht="18.75" customHeight="1">
      <c r="A67" s="91"/>
      <c r="B67" s="92"/>
      <c r="C67" s="91"/>
      <c r="D67" s="91"/>
      <c r="E67" s="91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91"/>
      <c r="E68" s="91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91"/>
      <c r="E69" s="91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91"/>
      <c r="E70" s="91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91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91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91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91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91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91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91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91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91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91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91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91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91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91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91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91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91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91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91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91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91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91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91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91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91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>
      <c r="A154" s="91"/>
      <c r="B154" s="92"/>
      <c r="C154" s="91"/>
      <c r="D154" s="91"/>
      <c r="E154" s="91"/>
      <c r="F154" s="91"/>
      <c r="G154" s="91"/>
      <c r="H154" s="91"/>
      <c r="I154" s="91"/>
      <c r="J154" s="91"/>
      <c r="K154" s="91"/>
    </row>
    <row r="155" ht="18.75" customHeight="1">
      <c r="A155" s="91"/>
      <c r="B155" s="92"/>
      <c r="C155" s="91"/>
      <c r="D155" s="91"/>
      <c r="E155" s="91"/>
      <c r="F155" s="91"/>
      <c r="G155" s="91"/>
      <c r="H155" s="91"/>
      <c r="I155" s="91"/>
      <c r="J155" s="91"/>
      <c r="K155" s="91"/>
    </row>
    <row r="156" ht="18.75" customHeight="1">
      <c r="A156" s="91"/>
      <c r="B156" s="92"/>
      <c r="C156" s="91"/>
      <c r="D156" s="91"/>
      <c r="E156" s="91"/>
      <c r="F156" s="91"/>
      <c r="G156" s="91"/>
      <c r="H156" s="91"/>
      <c r="I156" s="91"/>
      <c r="J156" s="91"/>
      <c r="K156" s="91"/>
    </row>
    <row r="157" ht="18.75" customHeight="1">
      <c r="A157" s="91"/>
      <c r="B157" s="92"/>
      <c r="C157" s="91"/>
      <c r="D157" s="91"/>
      <c r="E157" s="91"/>
      <c r="F157" s="91"/>
      <c r="G157" s="91"/>
      <c r="H157" s="91"/>
      <c r="I157" s="91"/>
      <c r="J157" s="91"/>
      <c r="K157" s="91"/>
    </row>
    <row r="158" ht="18.75" customHeight="1">
      <c r="A158" s="91"/>
      <c r="B158" s="92"/>
      <c r="C158" s="91"/>
      <c r="D158" s="91"/>
      <c r="E158" s="91"/>
      <c r="F158" s="91"/>
      <c r="G158" s="91"/>
      <c r="H158" s="91"/>
      <c r="I158" s="91"/>
      <c r="J158" s="91"/>
      <c r="K158" s="91"/>
    </row>
    <row r="159" ht="18.75" customHeight="1">
      <c r="A159" s="91"/>
      <c r="B159" s="92"/>
      <c r="C159" s="91"/>
      <c r="D159" s="91"/>
      <c r="E159" s="91"/>
      <c r="F159" s="91"/>
      <c r="G159" s="91"/>
      <c r="H159" s="91"/>
      <c r="I159" s="91"/>
      <c r="J159" s="91"/>
      <c r="K159" s="91"/>
    </row>
    <row r="160" ht="18.75" customHeight="1">
      <c r="A160" s="91"/>
      <c r="B160" s="92"/>
      <c r="C160" s="91"/>
      <c r="D160" s="91"/>
      <c r="E160" s="91"/>
      <c r="F160" s="91"/>
      <c r="G160" s="91"/>
      <c r="H160" s="91"/>
      <c r="I160" s="91"/>
      <c r="J160" s="91"/>
      <c r="K160" s="91"/>
    </row>
    <row r="161" ht="18.75" customHeight="1">
      <c r="A161" s="91"/>
      <c r="B161" s="92"/>
      <c r="C161" s="91"/>
      <c r="D161" s="91"/>
      <c r="E161" s="91"/>
      <c r="F161" s="91"/>
      <c r="G161" s="91"/>
      <c r="H161" s="91"/>
      <c r="I161" s="91"/>
      <c r="J161" s="91"/>
      <c r="K161" s="91"/>
    </row>
    <row r="162" ht="18.75" customHeight="1">
      <c r="A162" s="91"/>
      <c r="B162" s="92"/>
      <c r="C162" s="91"/>
      <c r="D162" s="91"/>
      <c r="E162" s="91"/>
      <c r="F162" s="91"/>
      <c r="G162" s="91"/>
      <c r="H162" s="91"/>
      <c r="I162" s="91"/>
      <c r="J162" s="91"/>
      <c r="K162" s="91"/>
    </row>
    <row r="163" ht="18.75" customHeight="1">
      <c r="A163" s="91"/>
      <c r="B163" s="92"/>
      <c r="C163" s="91"/>
      <c r="D163" s="91"/>
      <c r="E163" s="91"/>
      <c r="F163" s="91"/>
      <c r="G163" s="91"/>
      <c r="H163" s="91"/>
      <c r="I163" s="91"/>
      <c r="J163" s="91"/>
      <c r="K163" s="91"/>
    </row>
    <row r="164" ht="18.75" customHeight="1">
      <c r="A164" s="91"/>
      <c r="B164" s="92"/>
      <c r="C164" s="91"/>
      <c r="D164" s="91"/>
      <c r="E164" s="91"/>
      <c r="F164" s="91"/>
      <c r="G164" s="91"/>
      <c r="H164" s="91"/>
      <c r="I164" s="91"/>
      <c r="J164" s="91"/>
      <c r="K164" s="91"/>
    </row>
    <row r="165" ht="18.75" customHeight="1">
      <c r="A165" s="91"/>
      <c r="B165" s="92"/>
      <c r="C165" s="91"/>
      <c r="D165" s="91"/>
      <c r="E165" s="91"/>
      <c r="F165" s="91"/>
      <c r="G165" s="91"/>
      <c r="H165" s="91"/>
      <c r="I165" s="91"/>
      <c r="J165" s="91"/>
      <c r="K165" s="91"/>
    </row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</sheetData>
  <mergeCells count="22">
    <mergeCell ref="C3:D3"/>
    <mergeCell ref="C4:C5"/>
    <mergeCell ref="D4:D5"/>
    <mergeCell ref="A1:F1"/>
    <mergeCell ref="H1:J1"/>
    <mergeCell ref="A2:F2"/>
    <mergeCell ref="A3:A6"/>
    <mergeCell ref="B3:B6"/>
    <mergeCell ref="E3:E6"/>
    <mergeCell ref="F3:F6"/>
    <mergeCell ref="L33:L37"/>
    <mergeCell ref="L38:M38"/>
    <mergeCell ref="L39:L43"/>
    <mergeCell ref="H44:K44"/>
    <mergeCell ref="L44:M44"/>
    <mergeCell ref="L7:L15"/>
    <mergeCell ref="L16:M16"/>
    <mergeCell ref="L17:L25"/>
    <mergeCell ref="H22:J22"/>
    <mergeCell ref="L26:M26"/>
    <mergeCell ref="L27:L31"/>
    <mergeCell ref="L32:M32"/>
  </mergeCells>
  <dataValidations>
    <dataValidation type="list" allowBlank="1" showErrorMessage="1" sqref="H4:H6 H9:H19 H30:H41 E67:E165">
      <formula1>"1.1,1.2,1.3,2.1,2.2,2.3,2.4,2.5,2.6,2.7,2.8,2.9,2.11,2.12"</formula1>
    </dataValidation>
    <dataValidation type="list" allowBlank="1" showErrorMessage="1" sqref="E8:E66">
      <formula1>"1,1,1,2,1,3,2,1,2,2,2,3,2,4,2,5,2,6,2,7,2,8,2,9,2,11,2,12"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11" width="5.0"/>
    <col customWidth="1" min="12" max="12" width="14.0"/>
    <col customWidth="1" min="13" max="13" width="13.86"/>
    <col customWidth="1" min="14" max="15" width="14.0"/>
    <col customWidth="1" min="16" max="16" width="48.14"/>
    <col customWidth="1" min="17" max="26" width="14.0"/>
  </cols>
  <sheetData>
    <row r="1" ht="18.75" customHeight="1">
      <c r="A1" s="9" t="s">
        <v>20</v>
      </c>
      <c r="F1" s="10"/>
      <c r="G1" s="11"/>
      <c r="H1" s="12" t="s">
        <v>21</v>
      </c>
      <c r="I1" s="13"/>
      <c r="J1" s="14"/>
      <c r="K1" s="11"/>
    </row>
    <row r="2" ht="18.75" customHeight="1">
      <c r="A2" s="15" t="s">
        <v>101</v>
      </c>
      <c r="G2" s="11"/>
      <c r="H2" s="16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677508000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29" t="s">
        <v>32</v>
      </c>
      <c r="J4" s="25">
        <f>SUMIF($E$8:$E$54,1.1,$C$8:$C$45)</f>
        <v>677508000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29" t="s">
        <v>33</v>
      </c>
      <c r="J5" s="25">
        <f>SUMIF($E$8:$E$54,1.2,$C$8:$C$45)</f>
        <v>0</v>
      </c>
      <c r="K5" s="11"/>
    </row>
    <row r="6" ht="30.0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SUMIF($E$8:$E$54,1.3,$C$8:$C$45)</f>
        <v>0</v>
      </c>
      <c r="K6" s="11"/>
      <c r="L6" s="34" t="s">
        <v>35</v>
      </c>
      <c r="M6" s="35" t="s">
        <v>36</v>
      </c>
      <c r="N6" s="35" t="s">
        <v>37</v>
      </c>
      <c r="O6" s="35" t="s">
        <v>38</v>
      </c>
      <c r="P6" s="34" t="s">
        <v>39</v>
      </c>
    </row>
    <row r="7" ht="21.75" customHeight="1">
      <c r="A7" s="36"/>
      <c r="B7" s="37"/>
      <c r="C7" s="38">
        <f t="shared" ref="C7:D7" si="1">SUM(C8:C66)</f>
        <v>677508000</v>
      </c>
      <c r="D7" s="38">
        <f t="shared" si="1"/>
        <v>119346710</v>
      </c>
      <c r="E7" s="39"/>
      <c r="F7" s="40"/>
      <c r="G7" s="40" t="s">
        <v>40</v>
      </c>
      <c r="H7" s="41"/>
      <c r="I7" s="40"/>
      <c r="J7" s="42"/>
      <c r="K7" s="40"/>
      <c r="L7" s="43">
        <v>1.0</v>
      </c>
      <c r="M7" s="44"/>
      <c r="N7" s="45"/>
      <c r="O7" s="46"/>
      <c r="P7" s="47"/>
    </row>
    <row r="8" ht="18.75" customHeight="1">
      <c r="A8" s="48">
        <v>1.0</v>
      </c>
      <c r="B8" s="49">
        <v>46118.0</v>
      </c>
      <c r="C8" s="50"/>
      <c r="D8" s="50">
        <v>1.28E7</v>
      </c>
      <c r="E8" s="51" t="s">
        <v>67</v>
      </c>
      <c r="F8" s="52" t="s">
        <v>102</v>
      </c>
      <c r="G8" s="11"/>
      <c r="H8" s="23">
        <v>2.0</v>
      </c>
      <c r="I8" s="53" t="s">
        <v>45</v>
      </c>
      <c r="J8" s="25">
        <f>SUM(J9:J19)</f>
        <v>71820869</v>
      </c>
      <c r="K8" s="11"/>
      <c r="L8" s="54"/>
      <c r="M8" s="44"/>
      <c r="N8" s="45"/>
      <c r="O8" s="46"/>
      <c r="P8" s="47"/>
    </row>
    <row r="9" ht="18.75" customHeight="1">
      <c r="A9" s="55">
        <v>2.0</v>
      </c>
      <c r="B9" s="49">
        <v>46122.0</v>
      </c>
      <c r="C9" s="50"/>
      <c r="D9" s="50">
        <v>400721.0</v>
      </c>
      <c r="E9" s="51" t="s">
        <v>67</v>
      </c>
      <c r="F9" s="52" t="s">
        <v>103</v>
      </c>
      <c r="G9" s="56"/>
      <c r="H9" s="57">
        <v>2.1</v>
      </c>
      <c r="I9" s="58" t="s">
        <v>49</v>
      </c>
      <c r="J9" s="59">
        <f>SUMIF($E$8:$E$54,2.1,$D$8:$D$45)</f>
        <v>0</v>
      </c>
      <c r="K9" s="11"/>
      <c r="L9" s="54"/>
      <c r="M9" s="44"/>
      <c r="N9" s="60"/>
      <c r="O9" s="61"/>
      <c r="P9" s="47"/>
    </row>
    <row r="10" ht="18.75" customHeight="1">
      <c r="A10" s="55">
        <v>3.0</v>
      </c>
      <c r="B10" s="49">
        <v>46121.0</v>
      </c>
      <c r="C10" s="50">
        <v>6.912E7</v>
      </c>
      <c r="D10" s="50"/>
      <c r="E10" s="51" t="s">
        <v>51</v>
      </c>
      <c r="F10" s="52" t="s">
        <v>104</v>
      </c>
      <c r="G10" s="56"/>
      <c r="H10" s="57">
        <v>2.2</v>
      </c>
      <c r="I10" s="58" t="s">
        <v>53</v>
      </c>
      <c r="J10" s="25">
        <f>SUMIF($E$8:$E$54,2.2,$D$8:$D$45)</f>
        <v>49880833</v>
      </c>
      <c r="K10" s="11"/>
      <c r="L10" s="54"/>
      <c r="M10" s="44"/>
      <c r="N10" s="61"/>
      <c r="O10" s="60"/>
      <c r="P10" s="47"/>
    </row>
    <row r="11" ht="18.75" customHeight="1">
      <c r="A11" s="55">
        <v>4.0</v>
      </c>
      <c r="B11" s="49">
        <v>46122.0</v>
      </c>
      <c r="C11" s="50"/>
      <c r="D11" s="50">
        <v>6916000.0</v>
      </c>
      <c r="E11" s="51" t="s">
        <v>47</v>
      </c>
      <c r="F11" s="52" t="s">
        <v>105</v>
      </c>
      <c r="G11" s="56"/>
      <c r="H11" s="57">
        <v>2.3</v>
      </c>
      <c r="I11" s="58" t="s">
        <v>56</v>
      </c>
      <c r="J11" s="25">
        <f>SUMIF($E$8:$E$54,2.3,$D$8:$D$45)</f>
        <v>15024036</v>
      </c>
      <c r="K11" s="11"/>
      <c r="L11" s="54"/>
      <c r="M11" s="44"/>
      <c r="N11" s="60"/>
      <c r="O11" s="61"/>
      <c r="P11" s="47"/>
    </row>
    <row r="12" ht="18.75" customHeight="1">
      <c r="A12" s="55">
        <v>5.0</v>
      </c>
      <c r="B12" s="49">
        <v>46125.0</v>
      </c>
      <c r="C12" s="50">
        <v>6.0E7</v>
      </c>
      <c r="D12" s="50"/>
      <c r="E12" s="51" t="s">
        <v>51</v>
      </c>
      <c r="F12" s="52" t="s">
        <v>106</v>
      </c>
      <c r="G12" s="56"/>
      <c r="H12" s="57">
        <v>2.4</v>
      </c>
      <c r="I12" s="58" t="s">
        <v>59</v>
      </c>
      <c r="J12" s="25">
        <f>SUMIF($E$8:$E$54,2.4,$D$8:$D$45)</f>
        <v>0</v>
      </c>
      <c r="K12" s="11"/>
      <c r="L12" s="54"/>
      <c r="M12" s="44"/>
      <c r="N12" s="61"/>
      <c r="O12" s="60"/>
      <c r="P12" s="47"/>
    </row>
    <row r="13" ht="18.75" customHeight="1">
      <c r="A13" s="55">
        <v>6.0</v>
      </c>
      <c r="B13" s="49">
        <v>46126.0</v>
      </c>
      <c r="C13" s="50"/>
      <c r="D13" s="50">
        <v>4.5469841E7</v>
      </c>
      <c r="E13" s="62" t="s">
        <v>107</v>
      </c>
      <c r="F13" s="63" t="s">
        <v>108</v>
      </c>
      <c r="G13" s="56"/>
      <c r="H13" s="57">
        <v>2.5</v>
      </c>
      <c r="I13" s="58" t="s">
        <v>64</v>
      </c>
      <c r="J13" s="25">
        <f>SUMIF($E$8:$E$54,2.5,$D$8:$D$45)</f>
        <v>0</v>
      </c>
      <c r="K13" s="11"/>
      <c r="L13" s="54"/>
      <c r="M13" s="44"/>
      <c r="N13" s="61"/>
      <c r="O13" s="60"/>
      <c r="P13" s="47"/>
    </row>
    <row r="14" ht="18.75" customHeight="1">
      <c r="A14" s="55">
        <v>7.0</v>
      </c>
      <c r="B14" s="49">
        <v>46126.0</v>
      </c>
      <c r="C14" s="50">
        <v>1.2E8</v>
      </c>
      <c r="D14" s="50"/>
      <c r="E14" s="51" t="s">
        <v>51</v>
      </c>
      <c r="F14" s="63" t="s">
        <v>108</v>
      </c>
      <c r="G14" s="56"/>
      <c r="H14" s="57">
        <v>2.6</v>
      </c>
      <c r="I14" s="58" t="s">
        <v>66</v>
      </c>
      <c r="J14" s="25">
        <f>SUMIF($E$8:$E$54,2.6,$D$8:$D$45)</f>
        <v>6916000</v>
      </c>
      <c r="K14" s="11"/>
      <c r="L14" s="54"/>
      <c r="M14" s="64"/>
      <c r="N14" s="61"/>
      <c r="O14" s="46"/>
      <c r="P14" s="65"/>
    </row>
    <row r="15" ht="18.75" customHeight="1">
      <c r="A15" s="55">
        <v>8.0</v>
      </c>
      <c r="B15" s="49">
        <v>46131.0</v>
      </c>
      <c r="C15" s="50">
        <v>6.912E7</v>
      </c>
      <c r="D15" s="50"/>
      <c r="E15" s="51" t="s">
        <v>51</v>
      </c>
      <c r="F15" s="63" t="s">
        <v>109</v>
      </c>
      <c r="G15" s="56"/>
      <c r="H15" s="57">
        <v>2.7</v>
      </c>
      <c r="I15" s="58" t="s">
        <v>69</v>
      </c>
      <c r="J15" s="25">
        <f>SUMIF($E$8:$E$54,2.7,$D$8:$D$45)</f>
        <v>0</v>
      </c>
      <c r="K15" s="11"/>
      <c r="L15" s="54"/>
      <c r="M15" s="64"/>
      <c r="N15" s="61"/>
      <c r="O15" s="46"/>
      <c r="P15" s="65"/>
    </row>
    <row r="16" ht="18.75" customHeight="1">
      <c r="A16" s="55">
        <v>9.0</v>
      </c>
      <c r="B16" s="49">
        <v>46134.0</v>
      </c>
      <c r="C16" s="50">
        <v>2.7648E7</v>
      </c>
      <c r="D16" s="50"/>
      <c r="E16" s="51" t="s">
        <v>51</v>
      </c>
      <c r="F16" s="76" t="s">
        <v>52</v>
      </c>
      <c r="G16" s="56"/>
      <c r="H16" s="57">
        <v>2.8</v>
      </c>
      <c r="I16" s="58" t="s">
        <v>71</v>
      </c>
      <c r="J16" s="25">
        <f>SUMIF($E$8:$E$54,2.8,$D$8:$D$45)</f>
        <v>0</v>
      </c>
      <c r="K16" s="11"/>
      <c r="L16" s="66"/>
      <c r="M16" s="67"/>
      <c r="N16" s="68"/>
      <c r="O16" s="68"/>
      <c r="P16" s="65"/>
    </row>
    <row r="17" ht="18.75" customHeight="1">
      <c r="A17" s="55">
        <v>10.0</v>
      </c>
      <c r="B17" s="49">
        <v>46134.0</v>
      </c>
      <c r="C17" s="93">
        <v>6.75E7</v>
      </c>
      <c r="D17" s="50"/>
      <c r="E17" s="51" t="s">
        <v>51</v>
      </c>
      <c r="F17" s="52" t="s">
        <v>76</v>
      </c>
      <c r="G17" s="56"/>
      <c r="H17" s="57">
        <v>2.9</v>
      </c>
      <c r="I17" s="58" t="s">
        <v>74</v>
      </c>
      <c r="J17" s="25">
        <f>SUMIF($E$8:$E$54,2.9,$D$8:$D$45)</f>
        <v>0</v>
      </c>
      <c r="K17" s="11"/>
      <c r="L17" s="69"/>
      <c r="M17" s="70"/>
      <c r="N17" s="71"/>
      <c r="O17" s="61"/>
      <c r="P17" s="47"/>
    </row>
    <row r="18" ht="18.75" customHeight="1">
      <c r="A18" s="55">
        <v>11.0</v>
      </c>
      <c r="B18" s="49">
        <v>46134.0</v>
      </c>
      <c r="C18" s="50">
        <v>1.35E8</v>
      </c>
      <c r="D18" s="50"/>
      <c r="E18" s="51" t="s">
        <v>51</v>
      </c>
      <c r="F18" s="52" t="s">
        <v>76</v>
      </c>
      <c r="G18" s="56"/>
      <c r="H18" s="57">
        <v>2.11</v>
      </c>
      <c r="I18" s="58" t="s">
        <v>77</v>
      </c>
      <c r="J18" s="25">
        <f>SUMIF($E$8:$E$54,2.11,$D$8:$D$45)</f>
        <v>0</v>
      </c>
      <c r="K18" s="11"/>
      <c r="L18" s="54"/>
      <c r="M18" s="70"/>
      <c r="N18" s="45"/>
      <c r="O18" s="61"/>
      <c r="P18" s="47"/>
    </row>
    <row r="19" ht="18.75" customHeight="1">
      <c r="A19" s="55">
        <v>12.0</v>
      </c>
      <c r="B19" s="49">
        <v>46137.0</v>
      </c>
      <c r="C19" s="50">
        <v>6.912E7</v>
      </c>
      <c r="D19" s="50"/>
      <c r="E19" s="51" t="s">
        <v>51</v>
      </c>
      <c r="F19" s="76" t="s">
        <v>55</v>
      </c>
      <c r="G19" s="56"/>
      <c r="H19" s="57">
        <v>2.12</v>
      </c>
      <c r="I19" s="58" t="s">
        <v>80</v>
      </c>
      <c r="J19" s="25">
        <f>SUMIF($E$8:$E$54,2.12,$D$8:$D$45)</f>
        <v>0</v>
      </c>
      <c r="K19" s="11"/>
      <c r="L19" s="54"/>
      <c r="M19" s="70"/>
      <c r="N19" s="61"/>
      <c r="O19" s="45"/>
      <c r="P19" s="47"/>
    </row>
    <row r="20" ht="18.75" customHeight="1">
      <c r="A20" s="55">
        <v>13.0</v>
      </c>
      <c r="B20" s="49">
        <v>46141.0</v>
      </c>
      <c r="C20" s="50"/>
      <c r="D20" s="50">
        <v>1823315.0</v>
      </c>
      <c r="E20" s="51" t="s">
        <v>67</v>
      </c>
      <c r="F20" s="72" t="s">
        <v>110</v>
      </c>
      <c r="G20" s="56"/>
      <c r="H20" s="73">
        <v>3.0</v>
      </c>
      <c r="I20" s="74" t="s">
        <v>82</v>
      </c>
      <c r="J20" s="75">
        <f>J3-J8</f>
        <v>605687131</v>
      </c>
      <c r="K20" s="11"/>
      <c r="L20" s="54"/>
      <c r="M20" s="70"/>
      <c r="N20" s="61"/>
      <c r="O20" s="45"/>
      <c r="P20" s="47"/>
    </row>
    <row r="21" ht="18.75" customHeight="1">
      <c r="A21" s="55">
        <v>14.0</v>
      </c>
      <c r="B21" s="49">
        <v>46141.0</v>
      </c>
      <c r="C21" s="50"/>
      <c r="D21" s="50">
        <v>2056000.0</v>
      </c>
      <c r="E21" s="51" t="s">
        <v>111</v>
      </c>
      <c r="F21" s="76" t="s">
        <v>112</v>
      </c>
      <c r="G21" s="11"/>
      <c r="H21" s="11"/>
      <c r="I21" s="11"/>
      <c r="J21" s="11"/>
      <c r="K21" s="11"/>
      <c r="L21" s="54"/>
      <c r="M21" s="77"/>
      <c r="N21" s="61"/>
      <c r="O21" s="61"/>
      <c r="P21" s="65"/>
    </row>
    <row r="22" ht="18.75" customHeight="1">
      <c r="A22" s="55">
        <v>15.0</v>
      </c>
      <c r="B22" s="49">
        <v>46141.0</v>
      </c>
      <c r="C22" s="50">
        <v>6.0E7</v>
      </c>
      <c r="D22" s="50"/>
      <c r="E22" s="51" t="s">
        <v>51</v>
      </c>
      <c r="F22" s="76" t="s">
        <v>113</v>
      </c>
      <c r="G22" s="11"/>
      <c r="H22" s="12" t="s">
        <v>84</v>
      </c>
      <c r="I22" s="13"/>
      <c r="J22" s="14"/>
      <c r="K22" s="11"/>
      <c r="L22" s="54"/>
      <c r="M22" s="77"/>
      <c r="N22" s="61"/>
      <c r="O22" s="61"/>
      <c r="P22" s="65"/>
    </row>
    <row r="23" ht="18.75" customHeight="1">
      <c r="A23" s="55">
        <v>16.0</v>
      </c>
      <c r="B23" s="49">
        <v>46122.0</v>
      </c>
      <c r="C23" s="50"/>
      <c r="D23" s="50">
        <v>4.9880833E7</v>
      </c>
      <c r="E23" s="51" t="s">
        <v>62</v>
      </c>
      <c r="F23" s="63" t="s">
        <v>114</v>
      </c>
      <c r="G23" s="56"/>
      <c r="H23" s="58"/>
      <c r="I23" s="74" t="s">
        <v>24</v>
      </c>
      <c r="J23" s="57" t="s">
        <v>25</v>
      </c>
      <c r="K23" s="11"/>
      <c r="L23" s="54"/>
      <c r="M23" s="77"/>
      <c r="N23" s="61"/>
      <c r="O23" s="61"/>
      <c r="P23" s="65"/>
    </row>
    <row r="24" ht="18.75" customHeight="1">
      <c r="A24" s="55">
        <v>17.0</v>
      </c>
      <c r="B24" s="78"/>
      <c r="C24" s="50"/>
      <c r="D24" s="50"/>
      <c r="E24" s="79"/>
      <c r="F24" s="58"/>
      <c r="G24" s="56"/>
      <c r="H24" s="74" t="s">
        <v>86</v>
      </c>
      <c r="I24" s="74" t="s">
        <v>87</v>
      </c>
      <c r="J24" s="80">
        <v>0.0</v>
      </c>
      <c r="K24" s="11"/>
      <c r="L24" s="54"/>
      <c r="M24" s="77"/>
      <c r="N24" s="61"/>
      <c r="O24" s="61"/>
      <c r="P24" s="65"/>
    </row>
    <row r="25" ht="18.75" customHeight="1">
      <c r="A25" s="55">
        <v>18.0</v>
      </c>
      <c r="B25" s="78"/>
      <c r="C25" s="50"/>
      <c r="D25" s="50"/>
      <c r="E25" s="79"/>
      <c r="F25" s="81"/>
      <c r="G25" s="56"/>
      <c r="H25" s="74" t="s">
        <v>88</v>
      </c>
      <c r="I25" s="74" t="s">
        <v>89</v>
      </c>
      <c r="J25" s="82">
        <f>SUM(J26:J28)</f>
        <v>677508000</v>
      </c>
      <c r="K25" s="11"/>
      <c r="L25" s="54"/>
      <c r="M25" s="77"/>
      <c r="N25" s="61"/>
      <c r="O25" s="61"/>
      <c r="P25" s="65"/>
    </row>
    <row r="26" ht="18.75" customHeight="1">
      <c r="A26" s="55">
        <v>19.0</v>
      </c>
      <c r="B26" s="83"/>
      <c r="C26" s="50"/>
      <c r="D26" s="50"/>
      <c r="E26" s="79"/>
      <c r="F26" s="58"/>
      <c r="G26" s="56"/>
      <c r="H26" s="58"/>
      <c r="I26" s="58" t="s">
        <v>90</v>
      </c>
      <c r="J26" s="82">
        <f>J3</f>
        <v>677508000</v>
      </c>
      <c r="K26" s="11"/>
      <c r="L26" s="66" t="s">
        <v>72</v>
      </c>
      <c r="M26" s="67"/>
      <c r="N26" s="68">
        <f t="shared" ref="N26:O26" si="2">SUM(N17:N25)</f>
        <v>0</v>
      </c>
      <c r="O26" s="68">
        <f t="shared" si="2"/>
        <v>0</v>
      </c>
      <c r="P26" s="65"/>
    </row>
    <row r="27" ht="18.75" customHeight="1">
      <c r="A27" s="55">
        <v>20.0</v>
      </c>
      <c r="B27" s="83"/>
      <c r="C27" s="50"/>
      <c r="D27" s="50"/>
      <c r="E27" s="79"/>
      <c r="F27" s="58"/>
      <c r="G27" s="56"/>
      <c r="H27" s="58"/>
      <c r="I27" s="58" t="s">
        <v>91</v>
      </c>
      <c r="J27" s="74"/>
      <c r="K27" s="11"/>
      <c r="L27" s="84"/>
      <c r="M27" s="77"/>
      <c r="N27" s="65"/>
      <c r="O27" s="61"/>
      <c r="P27" s="65"/>
    </row>
    <row r="28" ht="18.75" customHeight="1">
      <c r="A28" s="55">
        <v>21.0</v>
      </c>
      <c r="B28" s="83"/>
      <c r="C28" s="50"/>
      <c r="D28" s="50"/>
      <c r="E28" s="79"/>
      <c r="F28" s="58"/>
      <c r="G28" s="56"/>
      <c r="H28" s="58"/>
      <c r="I28" s="58" t="s">
        <v>92</v>
      </c>
      <c r="J28" s="74"/>
      <c r="K28" s="11"/>
      <c r="L28" s="54"/>
      <c r="M28" s="77"/>
      <c r="N28" s="61"/>
      <c r="O28" s="61"/>
      <c r="P28" s="65"/>
    </row>
    <row r="29" ht="18.75" customHeight="1">
      <c r="A29" s="55">
        <v>22.0</v>
      </c>
      <c r="B29" s="83"/>
      <c r="C29" s="50"/>
      <c r="D29" s="50"/>
      <c r="E29" s="79"/>
      <c r="F29" s="58"/>
      <c r="G29" s="56"/>
      <c r="H29" s="74" t="s">
        <v>93</v>
      </c>
      <c r="I29" s="74" t="s">
        <v>94</v>
      </c>
      <c r="J29" s="82">
        <f>SUM(J30:J41)</f>
        <v>71820869</v>
      </c>
      <c r="K29" s="11"/>
      <c r="L29" s="54"/>
      <c r="M29" s="77"/>
      <c r="N29" s="61"/>
      <c r="O29" s="61"/>
      <c r="P29" s="65"/>
    </row>
    <row r="30" ht="18.75" customHeight="1">
      <c r="A30" s="55">
        <v>23.0</v>
      </c>
      <c r="B30" s="83"/>
      <c r="C30" s="50"/>
      <c r="D30" s="50"/>
      <c r="E30" s="79"/>
      <c r="F30" s="85" t="s">
        <v>95</v>
      </c>
      <c r="G30" s="56"/>
      <c r="H30" s="57">
        <v>2.1</v>
      </c>
      <c r="I30" s="58" t="s">
        <v>49</v>
      </c>
      <c r="J30" s="82">
        <f>J9</f>
        <v>0</v>
      </c>
      <c r="K30" s="11"/>
      <c r="L30" s="54"/>
      <c r="M30" s="77"/>
      <c r="N30" s="61"/>
      <c r="O30" s="61"/>
      <c r="P30" s="65"/>
    </row>
    <row r="31" ht="18.75" customHeight="1">
      <c r="A31" s="55">
        <v>24.0</v>
      </c>
      <c r="B31" s="83"/>
      <c r="C31" s="50"/>
      <c r="D31" s="50"/>
      <c r="E31" s="79"/>
      <c r="F31" s="58"/>
      <c r="G31" s="56"/>
      <c r="H31" s="28">
        <v>1.3</v>
      </c>
      <c r="I31" s="58" t="s">
        <v>96</v>
      </c>
      <c r="J31" s="80"/>
      <c r="K31" s="11"/>
      <c r="L31" s="54"/>
      <c r="M31" s="77"/>
      <c r="N31" s="61"/>
      <c r="O31" s="61"/>
      <c r="P31" s="65"/>
    </row>
    <row r="32" ht="18.75" customHeight="1">
      <c r="A32" s="55">
        <v>25.0</v>
      </c>
      <c r="B32" s="83"/>
      <c r="C32" s="50"/>
      <c r="D32" s="50"/>
      <c r="E32" s="79"/>
      <c r="F32" s="58"/>
      <c r="G32" s="56"/>
      <c r="H32" s="57">
        <v>2.2</v>
      </c>
      <c r="I32" s="58" t="s">
        <v>53</v>
      </c>
      <c r="J32" s="82">
        <f t="shared" ref="J32:J41" si="4">J10</f>
        <v>49880833</v>
      </c>
      <c r="K32" s="11"/>
      <c r="L32" s="66" t="s">
        <v>72</v>
      </c>
      <c r="M32" s="67"/>
      <c r="N32" s="68">
        <f t="shared" ref="N32:O32" si="3">SUM(N27:N31)</f>
        <v>0</v>
      </c>
      <c r="O32" s="68">
        <f t="shared" si="3"/>
        <v>0</v>
      </c>
      <c r="P32" s="65"/>
    </row>
    <row r="33" ht="18.75" customHeight="1">
      <c r="A33" s="55">
        <v>26.0</v>
      </c>
      <c r="B33" s="83"/>
      <c r="C33" s="50"/>
      <c r="D33" s="50"/>
      <c r="E33" s="79"/>
      <c r="F33" s="58"/>
      <c r="G33" s="56"/>
      <c r="H33" s="57">
        <v>2.3</v>
      </c>
      <c r="I33" s="58" t="s">
        <v>56</v>
      </c>
      <c r="J33" s="82">
        <f t="shared" si="4"/>
        <v>15024036</v>
      </c>
      <c r="K33" s="11"/>
      <c r="L33" s="84"/>
      <c r="M33" s="77"/>
      <c r="N33" s="65"/>
      <c r="O33" s="61"/>
      <c r="P33" s="65"/>
    </row>
    <row r="34" ht="18.75" customHeight="1">
      <c r="A34" s="55">
        <v>27.0</v>
      </c>
      <c r="B34" s="83"/>
      <c r="C34" s="50"/>
      <c r="D34" s="50"/>
      <c r="E34" s="79"/>
      <c r="F34" s="58"/>
      <c r="G34" s="56"/>
      <c r="H34" s="57">
        <v>2.4</v>
      </c>
      <c r="I34" s="58" t="s">
        <v>59</v>
      </c>
      <c r="J34" s="82">
        <f t="shared" si="4"/>
        <v>0</v>
      </c>
      <c r="K34" s="11"/>
      <c r="L34" s="54"/>
      <c r="M34" s="77"/>
      <c r="N34" s="61"/>
      <c r="O34" s="61"/>
      <c r="P34" s="65"/>
    </row>
    <row r="35" ht="18.75" customHeight="1">
      <c r="A35" s="55">
        <v>28.0</v>
      </c>
      <c r="B35" s="83"/>
      <c r="C35" s="50"/>
      <c r="D35" s="50"/>
      <c r="E35" s="79"/>
      <c r="F35" s="58"/>
      <c r="G35" s="56"/>
      <c r="H35" s="57">
        <v>2.5</v>
      </c>
      <c r="I35" s="58" t="s">
        <v>64</v>
      </c>
      <c r="J35" s="82">
        <f t="shared" si="4"/>
        <v>0</v>
      </c>
      <c r="K35" s="11"/>
      <c r="L35" s="54"/>
      <c r="M35" s="77"/>
      <c r="N35" s="61"/>
      <c r="O35" s="61"/>
      <c r="P35" s="65"/>
    </row>
    <row r="36" ht="18.75" customHeight="1">
      <c r="A36" s="55">
        <v>29.0</v>
      </c>
      <c r="B36" s="83"/>
      <c r="C36" s="50"/>
      <c r="D36" s="50"/>
      <c r="E36" s="79"/>
      <c r="F36" s="58"/>
      <c r="G36" s="56"/>
      <c r="H36" s="57">
        <v>2.6</v>
      </c>
      <c r="I36" s="58" t="s">
        <v>66</v>
      </c>
      <c r="J36" s="82">
        <f t="shared" si="4"/>
        <v>6916000</v>
      </c>
      <c r="K36" s="11"/>
      <c r="L36" s="54"/>
      <c r="M36" s="77"/>
      <c r="N36" s="61"/>
      <c r="O36" s="61"/>
      <c r="P36" s="65"/>
    </row>
    <row r="37" ht="18.75" customHeight="1">
      <c r="A37" s="55">
        <v>30.0</v>
      </c>
      <c r="B37" s="83"/>
      <c r="C37" s="50"/>
      <c r="D37" s="50"/>
      <c r="E37" s="79"/>
      <c r="F37" s="58"/>
      <c r="G37" s="56"/>
      <c r="H37" s="57">
        <v>2.7</v>
      </c>
      <c r="I37" s="58" t="s">
        <v>69</v>
      </c>
      <c r="J37" s="82">
        <f t="shared" si="4"/>
        <v>0</v>
      </c>
      <c r="K37" s="11"/>
      <c r="L37" s="54"/>
      <c r="M37" s="77"/>
      <c r="N37" s="61"/>
      <c r="O37" s="61"/>
      <c r="P37" s="65"/>
    </row>
    <row r="38" ht="18.75" customHeight="1">
      <c r="A38" s="55">
        <v>31.0</v>
      </c>
      <c r="B38" s="83"/>
      <c r="C38" s="50"/>
      <c r="D38" s="50"/>
      <c r="E38" s="79"/>
      <c r="F38" s="58"/>
      <c r="G38" s="56"/>
      <c r="H38" s="57">
        <v>2.8</v>
      </c>
      <c r="I38" s="58" t="s">
        <v>71</v>
      </c>
      <c r="J38" s="82">
        <f t="shared" si="4"/>
        <v>0</v>
      </c>
      <c r="K38" s="11"/>
      <c r="L38" s="66" t="s">
        <v>72</v>
      </c>
      <c r="M38" s="67"/>
      <c r="N38" s="68">
        <f t="shared" ref="N38:O38" si="5">SUM(N33:N37)</f>
        <v>0</v>
      </c>
      <c r="O38" s="68">
        <f t="shared" si="5"/>
        <v>0</v>
      </c>
      <c r="P38" s="65"/>
    </row>
    <row r="39" ht="18.75" customHeight="1">
      <c r="A39" s="55">
        <v>32.0</v>
      </c>
      <c r="B39" s="83"/>
      <c r="C39" s="50"/>
      <c r="D39" s="50"/>
      <c r="E39" s="79"/>
      <c r="F39" s="58"/>
      <c r="G39" s="56"/>
      <c r="H39" s="57">
        <v>2.9</v>
      </c>
      <c r="I39" s="58" t="s">
        <v>74</v>
      </c>
      <c r="J39" s="82">
        <f t="shared" si="4"/>
        <v>0</v>
      </c>
      <c r="K39" s="11"/>
      <c r="L39" s="84"/>
      <c r="M39" s="77"/>
      <c r="N39" s="61"/>
      <c r="O39" s="61"/>
      <c r="P39" s="65"/>
    </row>
    <row r="40" ht="18.75" customHeight="1">
      <c r="A40" s="55">
        <v>33.0</v>
      </c>
      <c r="B40" s="83"/>
      <c r="C40" s="50"/>
      <c r="D40" s="50"/>
      <c r="E40" s="79"/>
      <c r="F40" s="58"/>
      <c r="G40" s="56"/>
      <c r="H40" s="57">
        <v>2.11</v>
      </c>
      <c r="I40" s="58" t="s">
        <v>77</v>
      </c>
      <c r="J40" s="82">
        <f t="shared" si="4"/>
        <v>0</v>
      </c>
      <c r="K40" s="11"/>
      <c r="L40" s="54"/>
      <c r="M40" s="77"/>
      <c r="N40" s="61"/>
      <c r="O40" s="61"/>
      <c r="P40" s="65"/>
    </row>
    <row r="41" ht="18.75" customHeight="1">
      <c r="A41" s="55">
        <v>34.0</v>
      </c>
      <c r="B41" s="83"/>
      <c r="C41" s="50"/>
      <c r="D41" s="50"/>
      <c r="E41" s="79"/>
      <c r="F41" s="58"/>
      <c r="G41" s="56"/>
      <c r="H41" s="57">
        <v>2.12</v>
      </c>
      <c r="I41" s="58" t="s">
        <v>97</v>
      </c>
      <c r="J41" s="82">
        <f t="shared" si="4"/>
        <v>0</v>
      </c>
      <c r="K41" s="11"/>
      <c r="L41" s="54"/>
      <c r="M41" s="77"/>
      <c r="N41" s="61"/>
      <c r="O41" s="61"/>
      <c r="P41" s="65"/>
    </row>
    <row r="42" ht="18.75" customHeight="1">
      <c r="A42" s="55">
        <v>35.0</v>
      </c>
      <c r="B42" s="83"/>
      <c r="C42" s="50"/>
      <c r="D42" s="50"/>
      <c r="E42" s="79"/>
      <c r="F42" s="58"/>
      <c r="G42" s="56"/>
      <c r="H42" s="74" t="s">
        <v>98</v>
      </c>
      <c r="I42" s="74" t="s">
        <v>5</v>
      </c>
      <c r="J42" s="25">
        <f>J24+J25-J29</f>
        <v>605687131</v>
      </c>
      <c r="K42" s="11"/>
      <c r="L42" s="54"/>
      <c r="M42" s="77"/>
      <c r="N42" s="61"/>
      <c r="O42" s="61"/>
      <c r="P42" s="65"/>
    </row>
    <row r="43" ht="18.75" customHeight="1">
      <c r="A43" s="55">
        <v>36.0</v>
      </c>
      <c r="B43" s="83"/>
      <c r="C43" s="50"/>
      <c r="D43" s="50"/>
      <c r="E43" s="79"/>
      <c r="F43" s="58"/>
      <c r="G43" s="11"/>
      <c r="H43" s="11"/>
      <c r="I43" s="11"/>
      <c r="J43" s="11"/>
      <c r="K43" s="11"/>
      <c r="L43" s="54"/>
      <c r="M43" s="77"/>
      <c r="N43" s="61"/>
      <c r="O43" s="61"/>
      <c r="P43" s="65"/>
    </row>
    <row r="44" ht="18.75" customHeight="1">
      <c r="A44" s="55">
        <v>37.0</v>
      </c>
      <c r="B44" s="83"/>
      <c r="C44" s="50"/>
      <c r="D44" s="50"/>
      <c r="E44" s="79"/>
      <c r="F44" s="58"/>
      <c r="G44" s="11"/>
      <c r="H44" s="86" t="s">
        <v>99</v>
      </c>
      <c r="I44" s="87"/>
      <c r="J44" s="87"/>
      <c r="K44" s="21"/>
      <c r="L44" s="66" t="s">
        <v>72</v>
      </c>
      <c r="M44" s="67"/>
      <c r="N44" s="68">
        <f>SUM(N39:N42)</f>
        <v>0</v>
      </c>
      <c r="O44" s="68">
        <f>SUM(O39:O43)</f>
        <v>0</v>
      </c>
      <c r="P44" s="65"/>
    </row>
    <row r="45" ht="18.75" customHeight="1">
      <c r="A45" s="55">
        <v>38.0</v>
      </c>
      <c r="B45" s="83"/>
      <c r="C45" s="50"/>
      <c r="D45" s="50"/>
      <c r="E45" s="79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>
        <v>39.0</v>
      </c>
      <c r="B46" s="83"/>
      <c r="C46" s="50"/>
      <c r="D46" s="50"/>
      <c r="E46" s="79"/>
      <c r="F46" s="58"/>
      <c r="G46" s="56"/>
      <c r="H46" s="74" t="s">
        <v>86</v>
      </c>
      <c r="I46" s="74" t="s">
        <v>87</v>
      </c>
      <c r="J46" s="82">
        <f>J42</f>
        <v>605687131</v>
      </c>
      <c r="K46" s="89"/>
    </row>
    <row r="47" ht="18.75" customHeight="1">
      <c r="A47" s="55">
        <v>40.0</v>
      </c>
      <c r="B47" s="83"/>
      <c r="C47" s="50"/>
      <c r="D47" s="50"/>
      <c r="E47" s="79"/>
      <c r="F47" s="58"/>
      <c r="G47" s="56"/>
      <c r="H47" s="74" t="s">
        <v>88</v>
      </c>
      <c r="I47" s="74" t="s">
        <v>89</v>
      </c>
      <c r="J47" s="82">
        <f>SUM(J48:J54)</f>
        <v>0</v>
      </c>
      <c r="K47" s="89"/>
    </row>
    <row r="48" ht="18.75" customHeight="1">
      <c r="A48" s="55">
        <v>41.0</v>
      </c>
      <c r="B48" s="83"/>
      <c r="C48" s="50"/>
      <c r="D48" s="50"/>
      <c r="E48" s="79"/>
      <c r="F48" s="58"/>
      <c r="G48" s="56"/>
      <c r="H48" s="58"/>
      <c r="I48" s="58"/>
      <c r="J48" s="90"/>
      <c r="K48" s="89"/>
    </row>
    <row r="49" ht="18.75" customHeight="1">
      <c r="A49" s="55">
        <v>42.0</v>
      </c>
      <c r="B49" s="83"/>
      <c r="C49" s="50"/>
      <c r="D49" s="50"/>
      <c r="E49" s="79"/>
      <c r="F49" s="58"/>
      <c r="G49" s="56"/>
      <c r="H49" s="58"/>
      <c r="I49" s="58"/>
      <c r="J49" s="90"/>
      <c r="K49" s="89"/>
    </row>
    <row r="50" ht="18.75" customHeight="1">
      <c r="A50" s="55">
        <v>43.0</v>
      </c>
      <c r="B50" s="83"/>
      <c r="C50" s="50"/>
      <c r="D50" s="50"/>
      <c r="E50" s="79"/>
      <c r="F50" s="58"/>
      <c r="G50" s="56"/>
      <c r="H50" s="58"/>
      <c r="I50" s="58"/>
      <c r="J50" s="90"/>
      <c r="K50" s="89"/>
    </row>
    <row r="51" ht="18.75" customHeight="1">
      <c r="A51" s="55">
        <v>44.0</v>
      </c>
      <c r="B51" s="83"/>
      <c r="C51" s="50"/>
      <c r="D51" s="50"/>
      <c r="E51" s="79"/>
      <c r="F51" s="58"/>
      <c r="G51" s="56"/>
      <c r="H51" s="58"/>
      <c r="I51" s="58"/>
      <c r="J51" s="90"/>
      <c r="K51" s="89"/>
    </row>
    <row r="52" ht="18.75" customHeight="1">
      <c r="A52" s="55">
        <v>45.0</v>
      </c>
      <c r="B52" s="83"/>
      <c r="C52" s="50"/>
      <c r="D52" s="50"/>
      <c r="E52" s="79"/>
      <c r="F52" s="58"/>
      <c r="G52" s="56"/>
      <c r="H52" s="58"/>
      <c r="I52" s="58"/>
      <c r="J52" s="74"/>
      <c r="K52" s="89"/>
    </row>
    <row r="53" ht="18.75" customHeight="1">
      <c r="A53" s="55">
        <v>46.0</v>
      </c>
      <c r="B53" s="83"/>
      <c r="C53" s="50"/>
      <c r="D53" s="50"/>
      <c r="E53" s="79"/>
      <c r="F53" s="58"/>
      <c r="G53" s="56"/>
      <c r="H53" s="58"/>
      <c r="I53" s="58"/>
      <c r="J53" s="74"/>
      <c r="K53" s="89"/>
    </row>
    <row r="54" ht="18.75" customHeight="1">
      <c r="A54" s="55">
        <v>47.0</v>
      </c>
      <c r="B54" s="83"/>
      <c r="C54" s="50"/>
      <c r="D54" s="50"/>
      <c r="E54" s="79"/>
      <c r="F54" s="58"/>
      <c r="G54" s="56"/>
      <c r="H54" s="58"/>
      <c r="I54" s="58"/>
      <c r="J54" s="74"/>
      <c r="K54" s="89"/>
    </row>
    <row r="55" ht="18.75" customHeight="1">
      <c r="A55" s="55">
        <v>48.0</v>
      </c>
      <c r="B55" s="83"/>
      <c r="C55" s="50"/>
      <c r="D55" s="50"/>
      <c r="E55" s="79"/>
      <c r="F55" s="58"/>
      <c r="G55" s="56"/>
      <c r="H55" s="74" t="s">
        <v>93</v>
      </c>
      <c r="I55" s="74" t="s">
        <v>94</v>
      </c>
      <c r="J55" s="90">
        <f>SUM(J56:J65)</f>
        <v>0</v>
      </c>
      <c r="K55" s="89"/>
    </row>
    <row r="56" ht="18.75" customHeight="1">
      <c r="A56" s="55">
        <v>49.0</v>
      </c>
      <c r="B56" s="83"/>
      <c r="C56" s="50"/>
      <c r="D56" s="50"/>
      <c r="E56" s="79"/>
      <c r="F56" s="58"/>
      <c r="G56" s="56"/>
      <c r="H56" s="58"/>
      <c r="I56" s="58"/>
      <c r="J56" s="90"/>
      <c r="K56" s="83"/>
    </row>
    <row r="57" ht="18.75" customHeight="1">
      <c r="A57" s="55">
        <v>50.0</v>
      </c>
      <c r="B57" s="83"/>
      <c r="C57" s="50"/>
      <c r="D57" s="50"/>
      <c r="E57" s="79"/>
      <c r="F57" s="58"/>
      <c r="G57" s="56"/>
      <c r="H57" s="58"/>
      <c r="I57" s="58"/>
      <c r="J57" s="90"/>
      <c r="K57" s="83"/>
    </row>
    <row r="58" ht="18.75" customHeight="1">
      <c r="A58" s="55">
        <v>51.0</v>
      </c>
      <c r="B58" s="83"/>
      <c r="C58" s="50"/>
      <c r="D58" s="50"/>
      <c r="E58" s="79"/>
      <c r="F58" s="58"/>
      <c r="G58" s="56"/>
      <c r="H58" s="58"/>
      <c r="I58" s="58"/>
      <c r="J58" s="90"/>
      <c r="K58" s="83"/>
    </row>
    <row r="59" ht="18.75" customHeight="1">
      <c r="A59" s="55">
        <v>52.0</v>
      </c>
      <c r="B59" s="83"/>
      <c r="C59" s="50"/>
      <c r="D59" s="50"/>
      <c r="E59" s="79"/>
      <c r="F59" s="58"/>
      <c r="G59" s="56"/>
      <c r="H59" s="58"/>
      <c r="I59" s="58"/>
      <c r="J59" s="90"/>
      <c r="K59" s="83"/>
    </row>
    <row r="60" ht="18.75" customHeight="1">
      <c r="A60" s="55">
        <v>53.0</v>
      </c>
      <c r="B60" s="83"/>
      <c r="C60" s="50"/>
      <c r="D60" s="50"/>
      <c r="E60" s="79"/>
      <c r="F60" s="58"/>
      <c r="G60" s="56"/>
      <c r="H60" s="58"/>
      <c r="I60" s="58"/>
      <c r="J60" s="90"/>
      <c r="K60" s="89"/>
    </row>
    <row r="61" ht="18.75" customHeight="1">
      <c r="A61" s="55">
        <v>54.0</v>
      </c>
      <c r="B61" s="83"/>
      <c r="C61" s="50"/>
      <c r="D61" s="50"/>
      <c r="E61" s="79"/>
      <c r="F61" s="58"/>
      <c r="G61" s="56"/>
      <c r="H61" s="58"/>
      <c r="I61" s="58"/>
      <c r="J61" s="90"/>
      <c r="K61" s="89"/>
    </row>
    <row r="62" ht="18.75" customHeight="1">
      <c r="A62" s="55">
        <v>55.0</v>
      </c>
      <c r="B62" s="83"/>
      <c r="C62" s="50"/>
      <c r="D62" s="50"/>
      <c r="E62" s="79"/>
      <c r="F62" s="58"/>
      <c r="G62" s="56"/>
      <c r="H62" s="58"/>
      <c r="I62" s="58"/>
      <c r="J62" s="90"/>
      <c r="K62" s="89"/>
    </row>
    <row r="63" ht="18.75" customHeight="1">
      <c r="A63" s="55">
        <v>56.0</v>
      </c>
      <c r="B63" s="83"/>
      <c r="C63" s="50"/>
      <c r="D63" s="50"/>
      <c r="E63" s="79"/>
      <c r="F63" s="58"/>
      <c r="G63" s="56"/>
      <c r="H63" s="58"/>
      <c r="I63" s="58"/>
      <c r="J63" s="90"/>
      <c r="K63" s="89"/>
    </row>
    <row r="64" ht="18.75" customHeight="1">
      <c r="A64" s="55">
        <v>57.0</v>
      </c>
      <c r="B64" s="83"/>
      <c r="C64" s="50"/>
      <c r="D64" s="50"/>
      <c r="E64" s="79"/>
      <c r="F64" s="58"/>
      <c r="G64" s="56"/>
      <c r="H64" s="58"/>
      <c r="I64" s="58"/>
      <c r="J64" s="90"/>
      <c r="K64" s="89"/>
    </row>
    <row r="65" ht="18.75" customHeight="1">
      <c r="A65" s="55">
        <v>58.0</v>
      </c>
      <c r="B65" s="83"/>
      <c r="C65" s="50"/>
      <c r="D65" s="50"/>
      <c r="E65" s="79"/>
      <c r="F65" s="58"/>
      <c r="G65" s="56"/>
      <c r="H65" s="58"/>
      <c r="I65" s="58"/>
      <c r="J65" s="90"/>
      <c r="K65" s="89"/>
    </row>
    <row r="66" ht="18.75" customHeight="1">
      <c r="A66" s="55">
        <v>59.0</v>
      </c>
      <c r="B66" s="83"/>
      <c r="C66" s="50"/>
      <c r="D66" s="50"/>
      <c r="E66" s="79"/>
      <c r="F66" s="58"/>
      <c r="G66" s="56"/>
      <c r="H66" s="74" t="s">
        <v>98</v>
      </c>
      <c r="I66" s="74" t="s">
        <v>5</v>
      </c>
      <c r="J66" s="25">
        <f>J46+J47-J55</f>
        <v>605687131</v>
      </c>
      <c r="K66" s="89"/>
    </row>
    <row r="67" ht="18.75" customHeight="1">
      <c r="A67" s="91"/>
      <c r="B67" s="92"/>
      <c r="C67" s="91"/>
      <c r="D67" s="91"/>
      <c r="E67" s="91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91"/>
      <c r="E68" s="91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91"/>
      <c r="E69" s="91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91"/>
      <c r="E70" s="91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91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91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91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91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91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91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91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91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91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91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91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91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91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91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91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91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91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91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91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91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91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91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91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91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91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>
      <c r="A154" s="91"/>
      <c r="B154" s="92"/>
      <c r="C154" s="91"/>
      <c r="D154" s="91"/>
      <c r="E154" s="91"/>
      <c r="F154" s="91"/>
      <c r="G154" s="91"/>
      <c r="H154" s="91"/>
      <c r="I154" s="91"/>
      <c r="J154" s="91"/>
      <c r="K154" s="91"/>
    </row>
    <row r="155" ht="18.75" customHeight="1">
      <c r="A155" s="91"/>
      <c r="B155" s="92"/>
      <c r="C155" s="91"/>
      <c r="D155" s="91"/>
      <c r="E155" s="91"/>
      <c r="F155" s="91"/>
      <c r="G155" s="91"/>
      <c r="H155" s="91"/>
      <c r="I155" s="91"/>
      <c r="J155" s="91"/>
      <c r="K155" s="91"/>
    </row>
    <row r="156" ht="18.75" customHeight="1">
      <c r="A156" s="91"/>
      <c r="B156" s="92"/>
      <c r="C156" s="91"/>
      <c r="D156" s="91"/>
      <c r="E156" s="91"/>
      <c r="F156" s="91"/>
      <c r="G156" s="91"/>
      <c r="H156" s="91"/>
      <c r="I156" s="91"/>
      <c r="J156" s="91"/>
      <c r="K156" s="91"/>
    </row>
    <row r="157" ht="18.75" customHeight="1">
      <c r="A157" s="91"/>
      <c r="B157" s="92"/>
      <c r="C157" s="91"/>
      <c r="D157" s="91"/>
      <c r="E157" s="91"/>
      <c r="F157" s="91"/>
      <c r="G157" s="91"/>
      <c r="H157" s="91"/>
      <c r="I157" s="91"/>
      <c r="J157" s="91"/>
      <c r="K157" s="91"/>
    </row>
    <row r="158" ht="18.75" customHeight="1">
      <c r="A158" s="91"/>
      <c r="B158" s="92"/>
      <c r="C158" s="91"/>
      <c r="D158" s="91"/>
      <c r="E158" s="91"/>
      <c r="F158" s="91"/>
      <c r="G158" s="91"/>
      <c r="H158" s="91"/>
      <c r="I158" s="91"/>
      <c r="J158" s="91"/>
      <c r="K158" s="91"/>
    </row>
    <row r="159" ht="18.75" customHeight="1">
      <c r="A159" s="91"/>
      <c r="B159" s="92"/>
      <c r="C159" s="91"/>
      <c r="D159" s="91"/>
      <c r="E159" s="91"/>
      <c r="F159" s="91"/>
      <c r="G159" s="91"/>
      <c r="H159" s="91"/>
      <c r="I159" s="91"/>
      <c r="J159" s="91"/>
      <c r="K159" s="91"/>
    </row>
    <row r="160" ht="18.75" customHeight="1">
      <c r="A160" s="91"/>
      <c r="B160" s="92"/>
      <c r="C160" s="91"/>
      <c r="D160" s="91"/>
      <c r="E160" s="91"/>
      <c r="F160" s="91"/>
      <c r="G160" s="91"/>
      <c r="H160" s="91"/>
      <c r="I160" s="91"/>
      <c r="J160" s="91"/>
      <c r="K160" s="91"/>
    </row>
    <row r="161" ht="18.75" customHeight="1">
      <c r="A161" s="91"/>
      <c r="B161" s="92"/>
      <c r="C161" s="91"/>
      <c r="D161" s="91"/>
      <c r="E161" s="91"/>
      <c r="F161" s="91"/>
      <c r="G161" s="91"/>
      <c r="H161" s="91"/>
      <c r="I161" s="91"/>
      <c r="J161" s="91"/>
      <c r="K161" s="91"/>
    </row>
    <row r="162" ht="18.75" customHeight="1">
      <c r="A162" s="91"/>
      <c r="B162" s="92"/>
      <c r="C162" s="91"/>
      <c r="D162" s="91"/>
      <c r="E162" s="91"/>
      <c r="F162" s="91"/>
      <c r="G162" s="91"/>
      <c r="H162" s="91"/>
      <c r="I162" s="91"/>
      <c r="J162" s="91"/>
      <c r="K162" s="91"/>
    </row>
    <row r="163" ht="18.75" customHeight="1">
      <c r="A163" s="91"/>
      <c r="B163" s="92"/>
      <c r="C163" s="91"/>
      <c r="D163" s="91"/>
      <c r="E163" s="91"/>
      <c r="F163" s="91"/>
      <c r="G163" s="91"/>
      <c r="H163" s="91"/>
      <c r="I163" s="91"/>
      <c r="J163" s="91"/>
      <c r="K163" s="91"/>
    </row>
    <row r="164" ht="18.75" customHeight="1">
      <c r="A164" s="91"/>
      <c r="B164" s="92"/>
      <c r="C164" s="91"/>
      <c r="D164" s="91"/>
      <c r="E164" s="91"/>
      <c r="F164" s="91"/>
      <c r="G164" s="91"/>
      <c r="H164" s="91"/>
      <c r="I164" s="91"/>
      <c r="J164" s="91"/>
      <c r="K164" s="91"/>
    </row>
    <row r="165" ht="18.75" customHeight="1">
      <c r="A165" s="91"/>
      <c r="B165" s="92"/>
      <c r="C165" s="91"/>
      <c r="D165" s="91"/>
      <c r="E165" s="91"/>
      <c r="F165" s="91"/>
      <c r="G165" s="91"/>
      <c r="H165" s="91"/>
      <c r="I165" s="91"/>
      <c r="J165" s="91"/>
      <c r="K165" s="91"/>
    </row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</sheetData>
  <mergeCells count="22">
    <mergeCell ref="C3:D3"/>
    <mergeCell ref="C4:C5"/>
    <mergeCell ref="D4:D5"/>
    <mergeCell ref="A1:F1"/>
    <mergeCell ref="H1:J1"/>
    <mergeCell ref="A2:F2"/>
    <mergeCell ref="A3:A6"/>
    <mergeCell ref="B3:B6"/>
    <mergeCell ref="E3:E6"/>
    <mergeCell ref="F3:F6"/>
    <mergeCell ref="L33:L37"/>
    <mergeCell ref="L38:M38"/>
    <mergeCell ref="L39:L43"/>
    <mergeCell ref="H44:K44"/>
    <mergeCell ref="L44:M44"/>
    <mergeCell ref="L7:L15"/>
    <mergeCell ref="L16:M16"/>
    <mergeCell ref="L17:L25"/>
    <mergeCell ref="H22:J22"/>
    <mergeCell ref="L26:M26"/>
    <mergeCell ref="L27:L31"/>
    <mergeCell ref="L32:M32"/>
  </mergeCells>
  <dataValidations>
    <dataValidation type="list" allowBlank="1" showErrorMessage="1" sqref="H4:H6 H9:H19 H30:H41 E67:E165">
      <formula1>"1.1,1.2,1.3,2.1,2.2,2.3,2.4,2.5,2.6,2.7,2.8,2.9,2.11,2.12"</formula1>
    </dataValidation>
    <dataValidation type="list" allowBlank="1" showErrorMessage="1" sqref="E8:E66">
      <formula1>"1,1,1,2,1,3,2,1,2,2,2,3,2,4,2,5,2,6,2,7,2,8,2,9,2,11,2,12"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11" width="5.0"/>
    <col customWidth="1" min="12" max="12" width="14.0"/>
    <col customWidth="1" min="13" max="13" width="13.86"/>
    <col customWidth="1" min="14" max="15" width="14.0"/>
    <col customWidth="1" min="16" max="16" width="48.14"/>
    <col customWidth="1" min="17" max="26" width="14.0"/>
  </cols>
  <sheetData>
    <row r="1" ht="18.75" customHeight="1">
      <c r="A1" s="9" t="s">
        <v>20</v>
      </c>
      <c r="F1" s="10"/>
      <c r="G1" s="11"/>
      <c r="H1" s="12" t="s">
        <v>21</v>
      </c>
      <c r="I1" s="13"/>
      <c r="J1" s="14"/>
      <c r="K1" s="11"/>
    </row>
    <row r="2" ht="18.75" customHeight="1">
      <c r="A2" s="15" t="s">
        <v>115</v>
      </c>
      <c r="G2" s="11"/>
      <c r="H2" s="16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87048000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29" t="s">
        <v>32</v>
      </c>
      <c r="J4" s="25">
        <f>SUMIF($E$8:$E$54,1.1,$C$8:$C$45)</f>
        <v>87048000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29" t="s">
        <v>33</v>
      </c>
      <c r="J5" s="25">
        <f>SUMIF($E$8:$E$54,1.2,$C$8:$C$45)</f>
        <v>0</v>
      </c>
      <c r="K5" s="11"/>
    </row>
    <row r="6" ht="30.0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SUMIF($E$8:$E$54,1.3,$C$8:$C$45)</f>
        <v>0</v>
      </c>
      <c r="K6" s="11"/>
      <c r="L6" s="34" t="s">
        <v>35</v>
      </c>
      <c r="M6" s="35" t="s">
        <v>36</v>
      </c>
      <c r="N6" s="35" t="s">
        <v>37</v>
      </c>
      <c r="O6" s="35" t="s">
        <v>38</v>
      </c>
      <c r="P6" s="34" t="s">
        <v>39</v>
      </c>
    </row>
    <row r="7" ht="21.75" customHeight="1">
      <c r="A7" s="36"/>
      <c r="B7" s="37"/>
      <c r="C7" s="38">
        <f t="shared" ref="C7:D7" si="1">SUM(C8:C66)</f>
        <v>87048000</v>
      </c>
      <c r="D7" s="38">
        <f t="shared" si="1"/>
        <v>51675498</v>
      </c>
      <c r="E7" s="39"/>
      <c r="F7" s="40"/>
      <c r="G7" s="40" t="s">
        <v>40</v>
      </c>
      <c r="H7" s="41"/>
      <c r="I7" s="40"/>
      <c r="J7" s="42"/>
      <c r="K7" s="40"/>
      <c r="L7" s="43">
        <v>1.0</v>
      </c>
      <c r="M7" s="44"/>
      <c r="N7" s="45"/>
      <c r="O7" s="46"/>
      <c r="P7" s="47"/>
    </row>
    <row r="8" ht="18.75" customHeight="1">
      <c r="A8" s="48">
        <v>1.0</v>
      </c>
      <c r="B8" s="49">
        <v>46146.0</v>
      </c>
      <c r="C8" s="50">
        <v>5.94E7</v>
      </c>
      <c r="D8" s="50"/>
      <c r="E8" s="51" t="s">
        <v>51</v>
      </c>
      <c r="F8" s="52" t="s">
        <v>58</v>
      </c>
      <c r="G8" s="11"/>
      <c r="H8" s="23">
        <v>2.0</v>
      </c>
      <c r="I8" s="53" t="s">
        <v>45</v>
      </c>
      <c r="J8" s="25">
        <f>SUM(J9:J19)</f>
        <v>51675498</v>
      </c>
      <c r="K8" s="11"/>
      <c r="L8" s="54"/>
      <c r="M8" s="44"/>
      <c r="N8" s="45"/>
      <c r="O8" s="46"/>
      <c r="P8" s="47"/>
    </row>
    <row r="9" ht="18.75" customHeight="1">
      <c r="A9" s="55">
        <v>2.0</v>
      </c>
      <c r="B9" s="49">
        <v>46147.0</v>
      </c>
      <c r="C9" s="50">
        <v>2.7648E7</v>
      </c>
      <c r="D9" s="50"/>
      <c r="E9" s="51" t="s">
        <v>51</v>
      </c>
      <c r="F9" s="76" t="s">
        <v>52</v>
      </c>
      <c r="G9" s="56"/>
      <c r="H9" s="57">
        <v>2.1</v>
      </c>
      <c r="I9" s="58" t="s">
        <v>49</v>
      </c>
      <c r="J9" s="59">
        <f>SUMIF($E$8:$E$54,2.1,$D$8:$D$45)</f>
        <v>0</v>
      </c>
      <c r="K9" s="11"/>
      <c r="L9" s="54"/>
      <c r="M9" s="44"/>
      <c r="N9" s="60"/>
      <c r="O9" s="61"/>
      <c r="P9" s="47"/>
    </row>
    <row r="10" ht="18.75" customHeight="1">
      <c r="A10" s="55">
        <v>3.0</v>
      </c>
      <c r="B10" s="49">
        <v>46148.0</v>
      </c>
      <c r="C10" s="50"/>
      <c r="D10" s="50">
        <v>6987998.0</v>
      </c>
      <c r="E10" s="51" t="s">
        <v>47</v>
      </c>
      <c r="F10" s="52" t="s">
        <v>116</v>
      </c>
      <c r="G10" s="56"/>
      <c r="H10" s="57">
        <v>2.2</v>
      </c>
      <c r="I10" s="58" t="s">
        <v>53</v>
      </c>
      <c r="J10" s="25">
        <f>SUMIF($E$8:$E$54,2.2,$D$8:$D$45)</f>
        <v>38347500</v>
      </c>
      <c r="K10" s="11"/>
      <c r="L10" s="54"/>
      <c r="M10" s="44"/>
      <c r="N10" s="61"/>
      <c r="O10" s="60"/>
      <c r="P10" s="47"/>
    </row>
    <row r="11" ht="18.75" customHeight="1">
      <c r="A11" s="55">
        <v>4.0</v>
      </c>
      <c r="B11" s="49">
        <v>46148.0</v>
      </c>
      <c r="C11" s="50"/>
      <c r="D11" s="50">
        <v>6340000.0</v>
      </c>
      <c r="E11" s="51" t="s">
        <v>67</v>
      </c>
      <c r="F11" s="52" t="s">
        <v>117</v>
      </c>
      <c r="G11" s="56"/>
      <c r="H11" s="57">
        <v>2.3</v>
      </c>
      <c r="I11" s="58" t="s">
        <v>56</v>
      </c>
      <c r="J11" s="25">
        <f>SUMIF($E$8:$E$54,2.3,$D$8:$D$45)</f>
        <v>6340000</v>
      </c>
      <c r="K11" s="11"/>
      <c r="L11" s="54"/>
      <c r="M11" s="44"/>
      <c r="N11" s="60"/>
      <c r="O11" s="61"/>
      <c r="P11" s="47"/>
    </row>
    <row r="12" ht="18.75" customHeight="1">
      <c r="A12" s="55">
        <v>5.0</v>
      </c>
      <c r="B12" s="49">
        <v>46153.0</v>
      </c>
      <c r="C12" s="50"/>
      <c r="D12" s="50">
        <v>3.83475E7</v>
      </c>
      <c r="E12" s="51" t="s">
        <v>62</v>
      </c>
      <c r="F12" s="63" t="s">
        <v>118</v>
      </c>
      <c r="G12" s="56"/>
      <c r="H12" s="57">
        <v>2.4</v>
      </c>
      <c r="I12" s="58" t="s">
        <v>59</v>
      </c>
      <c r="J12" s="25">
        <f>SUMIF($E$8:$E$54,2.4,$D$8:$D$45)</f>
        <v>0</v>
      </c>
      <c r="K12" s="11"/>
      <c r="L12" s="54"/>
      <c r="M12" s="44"/>
      <c r="N12" s="61"/>
      <c r="O12" s="60"/>
      <c r="P12" s="47"/>
    </row>
    <row r="13" ht="18.75" customHeight="1">
      <c r="A13" s="55">
        <v>6.0</v>
      </c>
      <c r="B13" s="49"/>
      <c r="C13" s="50"/>
      <c r="D13" s="50"/>
      <c r="E13" s="62"/>
      <c r="F13" s="63"/>
      <c r="G13" s="56"/>
      <c r="H13" s="57">
        <v>2.5</v>
      </c>
      <c r="I13" s="58" t="s">
        <v>64</v>
      </c>
      <c r="J13" s="25">
        <f>SUMIF($E$8:$E$54,2.5,$D$8:$D$45)</f>
        <v>0</v>
      </c>
      <c r="K13" s="11"/>
      <c r="L13" s="54"/>
      <c r="M13" s="44"/>
      <c r="N13" s="61"/>
      <c r="O13" s="60"/>
      <c r="P13" s="47"/>
    </row>
    <row r="14" ht="18.75" customHeight="1">
      <c r="A14" s="55">
        <v>7.0</v>
      </c>
      <c r="B14" s="49"/>
      <c r="C14" s="50"/>
      <c r="D14" s="50"/>
      <c r="E14" s="51"/>
      <c r="F14" s="63"/>
      <c r="G14" s="56"/>
      <c r="H14" s="57">
        <v>2.6</v>
      </c>
      <c r="I14" s="58" t="s">
        <v>66</v>
      </c>
      <c r="J14" s="25">
        <f>SUMIF($E$8:$E$54,2.6,$D$8:$D$45)</f>
        <v>6987998</v>
      </c>
      <c r="K14" s="11"/>
      <c r="L14" s="54"/>
      <c r="M14" s="64"/>
      <c r="N14" s="61"/>
      <c r="O14" s="46"/>
      <c r="P14" s="65"/>
    </row>
    <row r="15" ht="18.75" customHeight="1">
      <c r="A15" s="55">
        <v>8.0</v>
      </c>
      <c r="B15" s="49"/>
      <c r="C15" s="50"/>
      <c r="D15" s="50"/>
      <c r="E15" s="51"/>
      <c r="F15" s="63"/>
      <c r="G15" s="56"/>
      <c r="H15" s="57">
        <v>2.7</v>
      </c>
      <c r="I15" s="58" t="s">
        <v>69</v>
      </c>
      <c r="J15" s="25">
        <f>SUMIF($E$8:$E$54,2.7,$D$8:$D$45)</f>
        <v>0</v>
      </c>
      <c r="K15" s="11"/>
      <c r="L15" s="54"/>
      <c r="M15" s="64"/>
      <c r="N15" s="61"/>
      <c r="O15" s="46"/>
      <c r="P15" s="65"/>
    </row>
    <row r="16" ht="18.75" customHeight="1">
      <c r="A16" s="55">
        <v>9.0</v>
      </c>
      <c r="B16" s="49"/>
      <c r="C16" s="50"/>
      <c r="D16" s="50"/>
      <c r="E16" s="51"/>
      <c r="F16" s="76"/>
      <c r="G16" s="56"/>
      <c r="H16" s="57">
        <v>2.8</v>
      </c>
      <c r="I16" s="58" t="s">
        <v>71</v>
      </c>
      <c r="J16" s="25">
        <f>SUMIF($E$8:$E$54,2.8,$D$8:$D$45)</f>
        <v>0</v>
      </c>
      <c r="K16" s="11"/>
      <c r="L16" s="66"/>
      <c r="M16" s="67"/>
      <c r="N16" s="68"/>
      <c r="O16" s="68"/>
      <c r="P16" s="65"/>
    </row>
    <row r="17" ht="18.75" customHeight="1">
      <c r="A17" s="55">
        <v>10.0</v>
      </c>
      <c r="B17" s="49"/>
      <c r="C17" s="93"/>
      <c r="D17" s="50"/>
      <c r="E17" s="51"/>
      <c r="F17" s="52"/>
      <c r="G17" s="56"/>
      <c r="H17" s="57">
        <v>2.9</v>
      </c>
      <c r="I17" s="58" t="s">
        <v>74</v>
      </c>
      <c r="J17" s="25">
        <f>SUMIF($E$8:$E$54,2.9,$D$8:$D$45)</f>
        <v>0</v>
      </c>
      <c r="K17" s="11"/>
      <c r="L17" s="69"/>
      <c r="M17" s="70"/>
      <c r="N17" s="71"/>
      <c r="O17" s="61"/>
      <c r="P17" s="47"/>
    </row>
    <row r="18" ht="18.75" customHeight="1">
      <c r="A18" s="55">
        <v>11.0</v>
      </c>
      <c r="B18" s="49"/>
      <c r="C18" s="50"/>
      <c r="D18" s="50"/>
      <c r="E18" s="51"/>
      <c r="F18" s="94"/>
      <c r="G18" s="95"/>
      <c r="H18" s="57">
        <v>2.11</v>
      </c>
      <c r="I18" s="58" t="s">
        <v>77</v>
      </c>
      <c r="J18" s="25">
        <f>SUMIF($E$8:$E$54,2.11,$D$8:$D$45)</f>
        <v>0</v>
      </c>
      <c r="K18" s="11"/>
      <c r="L18" s="54"/>
      <c r="M18" s="70"/>
      <c r="N18" s="45"/>
      <c r="O18" s="61"/>
      <c r="P18" s="47"/>
    </row>
    <row r="19" ht="18.75" customHeight="1">
      <c r="A19" s="55">
        <v>12.0</v>
      </c>
      <c r="B19" s="49"/>
      <c r="C19" s="50"/>
      <c r="D19" s="50"/>
      <c r="E19" s="51"/>
      <c r="F19" s="96"/>
      <c r="G19" s="95"/>
      <c r="H19" s="57">
        <v>2.12</v>
      </c>
      <c r="I19" s="58" t="s">
        <v>80</v>
      </c>
      <c r="J19" s="25">
        <f>SUMIF($E$8:$E$54,2.12,$D$8:$D$45)</f>
        <v>0</v>
      </c>
      <c r="K19" s="11"/>
      <c r="L19" s="54"/>
      <c r="M19" s="70"/>
      <c r="N19" s="61"/>
      <c r="O19" s="45"/>
      <c r="P19" s="47"/>
    </row>
    <row r="20" ht="18.75" customHeight="1">
      <c r="A20" s="55">
        <v>13.0</v>
      </c>
      <c r="B20" s="49"/>
      <c r="C20" s="50"/>
      <c r="D20" s="50"/>
      <c r="E20" s="51"/>
      <c r="F20" s="96"/>
      <c r="G20" s="95"/>
      <c r="H20" s="73">
        <v>3.0</v>
      </c>
      <c r="I20" s="74" t="s">
        <v>82</v>
      </c>
      <c r="J20" s="75">
        <f>J3-J8</f>
        <v>35372502</v>
      </c>
      <c r="K20" s="11"/>
      <c r="L20" s="54"/>
      <c r="M20" s="70"/>
      <c r="N20" s="61"/>
      <c r="O20" s="45"/>
      <c r="P20" s="47"/>
    </row>
    <row r="21" ht="18.75" customHeight="1">
      <c r="A21" s="55">
        <v>14.0</v>
      </c>
      <c r="B21" s="49"/>
      <c r="C21" s="50"/>
      <c r="D21" s="50"/>
      <c r="E21" s="51"/>
      <c r="F21" s="76"/>
      <c r="G21" s="11"/>
      <c r="H21" s="11"/>
      <c r="I21" s="11"/>
      <c r="J21" s="11"/>
      <c r="K21" s="11"/>
      <c r="L21" s="54"/>
      <c r="M21" s="77"/>
      <c r="N21" s="61"/>
      <c r="O21" s="61"/>
      <c r="P21" s="65"/>
    </row>
    <row r="22" ht="18.75" customHeight="1">
      <c r="A22" s="55">
        <v>15.0</v>
      </c>
      <c r="B22" s="49"/>
      <c r="C22" s="50"/>
      <c r="D22" s="50"/>
      <c r="E22" s="51"/>
      <c r="F22" s="76"/>
      <c r="G22" s="11"/>
      <c r="H22" s="12" t="s">
        <v>84</v>
      </c>
      <c r="I22" s="13"/>
      <c r="J22" s="14"/>
      <c r="K22" s="11"/>
      <c r="L22" s="54"/>
      <c r="M22" s="77"/>
      <c r="N22" s="61"/>
      <c r="O22" s="61"/>
      <c r="P22" s="65"/>
    </row>
    <row r="23" ht="18.75" customHeight="1">
      <c r="A23" s="55">
        <v>16.0</v>
      </c>
      <c r="B23" s="49"/>
      <c r="C23" s="50"/>
      <c r="D23" s="50"/>
      <c r="E23" s="51"/>
      <c r="F23" s="76"/>
      <c r="G23" s="56"/>
      <c r="H23" s="58"/>
      <c r="I23" s="74" t="s">
        <v>24</v>
      </c>
      <c r="J23" s="57" t="s">
        <v>25</v>
      </c>
      <c r="K23" s="11"/>
      <c r="L23" s="54"/>
      <c r="M23" s="77"/>
      <c r="N23" s="61"/>
      <c r="O23" s="61"/>
      <c r="P23" s="65"/>
    </row>
    <row r="24" ht="18.75" customHeight="1">
      <c r="A24" s="55">
        <v>17.0</v>
      </c>
      <c r="B24" s="78"/>
      <c r="C24" s="50"/>
      <c r="D24" s="50"/>
      <c r="E24" s="79"/>
      <c r="F24" s="58"/>
      <c r="G24" s="56"/>
      <c r="H24" s="74" t="s">
        <v>86</v>
      </c>
      <c r="I24" s="74" t="s">
        <v>87</v>
      </c>
      <c r="J24" s="80">
        <v>0.0</v>
      </c>
      <c r="K24" s="11"/>
      <c r="L24" s="54"/>
      <c r="M24" s="77"/>
      <c r="N24" s="61"/>
      <c r="O24" s="61"/>
      <c r="P24" s="65"/>
    </row>
    <row r="25" ht="18.75" customHeight="1">
      <c r="A25" s="55">
        <v>18.0</v>
      </c>
      <c r="B25" s="78"/>
      <c r="C25" s="50"/>
      <c r="D25" s="50"/>
      <c r="E25" s="79"/>
      <c r="F25" s="81"/>
      <c r="G25" s="56"/>
      <c r="H25" s="74" t="s">
        <v>88</v>
      </c>
      <c r="I25" s="74" t="s">
        <v>89</v>
      </c>
      <c r="J25" s="82">
        <f>SUM(J26:J28)</f>
        <v>87048000</v>
      </c>
      <c r="K25" s="11"/>
      <c r="L25" s="54"/>
      <c r="M25" s="77"/>
      <c r="N25" s="61"/>
      <c r="O25" s="61"/>
      <c r="P25" s="65"/>
    </row>
    <row r="26" ht="18.75" customHeight="1">
      <c r="A26" s="55">
        <v>19.0</v>
      </c>
      <c r="B26" s="83"/>
      <c r="C26" s="50"/>
      <c r="D26" s="50"/>
      <c r="E26" s="79"/>
      <c r="F26" s="58"/>
      <c r="G26" s="56"/>
      <c r="H26" s="58"/>
      <c r="I26" s="58" t="s">
        <v>90</v>
      </c>
      <c r="J26" s="82">
        <f>J3</f>
        <v>87048000</v>
      </c>
      <c r="K26" s="11"/>
      <c r="L26" s="66" t="s">
        <v>72</v>
      </c>
      <c r="M26" s="67"/>
      <c r="N26" s="68">
        <f t="shared" ref="N26:O26" si="2">SUM(N17:N25)</f>
        <v>0</v>
      </c>
      <c r="O26" s="68">
        <f t="shared" si="2"/>
        <v>0</v>
      </c>
      <c r="P26" s="65"/>
    </row>
    <row r="27" ht="18.75" customHeight="1">
      <c r="A27" s="55">
        <v>20.0</v>
      </c>
      <c r="B27" s="83"/>
      <c r="C27" s="50"/>
      <c r="D27" s="50"/>
      <c r="E27" s="79"/>
      <c r="F27" s="58"/>
      <c r="G27" s="56"/>
      <c r="H27" s="58"/>
      <c r="I27" s="58" t="s">
        <v>91</v>
      </c>
      <c r="J27" s="74"/>
      <c r="K27" s="11"/>
      <c r="L27" s="84"/>
      <c r="M27" s="77"/>
      <c r="N27" s="65"/>
      <c r="O27" s="61"/>
      <c r="P27" s="65"/>
    </row>
    <row r="28" ht="18.75" customHeight="1">
      <c r="A28" s="55">
        <v>21.0</v>
      </c>
      <c r="B28" s="83"/>
      <c r="C28" s="50"/>
      <c r="D28" s="50"/>
      <c r="E28" s="79"/>
      <c r="F28" s="58"/>
      <c r="G28" s="56"/>
      <c r="H28" s="58"/>
      <c r="I28" s="58" t="s">
        <v>92</v>
      </c>
      <c r="J28" s="74"/>
      <c r="K28" s="11"/>
      <c r="L28" s="54"/>
      <c r="M28" s="77"/>
      <c r="N28" s="61"/>
      <c r="O28" s="61"/>
      <c r="P28" s="65"/>
    </row>
    <row r="29" ht="18.75" customHeight="1">
      <c r="A29" s="55">
        <v>22.0</v>
      </c>
      <c r="B29" s="83"/>
      <c r="C29" s="50"/>
      <c r="D29" s="50"/>
      <c r="E29" s="79"/>
      <c r="F29" s="58"/>
      <c r="G29" s="56"/>
      <c r="H29" s="74" t="s">
        <v>93</v>
      </c>
      <c r="I29" s="74" t="s">
        <v>94</v>
      </c>
      <c r="J29" s="82">
        <f>SUM(J30:J41)</f>
        <v>51675498</v>
      </c>
      <c r="K29" s="11"/>
      <c r="L29" s="54"/>
      <c r="M29" s="77"/>
      <c r="N29" s="61"/>
      <c r="O29" s="61"/>
      <c r="P29" s="65"/>
    </row>
    <row r="30" ht="18.75" customHeight="1">
      <c r="A30" s="55">
        <v>23.0</v>
      </c>
      <c r="B30" s="83"/>
      <c r="C30" s="50"/>
      <c r="D30" s="50"/>
      <c r="E30" s="79"/>
      <c r="F30" s="85" t="s">
        <v>95</v>
      </c>
      <c r="G30" s="56"/>
      <c r="H30" s="57">
        <v>2.1</v>
      </c>
      <c r="I30" s="58" t="s">
        <v>49</v>
      </c>
      <c r="J30" s="82">
        <f>J9</f>
        <v>0</v>
      </c>
      <c r="K30" s="11"/>
      <c r="L30" s="54"/>
      <c r="M30" s="77"/>
      <c r="N30" s="61"/>
      <c r="O30" s="61"/>
      <c r="P30" s="65"/>
    </row>
    <row r="31" ht="18.75" customHeight="1">
      <c r="A31" s="55">
        <v>24.0</v>
      </c>
      <c r="B31" s="83"/>
      <c r="C31" s="50"/>
      <c r="D31" s="50"/>
      <c r="E31" s="79"/>
      <c r="F31" s="58"/>
      <c r="G31" s="56"/>
      <c r="H31" s="28">
        <v>1.3</v>
      </c>
      <c r="I31" s="58" t="s">
        <v>96</v>
      </c>
      <c r="J31" s="80"/>
      <c r="K31" s="11"/>
      <c r="L31" s="54"/>
      <c r="M31" s="77"/>
      <c r="N31" s="61"/>
      <c r="O31" s="61"/>
      <c r="P31" s="65"/>
    </row>
    <row r="32" ht="18.75" customHeight="1">
      <c r="A32" s="55">
        <v>25.0</v>
      </c>
      <c r="B32" s="83"/>
      <c r="C32" s="50"/>
      <c r="D32" s="50"/>
      <c r="E32" s="79"/>
      <c r="F32" s="58"/>
      <c r="G32" s="56"/>
      <c r="H32" s="57">
        <v>2.2</v>
      </c>
      <c r="I32" s="58" t="s">
        <v>53</v>
      </c>
      <c r="J32" s="82">
        <f t="shared" ref="J32:J41" si="4">J10</f>
        <v>38347500</v>
      </c>
      <c r="K32" s="11"/>
      <c r="L32" s="66" t="s">
        <v>72</v>
      </c>
      <c r="M32" s="67"/>
      <c r="N32" s="68">
        <f t="shared" ref="N32:O32" si="3">SUM(N27:N31)</f>
        <v>0</v>
      </c>
      <c r="O32" s="68">
        <f t="shared" si="3"/>
        <v>0</v>
      </c>
      <c r="P32" s="65"/>
    </row>
    <row r="33" ht="18.75" customHeight="1">
      <c r="A33" s="55">
        <v>26.0</v>
      </c>
      <c r="B33" s="83"/>
      <c r="C33" s="50"/>
      <c r="D33" s="50"/>
      <c r="E33" s="79"/>
      <c r="F33" s="58"/>
      <c r="G33" s="56"/>
      <c r="H33" s="57">
        <v>2.3</v>
      </c>
      <c r="I33" s="58" t="s">
        <v>56</v>
      </c>
      <c r="J33" s="82">
        <f t="shared" si="4"/>
        <v>6340000</v>
      </c>
      <c r="K33" s="11"/>
      <c r="L33" s="84"/>
      <c r="M33" s="77"/>
      <c r="N33" s="65"/>
      <c r="O33" s="61"/>
      <c r="P33" s="65"/>
    </row>
    <row r="34" ht="18.75" customHeight="1">
      <c r="A34" s="55">
        <v>27.0</v>
      </c>
      <c r="B34" s="83"/>
      <c r="C34" s="50"/>
      <c r="D34" s="50"/>
      <c r="E34" s="79"/>
      <c r="F34" s="58"/>
      <c r="G34" s="56"/>
      <c r="H34" s="57">
        <v>2.4</v>
      </c>
      <c r="I34" s="58" t="s">
        <v>59</v>
      </c>
      <c r="J34" s="82">
        <f t="shared" si="4"/>
        <v>0</v>
      </c>
      <c r="K34" s="11"/>
      <c r="L34" s="54"/>
      <c r="M34" s="77"/>
      <c r="N34" s="61"/>
      <c r="O34" s="61"/>
      <c r="P34" s="65"/>
    </row>
    <row r="35" ht="18.75" customHeight="1">
      <c r="A35" s="55">
        <v>28.0</v>
      </c>
      <c r="B35" s="83"/>
      <c r="C35" s="50"/>
      <c r="D35" s="50"/>
      <c r="E35" s="79"/>
      <c r="F35" s="58"/>
      <c r="G35" s="56"/>
      <c r="H35" s="57">
        <v>2.5</v>
      </c>
      <c r="I35" s="58" t="s">
        <v>64</v>
      </c>
      <c r="J35" s="82">
        <f t="shared" si="4"/>
        <v>0</v>
      </c>
      <c r="K35" s="11"/>
      <c r="L35" s="54"/>
      <c r="M35" s="77"/>
      <c r="N35" s="61"/>
      <c r="O35" s="61"/>
      <c r="P35" s="65"/>
    </row>
    <row r="36" ht="18.75" customHeight="1">
      <c r="A36" s="55">
        <v>29.0</v>
      </c>
      <c r="B36" s="83"/>
      <c r="C36" s="50"/>
      <c r="D36" s="50"/>
      <c r="E36" s="79"/>
      <c r="F36" s="58"/>
      <c r="G36" s="56"/>
      <c r="H36" s="57">
        <v>2.6</v>
      </c>
      <c r="I36" s="58" t="s">
        <v>66</v>
      </c>
      <c r="J36" s="82">
        <f t="shared" si="4"/>
        <v>6987998</v>
      </c>
      <c r="K36" s="11"/>
      <c r="L36" s="54"/>
      <c r="M36" s="77"/>
      <c r="N36" s="61"/>
      <c r="O36" s="61"/>
      <c r="P36" s="65"/>
    </row>
    <row r="37" ht="18.75" customHeight="1">
      <c r="A37" s="55">
        <v>30.0</v>
      </c>
      <c r="B37" s="83"/>
      <c r="C37" s="50"/>
      <c r="D37" s="50"/>
      <c r="E37" s="79"/>
      <c r="F37" s="58"/>
      <c r="G37" s="56"/>
      <c r="H37" s="57">
        <v>2.7</v>
      </c>
      <c r="I37" s="58" t="s">
        <v>69</v>
      </c>
      <c r="J37" s="82">
        <f t="shared" si="4"/>
        <v>0</v>
      </c>
      <c r="K37" s="11"/>
      <c r="L37" s="54"/>
      <c r="M37" s="77"/>
      <c r="N37" s="61"/>
      <c r="O37" s="61"/>
      <c r="P37" s="65"/>
    </row>
    <row r="38" ht="18.75" customHeight="1">
      <c r="A38" s="55">
        <v>31.0</v>
      </c>
      <c r="B38" s="83"/>
      <c r="C38" s="50"/>
      <c r="D38" s="50"/>
      <c r="E38" s="79"/>
      <c r="F38" s="58"/>
      <c r="G38" s="56"/>
      <c r="H38" s="57">
        <v>2.8</v>
      </c>
      <c r="I38" s="58" t="s">
        <v>71</v>
      </c>
      <c r="J38" s="82">
        <f t="shared" si="4"/>
        <v>0</v>
      </c>
      <c r="K38" s="11"/>
      <c r="L38" s="66" t="s">
        <v>72</v>
      </c>
      <c r="M38" s="67"/>
      <c r="N38" s="68">
        <f t="shared" ref="N38:O38" si="5">SUM(N33:N37)</f>
        <v>0</v>
      </c>
      <c r="O38" s="68">
        <f t="shared" si="5"/>
        <v>0</v>
      </c>
      <c r="P38" s="65"/>
    </row>
    <row r="39" ht="18.75" customHeight="1">
      <c r="A39" s="55">
        <v>32.0</v>
      </c>
      <c r="B39" s="83"/>
      <c r="C39" s="50"/>
      <c r="D39" s="50"/>
      <c r="E39" s="79"/>
      <c r="F39" s="58"/>
      <c r="G39" s="56"/>
      <c r="H39" s="57">
        <v>2.9</v>
      </c>
      <c r="I39" s="58" t="s">
        <v>74</v>
      </c>
      <c r="J39" s="82">
        <f t="shared" si="4"/>
        <v>0</v>
      </c>
      <c r="K39" s="11"/>
      <c r="L39" s="84"/>
      <c r="M39" s="77"/>
      <c r="N39" s="61"/>
      <c r="O39" s="61"/>
      <c r="P39" s="65"/>
    </row>
    <row r="40" ht="18.75" customHeight="1">
      <c r="A40" s="55">
        <v>33.0</v>
      </c>
      <c r="B40" s="83"/>
      <c r="C40" s="50"/>
      <c r="D40" s="50"/>
      <c r="E40" s="79"/>
      <c r="F40" s="58"/>
      <c r="G40" s="56"/>
      <c r="H40" s="57">
        <v>2.11</v>
      </c>
      <c r="I40" s="58" t="s">
        <v>77</v>
      </c>
      <c r="J40" s="82">
        <f t="shared" si="4"/>
        <v>0</v>
      </c>
      <c r="K40" s="11"/>
      <c r="L40" s="54"/>
      <c r="M40" s="77"/>
      <c r="N40" s="61"/>
      <c r="O40" s="61"/>
      <c r="P40" s="65"/>
    </row>
    <row r="41" ht="18.75" customHeight="1">
      <c r="A41" s="55">
        <v>34.0</v>
      </c>
      <c r="B41" s="83"/>
      <c r="C41" s="50"/>
      <c r="D41" s="50"/>
      <c r="E41" s="79"/>
      <c r="F41" s="58"/>
      <c r="G41" s="56"/>
      <c r="H41" s="57">
        <v>2.12</v>
      </c>
      <c r="I41" s="58" t="s">
        <v>97</v>
      </c>
      <c r="J41" s="82">
        <f t="shared" si="4"/>
        <v>0</v>
      </c>
      <c r="K41" s="11"/>
      <c r="L41" s="54"/>
      <c r="M41" s="77"/>
      <c r="N41" s="61"/>
      <c r="O41" s="61"/>
      <c r="P41" s="65"/>
    </row>
    <row r="42" ht="18.75" customHeight="1">
      <c r="A42" s="55">
        <v>35.0</v>
      </c>
      <c r="B42" s="83"/>
      <c r="C42" s="50"/>
      <c r="D42" s="50"/>
      <c r="E42" s="79"/>
      <c r="F42" s="58"/>
      <c r="G42" s="56"/>
      <c r="H42" s="74" t="s">
        <v>98</v>
      </c>
      <c r="I42" s="74" t="s">
        <v>5</v>
      </c>
      <c r="J42" s="25">
        <f>J24+J25-J29</f>
        <v>35372502</v>
      </c>
      <c r="K42" s="11"/>
      <c r="L42" s="54"/>
      <c r="M42" s="77"/>
      <c r="N42" s="61"/>
      <c r="O42" s="61"/>
      <c r="P42" s="65"/>
    </row>
    <row r="43" ht="18.75" customHeight="1">
      <c r="A43" s="55">
        <v>36.0</v>
      </c>
      <c r="B43" s="83"/>
      <c r="C43" s="50"/>
      <c r="D43" s="50"/>
      <c r="E43" s="79"/>
      <c r="F43" s="58"/>
      <c r="G43" s="11"/>
      <c r="H43" s="11"/>
      <c r="I43" s="11"/>
      <c r="J43" s="11"/>
      <c r="K43" s="11"/>
      <c r="L43" s="54"/>
      <c r="M43" s="77"/>
      <c r="N43" s="61"/>
      <c r="O43" s="61"/>
      <c r="P43" s="65"/>
    </row>
    <row r="44" ht="18.75" customHeight="1">
      <c r="A44" s="55">
        <v>37.0</v>
      </c>
      <c r="B44" s="83"/>
      <c r="C44" s="50"/>
      <c r="D44" s="50"/>
      <c r="E44" s="79"/>
      <c r="F44" s="58"/>
      <c r="G44" s="11"/>
      <c r="H44" s="86" t="s">
        <v>99</v>
      </c>
      <c r="I44" s="87"/>
      <c r="J44" s="87"/>
      <c r="K44" s="21"/>
      <c r="L44" s="66" t="s">
        <v>72</v>
      </c>
      <c r="M44" s="67"/>
      <c r="N44" s="68">
        <f>SUM(N39:N42)</f>
        <v>0</v>
      </c>
      <c r="O44" s="68">
        <f>SUM(O39:O43)</f>
        <v>0</v>
      </c>
      <c r="P44" s="65"/>
    </row>
    <row r="45" ht="18.75" customHeight="1">
      <c r="A45" s="55">
        <v>38.0</v>
      </c>
      <c r="B45" s="83"/>
      <c r="C45" s="50"/>
      <c r="D45" s="50"/>
      <c r="E45" s="79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>
        <v>39.0</v>
      </c>
      <c r="B46" s="83"/>
      <c r="C46" s="50"/>
      <c r="D46" s="50"/>
      <c r="E46" s="79"/>
      <c r="F46" s="58"/>
      <c r="G46" s="56"/>
      <c r="H46" s="74" t="s">
        <v>86</v>
      </c>
      <c r="I46" s="74" t="s">
        <v>87</v>
      </c>
      <c r="J46" s="82">
        <f>J42</f>
        <v>35372502</v>
      </c>
      <c r="K46" s="89"/>
    </row>
    <row r="47" ht="18.75" customHeight="1">
      <c r="A47" s="55">
        <v>40.0</v>
      </c>
      <c r="B47" s="83"/>
      <c r="C47" s="50"/>
      <c r="D47" s="50"/>
      <c r="E47" s="79"/>
      <c r="F47" s="58"/>
      <c r="G47" s="56"/>
      <c r="H47" s="74" t="s">
        <v>88</v>
      </c>
      <c r="I47" s="74" t="s">
        <v>89</v>
      </c>
      <c r="J47" s="82">
        <f>SUM(J48:J54)</f>
        <v>0</v>
      </c>
      <c r="K47" s="89"/>
    </row>
    <row r="48" ht="18.75" customHeight="1">
      <c r="A48" s="55">
        <v>41.0</v>
      </c>
      <c r="B48" s="83"/>
      <c r="C48" s="50"/>
      <c r="D48" s="50"/>
      <c r="E48" s="79"/>
      <c r="F48" s="58"/>
      <c r="G48" s="56"/>
      <c r="H48" s="58"/>
      <c r="I48" s="58"/>
      <c r="J48" s="90"/>
      <c r="K48" s="89"/>
    </row>
    <row r="49" ht="18.75" customHeight="1">
      <c r="A49" s="55">
        <v>42.0</v>
      </c>
      <c r="B49" s="83"/>
      <c r="C49" s="50"/>
      <c r="D49" s="50"/>
      <c r="E49" s="79"/>
      <c r="F49" s="58"/>
      <c r="G49" s="56"/>
      <c r="H49" s="58"/>
      <c r="I49" s="58"/>
      <c r="J49" s="90"/>
      <c r="K49" s="89"/>
    </row>
    <row r="50" ht="18.75" customHeight="1">
      <c r="A50" s="55">
        <v>43.0</v>
      </c>
      <c r="B50" s="83"/>
      <c r="C50" s="50"/>
      <c r="D50" s="50"/>
      <c r="E50" s="79"/>
      <c r="F50" s="58"/>
      <c r="G50" s="56"/>
      <c r="H50" s="58"/>
      <c r="I50" s="58"/>
      <c r="J50" s="90"/>
      <c r="K50" s="89"/>
    </row>
    <row r="51" ht="18.75" customHeight="1">
      <c r="A51" s="55">
        <v>44.0</v>
      </c>
      <c r="B51" s="83"/>
      <c r="C51" s="50"/>
      <c r="D51" s="50"/>
      <c r="E51" s="79"/>
      <c r="F51" s="58"/>
      <c r="G51" s="56"/>
      <c r="H51" s="58"/>
      <c r="I51" s="58"/>
      <c r="J51" s="90"/>
      <c r="K51" s="89"/>
    </row>
    <row r="52" ht="18.75" customHeight="1">
      <c r="A52" s="55">
        <v>45.0</v>
      </c>
      <c r="B52" s="83"/>
      <c r="C52" s="50"/>
      <c r="D52" s="50"/>
      <c r="E52" s="79"/>
      <c r="F52" s="58"/>
      <c r="G52" s="56"/>
      <c r="H52" s="58"/>
      <c r="I52" s="58"/>
      <c r="J52" s="74"/>
      <c r="K52" s="89"/>
    </row>
    <row r="53" ht="18.75" customHeight="1">
      <c r="A53" s="55">
        <v>46.0</v>
      </c>
      <c r="B53" s="83"/>
      <c r="C53" s="50"/>
      <c r="D53" s="50"/>
      <c r="E53" s="79"/>
      <c r="F53" s="58"/>
      <c r="G53" s="56"/>
      <c r="H53" s="58"/>
      <c r="I53" s="58"/>
      <c r="J53" s="74"/>
      <c r="K53" s="89"/>
    </row>
    <row r="54" ht="18.75" customHeight="1">
      <c r="A54" s="55">
        <v>47.0</v>
      </c>
      <c r="B54" s="83"/>
      <c r="C54" s="50"/>
      <c r="D54" s="50"/>
      <c r="E54" s="79"/>
      <c r="F54" s="58"/>
      <c r="G54" s="56"/>
      <c r="H54" s="58"/>
      <c r="I54" s="58"/>
      <c r="J54" s="74"/>
      <c r="K54" s="89"/>
    </row>
    <row r="55" ht="18.75" customHeight="1">
      <c r="A55" s="55">
        <v>48.0</v>
      </c>
      <c r="B55" s="83"/>
      <c r="C55" s="50"/>
      <c r="D55" s="50"/>
      <c r="E55" s="79"/>
      <c r="F55" s="58"/>
      <c r="G55" s="56"/>
      <c r="H55" s="74" t="s">
        <v>93</v>
      </c>
      <c r="I55" s="74" t="s">
        <v>94</v>
      </c>
      <c r="J55" s="90">
        <f>SUM(J56:J65)</f>
        <v>0</v>
      </c>
      <c r="K55" s="89"/>
    </row>
    <row r="56" ht="18.75" customHeight="1">
      <c r="A56" s="55">
        <v>49.0</v>
      </c>
      <c r="B56" s="83"/>
      <c r="C56" s="50"/>
      <c r="D56" s="50"/>
      <c r="E56" s="79"/>
      <c r="F56" s="58"/>
      <c r="G56" s="56"/>
      <c r="H56" s="58"/>
      <c r="I56" s="58"/>
      <c r="J56" s="90"/>
      <c r="K56" s="83"/>
    </row>
    <row r="57" ht="18.75" customHeight="1">
      <c r="A57" s="55">
        <v>50.0</v>
      </c>
      <c r="B57" s="83"/>
      <c r="C57" s="50"/>
      <c r="D57" s="50"/>
      <c r="E57" s="79"/>
      <c r="F57" s="58"/>
      <c r="G57" s="56"/>
      <c r="H57" s="58"/>
      <c r="I57" s="58"/>
      <c r="J57" s="90"/>
      <c r="K57" s="83"/>
    </row>
    <row r="58" ht="18.75" customHeight="1">
      <c r="A58" s="55">
        <v>51.0</v>
      </c>
      <c r="B58" s="83"/>
      <c r="C58" s="50"/>
      <c r="D58" s="50"/>
      <c r="E58" s="79"/>
      <c r="F58" s="58"/>
      <c r="G58" s="56"/>
      <c r="H58" s="58"/>
      <c r="I58" s="58"/>
      <c r="J58" s="90"/>
      <c r="K58" s="83"/>
    </row>
    <row r="59" ht="18.75" customHeight="1">
      <c r="A59" s="55">
        <v>52.0</v>
      </c>
      <c r="B59" s="83"/>
      <c r="C59" s="50"/>
      <c r="D59" s="50"/>
      <c r="E59" s="79"/>
      <c r="F59" s="58"/>
      <c r="G59" s="56"/>
      <c r="H59" s="58"/>
      <c r="I59" s="58"/>
      <c r="J59" s="90"/>
      <c r="K59" s="83"/>
    </row>
    <row r="60" ht="18.75" customHeight="1">
      <c r="A60" s="55">
        <v>53.0</v>
      </c>
      <c r="B60" s="83"/>
      <c r="C60" s="50"/>
      <c r="D60" s="50"/>
      <c r="E60" s="79"/>
      <c r="F60" s="58"/>
      <c r="G60" s="56"/>
      <c r="H60" s="58"/>
      <c r="I60" s="58"/>
      <c r="J60" s="90"/>
      <c r="K60" s="89"/>
    </row>
    <row r="61" ht="18.75" customHeight="1">
      <c r="A61" s="55">
        <v>54.0</v>
      </c>
      <c r="B61" s="83"/>
      <c r="C61" s="50"/>
      <c r="D61" s="50"/>
      <c r="E61" s="79"/>
      <c r="F61" s="58"/>
      <c r="G61" s="56"/>
      <c r="H61" s="58"/>
      <c r="I61" s="58"/>
      <c r="J61" s="90"/>
      <c r="K61" s="89"/>
    </row>
    <row r="62" ht="18.75" customHeight="1">
      <c r="A62" s="55">
        <v>55.0</v>
      </c>
      <c r="B62" s="83"/>
      <c r="C62" s="50"/>
      <c r="D62" s="50"/>
      <c r="E62" s="79"/>
      <c r="F62" s="58"/>
      <c r="G62" s="56"/>
      <c r="H62" s="58"/>
      <c r="I62" s="58"/>
      <c r="J62" s="90"/>
      <c r="K62" s="89"/>
    </row>
    <row r="63" ht="18.75" customHeight="1">
      <c r="A63" s="55">
        <v>56.0</v>
      </c>
      <c r="B63" s="83"/>
      <c r="C63" s="50"/>
      <c r="D63" s="50"/>
      <c r="E63" s="79"/>
      <c r="F63" s="58"/>
      <c r="G63" s="56"/>
      <c r="H63" s="58"/>
      <c r="I63" s="58"/>
      <c r="J63" s="90"/>
      <c r="K63" s="89"/>
    </row>
    <row r="64" ht="18.75" customHeight="1">
      <c r="A64" s="55">
        <v>57.0</v>
      </c>
      <c r="B64" s="83"/>
      <c r="C64" s="50"/>
      <c r="D64" s="50"/>
      <c r="E64" s="79"/>
      <c r="F64" s="58"/>
      <c r="G64" s="56"/>
      <c r="H64" s="58"/>
      <c r="I64" s="58"/>
      <c r="J64" s="90"/>
      <c r="K64" s="89"/>
    </row>
    <row r="65" ht="18.75" customHeight="1">
      <c r="A65" s="55">
        <v>58.0</v>
      </c>
      <c r="B65" s="83"/>
      <c r="C65" s="50"/>
      <c r="D65" s="50"/>
      <c r="E65" s="79"/>
      <c r="F65" s="58"/>
      <c r="G65" s="56"/>
      <c r="H65" s="58"/>
      <c r="I65" s="58"/>
      <c r="J65" s="90"/>
      <c r="K65" s="89"/>
    </row>
    <row r="66" ht="18.75" customHeight="1">
      <c r="A66" s="55">
        <v>59.0</v>
      </c>
      <c r="B66" s="83"/>
      <c r="C66" s="50"/>
      <c r="D66" s="50"/>
      <c r="E66" s="79"/>
      <c r="F66" s="58"/>
      <c r="G66" s="56"/>
      <c r="H66" s="74" t="s">
        <v>98</v>
      </c>
      <c r="I66" s="74" t="s">
        <v>5</v>
      </c>
      <c r="J66" s="25">
        <f>J46+J47-J55</f>
        <v>35372502</v>
      </c>
      <c r="K66" s="89"/>
    </row>
    <row r="67" ht="18.75" customHeight="1">
      <c r="A67" s="91"/>
      <c r="B67" s="92"/>
      <c r="C67" s="91"/>
      <c r="D67" s="91"/>
      <c r="E67" s="91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91"/>
      <c r="E68" s="91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91"/>
      <c r="E69" s="91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91"/>
      <c r="E70" s="91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91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91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91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91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91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91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91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91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91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91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91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91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91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91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91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91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91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91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91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91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91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91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91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91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91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>
      <c r="A154" s="91"/>
      <c r="B154" s="92"/>
      <c r="C154" s="91"/>
      <c r="D154" s="91"/>
      <c r="E154" s="91"/>
      <c r="F154" s="91"/>
      <c r="G154" s="91"/>
      <c r="H154" s="91"/>
      <c r="I154" s="91"/>
      <c r="J154" s="91"/>
      <c r="K154" s="91"/>
    </row>
    <row r="155" ht="18.75" customHeight="1">
      <c r="A155" s="91"/>
      <c r="B155" s="92"/>
      <c r="C155" s="91"/>
      <c r="D155" s="91"/>
      <c r="E155" s="91"/>
      <c r="F155" s="91"/>
      <c r="G155" s="91"/>
      <c r="H155" s="91"/>
      <c r="I155" s="91"/>
      <c r="J155" s="91"/>
      <c r="K155" s="91"/>
    </row>
    <row r="156" ht="18.75" customHeight="1">
      <c r="A156" s="91"/>
      <c r="B156" s="92"/>
      <c r="C156" s="91"/>
      <c r="D156" s="91"/>
      <c r="E156" s="91"/>
      <c r="F156" s="91"/>
      <c r="G156" s="91"/>
      <c r="H156" s="91"/>
      <c r="I156" s="91"/>
      <c r="J156" s="91"/>
      <c r="K156" s="91"/>
    </row>
    <row r="157" ht="18.75" customHeight="1">
      <c r="A157" s="91"/>
      <c r="B157" s="92"/>
      <c r="C157" s="91"/>
      <c r="D157" s="91"/>
      <c r="E157" s="91"/>
      <c r="F157" s="91"/>
      <c r="G157" s="91"/>
      <c r="H157" s="91"/>
      <c r="I157" s="91"/>
      <c r="J157" s="91"/>
      <c r="K157" s="91"/>
    </row>
    <row r="158" ht="18.75" customHeight="1">
      <c r="A158" s="91"/>
      <c r="B158" s="92"/>
      <c r="C158" s="91"/>
      <c r="D158" s="91"/>
      <c r="E158" s="91"/>
      <c r="F158" s="91"/>
      <c r="G158" s="91"/>
      <c r="H158" s="91"/>
      <c r="I158" s="91"/>
      <c r="J158" s="91"/>
      <c r="K158" s="91"/>
    </row>
    <row r="159" ht="18.75" customHeight="1">
      <c r="A159" s="91"/>
      <c r="B159" s="92"/>
      <c r="C159" s="91"/>
      <c r="D159" s="91"/>
      <c r="E159" s="91"/>
      <c r="F159" s="91"/>
      <c r="G159" s="91"/>
      <c r="H159" s="91"/>
      <c r="I159" s="91"/>
      <c r="J159" s="91"/>
      <c r="K159" s="91"/>
    </row>
    <row r="160" ht="18.75" customHeight="1">
      <c r="A160" s="91"/>
      <c r="B160" s="92"/>
      <c r="C160" s="91"/>
      <c r="D160" s="91"/>
      <c r="E160" s="91"/>
      <c r="F160" s="91"/>
      <c r="G160" s="91"/>
      <c r="H160" s="91"/>
      <c r="I160" s="91"/>
      <c r="J160" s="91"/>
      <c r="K160" s="91"/>
    </row>
    <row r="161" ht="18.75" customHeight="1">
      <c r="A161" s="91"/>
      <c r="B161" s="92"/>
      <c r="C161" s="91"/>
      <c r="D161" s="91"/>
      <c r="E161" s="91"/>
      <c r="F161" s="91"/>
      <c r="G161" s="91"/>
      <c r="H161" s="91"/>
      <c r="I161" s="91"/>
      <c r="J161" s="91"/>
      <c r="K161" s="91"/>
    </row>
    <row r="162" ht="18.75" customHeight="1">
      <c r="A162" s="91"/>
      <c r="B162" s="92"/>
      <c r="C162" s="91"/>
      <c r="D162" s="91"/>
      <c r="E162" s="91"/>
      <c r="F162" s="91"/>
      <c r="G162" s="91"/>
      <c r="H162" s="91"/>
      <c r="I162" s="91"/>
      <c r="J162" s="91"/>
      <c r="K162" s="91"/>
    </row>
    <row r="163" ht="18.75" customHeight="1">
      <c r="A163" s="91"/>
      <c r="B163" s="92"/>
      <c r="C163" s="91"/>
      <c r="D163" s="91"/>
      <c r="E163" s="91"/>
      <c r="F163" s="91"/>
      <c r="G163" s="91"/>
      <c r="H163" s="91"/>
      <c r="I163" s="91"/>
      <c r="J163" s="91"/>
      <c r="K163" s="91"/>
    </row>
    <row r="164" ht="18.75" customHeight="1">
      <c r="A164" s="91"/>
      <c r="B164" s="92"/>
      <c r="C164" s="91"/>
      <c r="D164" s="91"/>
      <c r="E164" s="91"/>
      <c r="F164" s="91"/>
      <c r="G164" s="91"/>
      <c r="H164" s="91"/>
      <c r="I164" s="91"/>
      <c r="J164" s="91"/>
      <c r="K164" s="91"/>
    </row>
    <row r="165" ht="18.75" customHeight="1">
      <c r="A165" s="91"/>
      <c r="B165" s="92"/>
      <c r="C165" s="91"/>
      <c r="D165" s="91"/>
      <c r="E165" s="91"/>
      <c r="F165" s="91"/>
      <c r="G165" s="91"/>
      <c r="H165" s="91"/>
      <c r="I165" s="91"/>
      <c r="J165" s="91"/>
      <c r="K165" s="91"/>
    </row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</sheetData>
  <mergeCells count="22">
    <mergeCell ref="C3:D3"/>
    <mergeCell ref="C4:C5"/>
    <mergeCell ref="D4:D5"/>
    <mergeCell ref="A1:F1"/>
    <mergeCell ref="H1:J1"/>
    <mergeCell ref="A2:F2"/>
    <mergeCell ref="A3:A6"/>
    <mergeCell ref="B3:B6"/>
    <mergeCell ref="E3:E6"/>
    <mergeCell ref="F3:F6"/>
    <mergeCell ref="L33:L37"/>
    <mergeCell ref="L38:M38"/>
    <mergeCell ref="L39:L43"/>
    <mergeCell ref="H44:K44"/>
    <mergeCell ref="L44:M44"/>
    <mergeCell ref="L7:L15"/>
    <mergeCell ref="L16:M16"/>
    <mergeCell ref="L17:L25"/>
    <mergeCell ref="H22:J22"/>
    <mergeCell ref="L26:M26"/>
    <mergeCell ref="L27:L31"/>
    <mergeCell ref="L32:M32"/>
  </mergeCells>
  <dataValidations>
    <dataValidation type="list" allowBlank="1" showErrorMessage="1" sqref="H4:H6 H9:H19 H30:H41 E67:E165">
      <formula1>"1.1,1.2,1.3,2.1,2.2,2.3,2.4,2.5,2.6,2.7,2.8,2.9,2.11,2.12"</formula1>
    </dataValidation>
    <dataValidation type="list" allowBlank="1" showErrorMessage="1" sqref="E8:E66">
      <formula1>"1,1,1,2,1,3,2,1,2,2,2,3,2,4,2,5,2,6,2,7,2,8,2,9,2,11,2,12"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0.57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9" t="s">
        <v>20</v>
      </c>
      <c r="F1" s="10"/>
      <c r="G1" s="11"/>
      <c r="H1" s="97" t="s">
        <v>119</v>
      </c>
      <c r="I1" s="13"/>
      <c r="J1" s="14"/>
      <c r="K1" s="11"/>
    </row>
    <row r="2" ht="18.75" customHeight="1">
      <c r="A2" s="36" t="s">
        <v>120</v>
      </c>
      <c r="G2" s="11"/>
      <c r="H2" s="16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0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33" t="s">
        <v>121</v>
      </c>
      <c r="J4" s="25">
        <f>SUMIF($E$8:$E$54,1.1,$C$8:$C$45)</f>
        <v>0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33" t="s">
        <v>122</v>
      </c>
      <c r="J5" s="25">
        <f>SUMIF($E$8:$E$54,1.2,$C$8:$C$45)</f>
        <v>0</v>
      </c>
      <c r="K5" s="11"/>
    </row>
    <row r="6" ht="18.75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SUMIF($E$8:$E$54,1.3,$C$8:$C$45)</f>
        <v>0</v>
      </c>
      <c r="K6" s="11"/>
    </row>
    <row r="7" ht="21.75" customHeight="1">
      <c r="A7" s="36"/>
      <c r="B7" s="37"/>
      <c r="C7" s="38">
        <f t="shared" ref="C7:D7" si="1">SUM(C8:C100)</f>
        <v>0</v>
      </c>
      <c r="D7" s="38">
        <f t="shared" si="1"/>
        <v>77759355</v>
      </c>
      <c r="E7" s="39"/>
      <c r="F7" s="40"/>
      <c r="G7" s="40" t="s">
        <v>40</v>
      </c>
      <c r="H7" s="41"/>
      <c r="I7" s="40"/>
      <c r="J7" s="42"/>
      <c r="K7" s="40"/>
    </row>
    <row r="8" ht="18.75" customHeight="1">
      <c r="A8" s="48">
        <v>1.0</v>
      </c>
      <c r="B8" s="78">
        <v>45764.0</v>
      </c>
      <c r="C8" s="98"/>
      <c r="D8" s="99">
        <v>3279000.0</v>
      </c>
      <c r="E8" s="79" t="s">
        <v>123</v>
      </c>
      <c r="F8" s="81" t="s">
        <v>124</v>
      </c>
      <c r="G8" s="11"/>
      <c r="H8" s="23">
        <v>2.0</v>
      </c>
      <c r="I8" s="53" t="s">
        <v>45</v>
      </c>
      <c r="J8" s="25">
        <f>SUM(J9:J19)</f>
        <v>77759355</v>
      </c>
      <c r="K8" s="11"/>
    </row>
    <row r="9" ht="18.75" customHeight="1">
      <c r="A9" s="55">
        <v>2.0</v>
      </c>
      <c r="B9" s="78">
        <v>45748.0</v>
      </c>
      <c r="C9" s="98"/>
      <c r="D9" s="99">
        <v>1468000.0</v>
      </c>
      <c r="E9" s="79" t="s">
        <v>123</v>
      </c>
      <c r="F9" s="81" t="s">
        <v>125</v>
      </c>
      <c r="G9" s="56"/>
      <c r="H9" s="57">
        <v>2.1</v>
      </c>
      <c r="I9" s="58" t="s">
        <v>49</v>
      </c>
      <c r="J9" s="59">
        <f>SUMIF($E$8:$E$54,2.1,$D$8:$D$45)</f>
        <v>0</v>
      </c>
      <c r="K9" s="11"/>
    </row>
    <row r="10" ht="18.75" customHeight="1">
      <c r="A10" s="55">
        <v>3.0</v>
      </c>
      <c r="B10" s="78">
        <v>45751.0</v>
      </c>
      <c r="C10" s="98"/>
      <c r="D10" s="99">
        <v>5.3002355E7</v>
      </c>
      <c r="E10" s="79" t="s">
        <v>62</v>
      </c>
      <c r="F10" s="81" t="s">
        <v>126</v>
      </c>
      <c r="G10" s="56"/>
      <c r="H10" s="57">
        <v>2.2</v>
      </c>
      <c r="I10" s="58" t="s">
        <v>53</v>
      </c>
      <c r="J10" s="25">
        <f>SUMIF($E$8:$E$54,2.2,$D$8:$D$45)</f>
        <v>53002355</v>
      </c>
      <c r="K10" s="11"/>
    </row>
    <row r="11" ht="18.75" customHeight="1">
      <c r="A11" s="55">
        <v>4.0</v>
      </c>
      <c r="B11" s="78">
        <v>45751.0</v>
      </c>
      <c r="C11" s="98"/>
      <c r="D11" s="99">
        <v>1.39E7</v>
      </c>
      <c r="E11" s="79" t="s">
        <v>127</v>
      </c>
      <c r="F11" s="81" t="s">
        <v>128</v>
      </c>
      <c r="G11" s="56"/>
      <c r="H11" s="57">
        <v>2.3</v>
      </c>
      <c r="I11" s="58" t="s">
        <v>56</v>
      </c>
      <c r="J11" s="25">
        <f>SUMIF($E$8:$E$54,2.3,$D$8:$D$45)</f>
        <v>0</v>
      </c>
      <c r="K11" s="11"/>
    </row>
    <row r="12" ht="18.75" customHeight="1">
      <c r="A12" s="55">
        <v>5.0</v>
      </c>
      <c r="B12" s="78">
        <v>45756.0</v>
      </c>
      <c r="C12" s="100"/>
      <c r="D12" s="99">
        <v>710000.0</v>
      </c>
      <c r="E12" s="79" t="s">
        <v>129</v>
      </c>
      <c r="F12" s="81" t="s">
        <v>130</v>
      </c>
      <c r="G12" s="56"/>
      <c r="H12" s="57">
        <v>2.4</v>
      </c>
      <c r="I12" s="58" t="s">
        <v>59</v>
      </c>
      <c r="J12" s="25">
        <f>SUMIF($E$8:$E$54,2.4,$D$8:$D$45)</f>
        <v>0</v>
      </c>
      <c r="K12" s="11"/>
    </row>
    <row r="13" ht="18.75" customHeight="1">
      <c r="A13" s="55">
        <v>6.0</v>
      </c>
      <c r="B13" s="78">
        <v>45758.0</v>
      </c>
      <c r="C13" s="98"/>
      <c r="D13" s="99">
        <v>5400000.0</v>
      </c>
      <c r="E13" s="101" t="s">
        <v>123</v>
      </c>
      <c r="F13" s="102" t="s">
        <v>131</v>
      </c>
      <c r="G13" s="56"/>
      <c r="H13" s="57">
        <v>2.5</v>
      </c>
      <c r="I13" s="58" t="s">
        <v>64</v>
      </c>
      <c r="J13" s="25">
        <f>SUMIF($E$8:$E$54,2.5,$D$8:$D$45)</f>
        <v>710000</v>
      </c>
      <c r="K13" s="11"/>
    </row>
    <row r="14" ht="18.75" customHeight="1">
      <c r="A14" s="55">
        <v>7.0</v>
      </c>
      <c r="B14" s="78"/>
      <c r="C14" s="98"/>
      <c r="D14" s="100"/>
      <c r="E14" s="79"/>
      <c r="F14" s="81"/>
      <c r="G14" s="56"/>
      <c r="H14" s="57">
        <v>2.6</v>
      </c>
      <c r="I14" s="58" t="s">
        <v>66</v>
      </c>
      <c r="J14" s="25">
        <f>SUMIF($E$8:$E$54,2.6,$D$8:$D$45)</f>
        <v>0</v>
      </c>
      <c r="K14" s="11"/>
    </row>
    <row r="15" ht="18.75" customHeight="1">
      <c r="A15" s="55">
        <v>8.0</v>
      </c>
      <c r="B15" s="78"/>
      <c r="C15" s="98"/>
      <c r="D15" s="100"/>
      <c r="E15" s="79"/>
      <c r="F15" s="81"/>
      <c r="G15" s="56"/>
      <c r="H15" s="57">
        <v>2.7</v>
      </c>
      <c r="I15" s="58" t="s">
        <v>69</v>
      </c>
      <c r="J15" s="25">
        <f>SUMIF($E$8:$E$54,2.7,$D$8:$D$45)</f>
        <v>10147000</v>
      </c>
      <c r="K15" s="11"/>
    </row>
    <row r="16" ht="18.75" customHeight="1">
      <c r="A16" s="55">
        <v>9.0</v>
      </c>
      <c r="B16" s="78"/>
      <c r="C16" s="98"/>
      <c r="D16" s="100"/>
      <c r="E16" s="79"/>
      <c r="F16" s="81"/>
      <c r="G16" s="56"/>
      <c r="H16" s="57">
        <v>2.8</v>
      </c>
      <c r="I16" s="58" t="s">
        <v>71</v>
      </c>
      <c r="J16" s="25">
        <f>SUMIF($E$8:$E$54,2.8,$D$8:$D$45)</f>
        <v>13900000</v>
      </c>
      <c r="K16" s="11"/>
    </row>
    <row r="17" ht="18.75" customHeight="1">
      <c r="A17" s="55">
        <v>10.0</v>
      </c>
      <c r="B17" s="78"/>
      <c r="C17" s="98"/>
      <c r="D17" s="100"/>
      <c r="E17" s="79"/>
      <c r="F17" s="81"/>
      <c r="G17" s="56"/>
      <c r="H17" s="57">
        <v>2.9</v>
      </c>
      <c r="I17" s="58" t="s">
        <v>74</v>
      </c>
      <c r="J17" s="25">
        <f>SUMIF($E$8:$E$54,2.9,$D$8:$D$45)</f>
        <v>0</v>
      </c>
      <c r="K17" s="11"/>
    </row>
    <row r="18" ht="18.75" customHeight="1">
      <c r="A18" s="55">
        <v>11.0</v>
      </c>
      <c r="B18" s="78"/>
      <c r="C18" s="98"/>
      <c r="D18" s="100"/>
      <c r="E18" s="79"/>
      <c r="F18" s="81"/>
      <c r="G18" s="56"/>
      <c r="H18" s="57">
        <v>2.11</v>
      </c>
      <c r="I18" s="58" t="s">
        <v>77</v>
      </c>
      <c r="J18" s="25">
        <f>SUMIF($E$8:$E$54,2.11,$D$8:$D$45)</f>
        <v>0</v>
      </c>
      <c r="K18" s="11"/>
    </row>
    <row r="19" ht="18.75" customHeight="1">
      <c r="A19" s="55">
        <v>12.0</v>
      </c>
      <c r="B19" s="83"/>
      <c r="C19" s="103"/>
      <c r="D19" s="103"/>
      <c r="E19" s="104"/>
      <c r="F19" s="105"/>
      <c r="G19" s="56"/>
      <c r="H19" s="57">
        <v>2.12</v>
      </c>
      <c r="I19" s="58" t="s">
        <v>80</v>
      </c>
      <c r="J19" s="25">
        <f>SUMIF($E$8:$E$54,2.12,$D$8:$D$45)</f>
        <v>0</v>
      </c>
      <c r="K19" s="11"/>
    </row>
    <row r="20" ht="18.75" customHeight="1">
      <c r="A20" s="55">
        <v>13.0</v>
      </c>
      <c r="B20" s="83"/>
      <c r="C20" s="103"/>
      <c r="D20" s="103"/>
      <c r="E20" s="104"/>
      <c r="F20" s="105"/>
      <c r="G20" s="56"/>
      <c r="H20" s="73">
        <v>3.0</v>
      </c>
      <c r="I20" s="74" t="s">
        <v>82</v>
      </c>
      <c r="J20" s="75">
        <f>J3-J8</f>
        <v>-77759355</v>
      </c>
      <c r="K20" s="11"/>
    </row>
    <row r="21" ht="18.75" customHeight="1">
      <c r="A21" s="55">
        <v>14.0</v>
      </c>
      <c r="B21" s="83"/>
      <c r="C21" s="103"/>
      <c r="D21" s="103"/>
      <c r="E21" s="57"/>
      <c r="F21" s="58"/>
      <c r="G21" s="11"/>
      <c r="H21" s="11"/>
      <c r="I21" s="11"/>
      <c r="J21" s="11"/>
      <c r="K21" s="11"/>
    </row>
    <row r="22" ht="18.75" customHeight="1">
      <c r="A22" s="55">
        <v>15.0</v>
      </c>
      <c r="B22" s="83"/>
      <c r="C22" s="103"/>
      <c r="D22" s="103"/>
      <c r="E22" s="57"/>
      <c r="F22" s="58"/>
      <c r="G22" s="11"/>
      <c r="H22" s="97" t="s">
        <v>132</v>
      </c>
      <c r="I22" s="13"/>
      <c r="J22" s="14"/>
      <c r="K22" s="11"/>
    </row>
    <row r="23" ht="18.75" customHeight="1">
      <c r="A23" s="55">
        <v>16.0</v>
      </c>
      <c r="B23" s="83"/>
      <c r="C23" s="103"/>
      <c r="D23" s="103"/>
      <c r="E23" s="57"/>
      <c r="F23" s="58"/>
      <c r="G23" s="56"/>
      <c r="H23" s="58"/>
      <c r="I23" s="74" t="s">
        <v>24</v>
      </c>
      <c r="J23" s="57" t="s">
        <v>25</v>
      </c>
      <c r="K23" s="11"/>
    </row>
    <row r="24" ht="18.75" customHeight="1">
      <c r="A24" s="55">
        <v>17.0</v>
      </c>
      <c r="B24" s="83"/>
      <c r="C24" s="103"/>
      <c r="D24" s="103"/>
      <c r="E24" s="57"/>
      <c r="F24" s="58"/>
      <c r="G24" s="56"/>
      <c r="H24" s="74" t="s">
        <v>86</v>
      </c>
      <c r="I24" s="74" t="s">
        <v>87</v>
      </c>
      <c r="J24" s="80">
        <v>0.0</v>
      </c>
      <c r="K24" s="11"/>
    </row>
    <row r="25" ht="18.75" customHeight="1">
      <c r="A25" s="55">
        <v>18.0</v>
      </c>
      <c r="B25" s="83"/>
      <c r="C25" s="103"/>
      <c r="D25" s="103"/>
      <c r="E25" s="57"/>
      <c r="F25" s="58"/>
      <c r="G25" s="56"/>
      <c r="H25" s="74" t="s">
        <v>88</v>
      </c>
      <c r="I25" s="74" t="s">
        <v>89</v>
      </c>
      <c r="J25" s="82">
        <f>SUM(J26:J28)</f>
        <v>0</v>
      </c>
      <c r="K25" s="11"/>
    </row>
    <row r="26" ht="18.75" customHeight="1">
      <c r="A26" s="55">
        <v>19.0</v>
      </c>
      <c r="B26" s="83"/>
      <c r="C26" s="103"/>
      <c r="D26" s="103"/>
      <c r="E26" s="57"/>
      <c r="F26" s="58"/>
      <c r="G26" s="56"/>
      <c r="H26" s="58"/>
      <c r="I26" s="58" t="s">
        <v>90</v>
      </c>
      <c r="J26" s="82">
        <f>J3</f>
        <v>0</v>
      </c>
      <c r="K26" s="11"/>
    </row>
    <row r="27" ht="18.75" customHeight="1">
      <c r="A27" s="55">
        <v>20.0</v>
      </c>
      <c r="B27" s="83"/>
      <c r="C27" s="103"/>
      <c r="D27" s="103"/>
      <c r="E27" s="57"/>
      <c r="F27" s="58"/>
      <c r="G27" s="56"/>
      <c r="H27" s="58"/>
      <c r="I27" s="58" t="s">
        <v>91</v>
      </c>
      <c r="J27" s="74"/>
      <c r="K27" s="11"/>
    </row>
    <row r="28" ht="18.75" customHeight="1">
      <c r="A28" s="55">
        <v>21.0</v>
      </c>
      <c r="B28" s="83"/>
      <c r="C28" s="103"/>
      <c r="D28" s="103"/>
      <c r="E28" s="57"/>
      <c r="F28" s="58"/>
      <c r="G28" s="56"/>
      <c r="H28" s="58"/>
      <c r="I28" s="58" t="s">
        <v>92</v>
      </c>
      <c r="J28" s="74"/>
      <c r="K28" s="11"/>
    </row>
    <row r="29" ht="18.75" customHeight="1">
      <c r="A29" s="55">
        <v>22.0</v>
      </c>
      <c r="B29" s="83"/>
      <c r="C29" s="103"/>
      <c r="D29" s="103"/>
      <c r="E29" s="57"/>
      <c r="F29" s="58"/>
      <c r="G29" s="56"/>
      <c r="H29" s="74" t="s">
        <v>93</v>
      </c>
      <c r="I29" s="74" t="s">
        <v>94</v>
      </c>
      <c r="J29" s="82">
        <f>SUM(J30:J41)</f>
        <v>77759355</v>
      </c>
      <c r="K29" s="11"/>
    </row>
    <row r="30" ht="18.75" customHeight="1">
      <c r="A30" s="55">
        <v>23.0</v>
      </c>
      <c r="B30" s="83"/>
      <c r="C30" s="103"/>
      <c r="D30" s="103"/>
      <c r="E30" s="57"/>
      <c r="F30" s="58"/>
      <c r="G30" s="56"/>
      <c r="H30" s="57">
        <v>2.1</v>
      </c>
      <c r="I30" s="58" t="s">
        <v>49</v>
      </c>
      <c r="J30" s="82">
        <f>J9</f>
        <v>0</v>
      </c>
      <c r="K30" s="11"/>
    </row>
    <row r="31" ht="18.75" customHeight="1">
      <c r="A31" s="55">
        <v>24.0</v>
      </c>
      <c r="B31" s="83"/>
      <c r="C31" s="103"/>
      <c r="D31" s="103"/>
      <c r="E31" s="57"/>
      <c r="F31" s="58"/>
      <c r="G31" s="56"/>
      <c r="H31" s="28">
        <v>1.3</v>
      </c>
      <c r="I31" s="58" t="s">
        <v>96</v>
      </c>
      <c r="J31" s="80"/>
      <c r="K31" s="11"/>
    </row>
    <row r="32" ht="18.75" customHeight="1">
      <c r="A32" s="55">
        <v>25.0</v>
      </c>
      <c r="B32" s="83"/>
      <c r="C32" s="103"/>
      <c r="D32" s="103"/>
      <c r="E32" s="57"/>
      <c r="F32" s="58"/>
      <c r="G32" s="56"/>
      <c r="H32" s="57">
        <v>2.2</v>
      </c>
      <c r="I32" s="58" t="s">
        <v>53</v>
      </c>
      <c r="J32" s="82">
        <f t="shared" ref="J32:J41" si="2">J10</f>
        <v>53002355</v>
      </c>
      <c r="K32" s="11"/>
    </row>
    <row r="33" ht="18.75" customHeight="1">
      <c r="A33" s="55">
        <v>26.0</v>
      </c>
      <c r="B33" s="83"/>
      <c r="C33" s="103"/>
      <c r="D33" s="103"/>
      <c r="E33" s="57"/>
      <c r="F33" s="58"/>
      <c r="G33" s="56"/>
      <c r="H33" s="57">
        <v>2.3</v>
      </c>
      <c r="I33" s="58" t="s">
        <v>56</v>
      </c>
      <c r="J33" s="82">
        <f t="shared" si="2"/>
        <v>0</v>
      </c>
      <c r="K33" s="11"/>
    </row>
    <row r="34" ht="18.75" customHeight="1">
      <c r="A34" s="55">
        <v>27.0</v>
      </c>
      <c r="B34" s="83"/>
      <c r="C34" s="103"/>
      <c r="D34" s="103"/>
      <c r="E34" s="57"/>
      <c r="F34" s="58"/>
      <c r="G34" s="56"/>
      <c r="H34" s="57">
        <v>2.4</v>
      </c>
      <c r="I34" s="58" t="s">
        <v>59</v>
      </c>
      <c r="J34" s="82">
        <f t="shared" si="2"/>
        <v>0</v>
      </c>
      <c r="K34" s="11"/>
    </row>
    <row r="35" ht="18.75" customHeight="1">
      <c r="A35" s="55">
        <v>28.0</v>
      </c>
      <c r="B35" s="83"/>
      <c r="C35" s="103"/>
      <c r="D35" s="103"/>
      <c r="E35" s="57"/>
      <c r="F35" s="58"/>
      <c r="G35" s="56"/>
      <c r="H35" s="57">
        <v>2.5</v>
      </c>
      <c r="I35" s="58" t="s">
        <v>64</v>
      </c>
      <c r="J35" s="82">
        <f t="shared" si="2"/>
        <v>710000</v>
      </c>
      <c r="K35" s="11"/>
    </row>
    <row r="36" ht="18.75" customHeight="1">
      <c r="A36" s="55">
        <v>29.0</v>
      </c>
      <c r="B36" s="83"/>
      <c r="C36" s="103"/>
      <c r="D36" s="103"/>
      <c r="E36" s="57"/>
      <c r="F36" s="58"/>
      <c r="G36" s="56"/>
      <c r="H36" s="57">
        <v>2.6</v>
      </c>
      <c r="I36" s="58" t="s">
        <v>66</v>
      </c>
      <c r="J36" s="82">
        <f t="shared" si="2"/>
        <v>0</v>
      </c>
      <c r="K36" s="11"/>
    </row>
    <row r="37" ht="18.75" customHeight="1">
      <c r="A37" s="55">
        <v>30.0</v>
      </c>
      <c r="B37" s="83"/>
      <c r="C37" s="103"/>
      <c r="D37" s="103"/>
      <c r="E37" s="57"/>
      <c r="F37" s="58"/>
      <c r="G37" s="56"/>
      <c r="H37" s="57">
        <v>2.7</v>
      </c>
      <c r="I37" s="58" t="s">
        <v>69</v>
      </c>
      <c r="J37" s="82">
        <f t="shared" si="2"/>
        <v>10147000</v>
      </c>
      <c r="K37" s="11"/>
    </row>
    <row r="38" ht="18.75" customHeight="1">
      <c r="A38" s="55">
        <v>31.0</v>
      </c>
      <c r="B38" s="83"/>
      <c r="C38" s="103"/>
      <c r="D38" s="103"/>
      <c r="E38" s="57"/>
      <c r="F38" s="58"/>
      <c r="G38" s="56"/>
      <c r="H38" s="57">
        <v>2.8</v>
      </c>
      <c r="I38" s="58" t="s">
        <v>71</v>
      </c>
      <c r="J38" s="82">
        <f t="shared" si="2"/>
        <v>13900000</v>
      </c>
      <c r="K38" s="11"/>
    </row>
    <row r="39" ht="18.75" customHeight="1">
      <c r="A39" s="55">
        <v>32.0</v>
      </c>
      <c r="B39" s="83"/>
      <c r="C39" s="103"/>
      <c r="D39" s="103"/>
      <c r="E39" s="57"/>
      <c r="F39" s="58"/>
      <c r="G39" s="56"/>
      <c r="H39" s="57">
        <v>2.9</v>
      </c>
      <c r="I39" s="58" t="s">
        <v>74</v>
      </c>
      <c r="J39" s="82">
        <f t="shared" si="2"/>
        <v>0</v>
      </c>
      <c r="K39" s="11"/>
    </row>
    <row r="40" ht="18.75" customHeight="1">
      <c r="A40" s="55">
        <v>33.0</v>
      </c>
      <c r="B40" s="83"/>
      <c r="C40" s="103"/>
      <c r="D40" s="103"/>
      <c r="E40" s="57"/>
      <c r="F40" s="58"/>
      <c r="G40" s="56"/>
      <c r="H40" s="57">
        <v>2.11</v>
      </c>
      <c r="I40" s="58" t="s">
        <v>77</v>
      </c>
      <c r="J40" s="82">
        <f t="shared" si="2"/>
        <v>0</v>
      </c>
      <c r="K40" s="11"/>
    </row>
    <row r="41" ht="18.75" customHeight="1">
      <c r="A41" s="55">
        <v>34.0</v>
      </c>
      <c r="B41" s="83"/>
      <c r="C41" s="103"/>
      <c r="D41" s="103"/>
      <c r="E41" s="57"/>
      <c r="F41" s="58"/>
      <c r="G41" s="56"/>
      <c r="H41" s="57">
        <v>2.12</v>
      </c>
      <c r="I41" s="58" t="s">
        <v>97</v>
      </c>
      <c r="J41" s="82">
        <f t="shared" si="2"/>
        <v>0</v>
      </c>
      <c r="K41" s="11"/>
    </row>
    <row r="42" ht="18.75" customHeight="1">
      <c r="A42" s="55">
        <v>35.0</v>
      </c>
      <c r="B42" s="83"/>
      <c r="C42" s="103"/>
      <c r="D42" s="103"/>
      <c r="E42" s="57"/>
      <c r="F42" s="58"/>
      <c r="G42" s="56"/>
      <c r="H42" s="74" t="s">
        <v>98</v>
      </c>
      <c r="I42" s="74" t="s">
        <v>5</v>
      </c>
      <c r="J42" s="25">
        <f>J24+J25-J29</f>
        <v>-77759355</v>
      </c>
      <c r="K42" s="11"/>
    </row>
    <row r="43" ht="18.75" customHeight="1">
      <c r="A43" s="55">
        <v>36.0</v>
      </c>
      <c r="B43" s="83"/>
      <c r="C43" s="103"/>
      <c r="D43" s="103"/>
      <c r="E43" s="57"/>
      <c r="F43" s="58"/>
      <c r="G43" s="11"/>
      <c r="H43" s="11"/>
      <c r="I43" s="11"/>
      <c r="J43" s="11"/>
      <c r="K43" s="11"/>
    </row>
    <row r="44" ht="18.75" customHeight="1">
      <c r="A44" s="55">
        <v>37.0</v>
      </c>
      <c r="B44" s="83"/>
      <c r="C44" s="103"/>
      <c r="D44" s="103"/>
      <c r="E44" s="57"/>
      <c r="F44" s="58"/>
      <c r="G44" s="11"/>
      <c r="H44" s="86" t="s">
        <v>99</v>
      </c>
      <c r="I44" s="87"/>
      <c r="J44" s="87"/>
      <c r="K44" s="21"/>
    </row>
    <row r="45" ht="18.75" customHeight="1">
      <c r="A45" s="55">
        <v>38.0</v>
      </c>
      <c r="B45" s="83"/>
      <c r="C45" s="103"/>
      <c r="D45" s="103"/>
      <c r="E45" s="57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>
        <v>39.0</v>
      </c>
      <c r="B46" s="83"/>
      <c r="C46" s="103"/>
      <c r="D46" s="103"/>
      <c r="E46" s="57"/>
      <c r="F46" s="58"/>
      <c r="G46" s="56"/>
      <c r="H46" s="74" t="s">
        <v>86</v>
      </c>
      <c r="I46" s="74" t="s">
        <v>87</v>
      </c>
      <c r="J46" s="82">
        <f>J42</f>
        <v>-77759355</v>
      </c>
      <c r="K46" s="89"/>
    </row>
    <row r="47" ht="18.75" customHeight="1">
      <c r="A47" s="55">
        <v>40.0</v>
      </c>
      <c r="B47" s="83"/>
      <c r="C47" s="103"/>
      <c r="D47" s="103"/>
      <c r="E47" s="57"/>
      <c r="F47" s="58"/>
      <c r="G47" s="56"/>
      <c r="H47" s="74" t="s">
        <v>88</v>
      </c>
      <c r="I47" s="74" t="s">
        <v>89</v>
      </c>
      <c r="J47" s="82">
        <f>SUM(J48:J54)</f>
        <v>247357258</v>
      </c>
      <c r="K47" s="89"/>
    </row>
    <row r="48" ht="18.75" customHeight="1">
      <c r="A48" s="55">
        <v>41.0</v>
      </c>
      <c r="B48" s="83"/>
      <c r="C48" s="58"/>
      <c r="D48" s="103"/>
      <c r="E48" s="57"/>
      <c r="F48" s="58"/>
      <c r="G48" s="56"/>
      <c r="H48" s="58"/>
      <c r="I48" s="58" t="s">
        <v>133</v>
      </c>
      <c r="J48" s="90">
        <v>8.0957397E7</v>
      </c>
      <c r="K48" s="89">
        <v>45869.0</v>
      </c>
    </row>
    <row r="49" ht="18.75" customHeight="1">
      <c r="A49" s="55">
        <v>42.0</v>
      </c>
      <c r="B49" s="83"/>
      <c r="C49" s="58"/>
      <c r="D49" s="103"/>
      <c r="E49" s="57"/>
      <c r="F49" s="58"/>
      <c r="G49" s="56"/>
      <c r="H49" s="58"/>
      <c r="I49" s="58" t="s">
        <v>134</v>
      </c>
      <c r="J49" s="90">
        <v>7.5442464E7</v>
      </c>
      <c r="K49" s="89">
        <v>45869.0</v>
      </c>
    </row>
    <row r="50" ht="18.75" customHeight="1">
      <c r="A50" s="55">
        <v>43.0</v>
      </c>
      <c r="B50" s="83"/>
      <c r="C50" s="58"/>
      <c r="D50" s="103"/>
      <c r="E50" s="57"/>
      <c r="F50" s="58"/>
      <c r="G50" s="56"/>
      <c r="H50" s="58"/>
      <c r="I50" s="58" t="s">
        <v>135</v>
      </c>
      <c r="J50" s="90">
        <v>7.5957397E7</v>
      </c>
      <c r="K50" s="89">
        <v>45869.0</v>
      </c>
    </row>
    <row r="51" ht="18.75" customHeight="1">
      <c r="A51" s="55">
        <v>44.0</v>
      </c>
      <c r="B51" s="83"/>
      <c r="C51" s="58"/>
      <c r="D51" s="103"/>
      <c r="E51" s="57"/>
      <c r="F51" s="58"/>
      <c r="G51" s="56"/>
      <c r="H51" s="58"/>
      <c r="I51" s="58" t="s">
        <v>136</v>
      </c>
      <c r="J51" s="90">
        <v>1.5E7</v>
      </c>
      <c r="K51" s="89">
        <v>45869.0</v>
      </c>
    </row>
    <row r="52" ht="18.75" customHeight="1">
      <c r="A52" s="55">
        <v>45.0</v>
      </c>
      <c r="B52" s="83"/>
      <c r="C52" s="58"/>
      <c r="D52" s="103"/>
      <c r="E52" s="57"/>
      <c r="F52" s="58"/>
      <c r="G52" s="56"/>
      <c r="H52" s="58"/>
      <c r="I52" s="58"/>
      <c r="J52" s="74"/>
      <c r="K52" s="89"/>
    </row>
    <row r="53" ht="18.75" customHeight="1">
      <c r="A53" s="55">
        <v>46.0</v>
      </c>
      <c r="B53" s="83"/>
      <c r="C53" s="58"/>
      <c r="D53" s="103"/>
      <c r="E53" s="57"/>
      <c r="F53" s="58"/>
      <c r="G53" s="56"/>
      <c r="H53" s="58"/>
      <c r="I53" s="58"/>
      <c r="J53" s="74"/>
      <c r="K53" s="89"/>
    </row>
    <row r="54" ht="18.75" customHeight="1">
      <c r="A54" s="55">
        <v>47.0</v>
      </c>
      <c r="B54" s="83"/>
      <c r="C54" s="58"/>
      <c r="D54" s="103"/>
      <c r="E54" s="57"/>
      <c r="F54" s="58"/>
      <c r="G54" s="56"/>
      <c r="H54" s="58"/>
      <c r="I54" s="58"/>
      <c r="J54" s="74"/>
      <c r="K54" s="89"/>
    </row>
    <row r="55" ht="18.75" customHeight="1">
      <c r="A55" s="55">
        <v>48.0</v>
      </c>
      <c r="B55" s="83"/>
      <c r="C55" s="58"/>
      <c r="D55" s="103"/>
      <c r="E55" s="57"/>
      <c r="F55" s="58"/>
      <c r="G55" s="56"/>
      <c r="H55" s="74" t="s">
        <v>93</v>
      </c>
      <c r="I55" s="74" t="s">
        <v>94</v>
      </c>
      <c r="J55" s="90">
        <f>SUM(J56:J65)</f>
        <v>232522117</v>
      </c>
      <c r="K55" s="89"/>
    </row>
    <row r="56" ht="18.75" customHeight="1">
      <c r="A56" s="55">
        <v>49.0</v>
      </c>
      <c r="B56" s="83"/>
      <c r="C56" s="106"/>
      <c r="D56" s="103"/>
      <c r="E56" s="57"/>
      <c r="F56" s="58"/>
      <c r="G56" s="56"/>
      <c r="H56" s="58"/>
      <c r="I56" s="58" t="s">
        <v>137</v>
      </c>
      <c r="J56" s="90">
        <v>8.8398E7</v>
      </c>
      <c r="K56" s="83"/>
    </row>
    <row r="57" ht="18.75" customHeight="1">
      <c r="A57" s="55">
        <v>50.0</v>
      </c>
      <c r="B57" s="83"/>
      <c r="C57" s="58"/>
      <c r="D57" s="103"/>
      <c r="E57" s="57"/>
      <c r="F57" s="58"/>
      <c r="G57" s="56"/>
      <c r="H57" s="58"/>
      <c r="I57" s="58" t="s">
        <v>136</v>
      </c>
      <c r="J57" s="90">
        <v>1.35E7</v>
      </c>
      <c r="K57" s="83"/>
    </row>
    <row r="58" ht="18.75" customHeight="1">
      <c r="A58" s="55">
        <v>51.0</v>
      </c>
      <c r="B58" s="83"/>
      <c r="C58" s="58"/>
      <c r="D58" s="103"/>
      <c r="E58" s="57"/>
      <c r="F58" s="58"/>
      <c r="G58" s="56"/>
      <c r="H58" s="58"/>
      <c r="I58" s="58" t="s">
        <v>138</v>
      </c>
      <c r="J58" s="90">
        <v>6.2276077E7</v>
      </c>
      <c r="K58" s="83"/>
    </row>
    <row r="59" ht="18.75" customHeight="1">
      <c r="A59" s="55">
        <v>52.0</v>
      </c>
      <c r="B59" s="83"/>
      <c r="C59" s="106"/>
      <c r="D59" s="103"/>
      <c r="E59" s="57"/>
      <c r="F59" s="58"/>
      <c r="G59" s="56"/>
      <c r="H59" s="58"/>
      <c r="I59" s="58" t="s">
        <v>139</v>
      </c>
      <c r="J59" s="90">
        <v>5.094804E7</v>
      </c>
      <c r="K59" s="83"/>
    </row>
    <row r="60" ht="18.75" customHeight="1">
      <c r="A60" s="55">
        <v>53.0</v>
      </c>
      <c r="B60" s="83"/>
      <c r="C60" s="58"/>
      <c r="D60" s="103"/>
      <c r="E60" s="57"/>
      <c r="F60" s="58"/>
      <c r="G60" s="56"/>
      <c r="H60" s="58"/>
      <c r="I60" s="58" t="s">
        <v>140</v>
      </c>
      <c r="J60" s="90">
        <v>1.54E7</v>
      </c>
      <c r="K60" s="89"/>
    </row>
    <row r="61" ht="18.75" customHeight="1">
      <c r="A61" s="55">
        <v>54.0</v>
      </c>
      <c r="B61" s="83"/>
      <c r="C61" s="58"/>
      <c r="D61" s="103"/>
      <c r="E61" s="57"/>
      <c r="F61" s="58"/>
      <c r="G61" s="56"/>
      <c r="H61" s="58"/>
      <c r="I61" s="58" t="s">
        <v>141</v>
      </c>
      <c r="J61" s="90">
        <v>2000000.0</v>
      </c>
      <c r="K61" s="89"/>
    </row>
    <row r="62" ht="18.75" customHeight="1">
      <c r="A62" s="55">
        <v>55.0</v>
      </c>
      <c r="B62" s="83"/>
      <c r="C62" s="58"/>
      <c r="D62" s="103"/>
      <c r="E62" s="57"/>
      <c r="F62" s="58"/>
      <c r="G62" s="56"/>
      <c r="H62" s="58"/>
      <c r="I62" s="58"/>
      <c r="J62" s="90"/>
      <c r="K62" s="89"/>
    </row>
    <row r="63" ht="18.75" customHeight="1">
      <c r="A63" s="55">
        <v>56.0</v>
      </c>
      <c r="B63" s="83"/>
      <c r="C63" s="58"/>
      <c r="D63" s="103"/>
      <c r="E63" s="57"/>
      <c r="F63" s="58"/>
      <c r="G63" s="56"/>
      <c r="H63" s="58"/>
      <c r="I63" s="58"/>
      <c r="J63" s="90"/>
      <c r="K63" s="89"/>
    </row>
    <row r="64" ht="18.75" customHeight="1">
      <c r="A64" s="55">
        <v>57.0</v>
      </c>
      <c r="B64" s="83"/>
      <c r="C64" s="58"/>
      <c r="D64" s="103"/>
      <c r="E64" s="57"/>
      <c r="F64" s="58"/>
      <c r="G64" s="56"/>
      <c r="H64" s="58"/>
      <c r="I64" s="58"/>
      <c r="J64" s="90"/>
      <c r="K64" s="89"/>
    </row>
    <row r="65" ht="18.75" customHeight="1">
      <c r="A65" s="55">
        <v>58.0</v>
      </c>
      <c r="B65" s="83"/>
      <c r="C65" s="58"/>
      <c r="D65" s="103"/>
      <c r="E65" s="57"/>
      <c r="F65" s="58"/>
      <c r="G65" s="56"/>
      <c r="H65" s="58"/>
      <c r="I65" s="58"/>
      <c r="J65" s="90"/>
      <c r="K65" s="89"/>
    </row>
    <row r="66" ht="18.75" customHeight="1">
      <c r="A66" s="55">
        <v>59.0</v>
      </c>
      <c r="B66" s="83"/>
      <c r="C66" s="106"/>
      <c r="D66" s="103"/>
      <c r="E66" s="57"/>
      <c r="F66" s="58"/>
      <c r="G66" s="56"/>
      <c r="H66" s="74" t="s">
        <v>98</v>
      </c>
      <c r="I66" s="74" t="s">
        <v>5</v>
      </c>
      <c r="J66" s="25">
        <f>J46+J47-J55</f>
        <v>-62924214</v>
      </c>
      <c r="K66" s="89"/>
    </row>
    <row r="67" ht="18.75" customHeight="1">
      <c r="A67" s="91"/>
      <c r="B67" s="92"/>
      <c r="C67" s="91"/>
      <c r="D67" s="103"/>
      <c r="E67" s="91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103"/>
      <c r="E68" s="91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103"/>
      <c r="E69" s="91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103"/>
      <c r="E70" s="91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103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103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103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103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103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103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103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103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103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103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103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103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103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103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103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103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103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103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103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103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103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103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103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103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103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>
      <c r="A154" s="91"/>
      <c r="B154" s="92"/>
      <c r="C154" s="91"/>
      <c r="D154" s="91"/>
      <c r="E154" s="91"/>
      <c r="F154" s="91"/>
      <c r="G154" s="91"/>
      <c r="H154" s="91"/>
      <c r="I154" s="91"/>
      <c r="J154" s="91"/>
      <c r="K154" s="91"/>
    </row>
    <row r="155" ht="18.75" customHeight="1">
      <c r="A155" s="91"/>
      <c r="B155" s="92"/>
      <c r="C155" s="91"/>
      <c r="D155" s="91"/>
      <c r="E155" s="91"/>
      <c r="F155" s="91"/>
      <c r="G155" s="91"/>
      <c r="H155" s="91"/>
      <c r="I155" s="91"/>
      <c r="J155" s="91"/>
      <c r="K155" s="91"/>
    </row>
    <row r="156" ht="18.75" customHeight="1">
      <c r="A156" s="91"/>
      <c r="B156" s="92"/>
      <c r="C156" s="91"/>
      <c r="D156" s="91"/>
      <c r="E156" s="91"/>
      <c r="F156" s="91"/>
      <c r="G156" s="91"/>
      <c r="H156" s="91"/>
      <c r="I156" s="91"/>
      <c r="J156" s="91"/>
      <c r="K156" s="91"/>
    </row>
    <row r="157" ht="18.75" customHeight="1">
      <c r="A157" s="91"/>
      <c r="B157" s="92"/>
      <c r="C157" s="91"/>
      <c r="D157" s="91"/>
      <c r="E157" s="91"/>
      <c r="F157" s="91"/>
      <c r="G157" s="91"/>
      <c r="H157" s="91"/>
      <c r="I157" s="91"/>
      <c r="J157" s="91"/>
      <c r="K157" s="91"/>
    </row>
    <row r="158" ht="18.75" customHeight="1">
      <c r="A158" s="91"/>
      <c r="B158" s="92"/>
      <c r="C158" s="91"/>
      <c r="D158" s="91"/>
      <c r="E158" s="91"/>
      <c r="F158" s="91"/>
      <c r="G158" s="91"/>
      <c r="H158" s="91"/>
      <c r="I158" s="91"/>
      <c r="J158" s="91"/>
      <c r="K158" s="91"/>
    </row>
    <row r="159" ht="18.75" customHeight="1">
      <c r="A159" s="91"/>
      <c r="B159" s="92"/>
      <c r="C159" s="91"/>
      <c r="D159" s="91"/>
      <c r="E159" s="91"/>
      <c r="F159" s="91"/>
      <c r="G159" s="91"/>
      <c r="H159" s="91"/>
      <c r="I159" s="91"/>
      <c r="J159" s="91"/>
      <c r="K159" s="91"/>
    </row>
    <row r="160" ht="18.75" customHeight="1">
      <c r="A160" s="91"/>
      <c r="B160" s="92"/>
      <c r="C160" s="91"/>
      <c r="D160" s="91"/>
      <c r="E160" s="91"/>
      <c r="F160" s="91"/>
      <c r="G160" s="91"/>
      <c r="H160" s="91"/>
      <c r="I160" s="91"/>
      <c r="J160" s="91"/>
      <c r="K160" s="91"/>
    </row>
    <row r="161" ht="18.75" customHeight="1">
      <c r="A161" s="91"/>
      <c r="B161" s="92"/>
      <c r="C161" s="91"/>
      <c r="D161" s="91"/>
      <c r="E161" s="91"/>
      <c r="F161" s="91"/>
      <c r="G161" s="91"/>
      <c r="H161" s="91"/>
      <c r="I161" s="91"/>
      <c r="J161" s="91"/>
      <c r="K161" s="91"/>
    </row>
    <row r="162" ht="18.75" customHeight="1">
      <c r="A162" s="91"/>
      <c r="B162" s="92"/>
      <c r="C162" s="91"/>
      <c r="D162" s="91"/>
      <c r="E162" s="91"/>
      <c r="F162" s="91"/>
      <c r="G162" s="91"/>
      <c r="H162" s="91"/>
      <c r="I162" s="91"/>
      <c r="J162" s="91"/>
      <c r="K162" s="91"/>
    </row>
    <row r="163" ht="18.75" customHeight="1">
      <c r="A163" s="91"/>
      <c r="B163" s="92"/>
      <c r="C163" s="91"/>
      <c r="D163" s="91"/>
      <c r="E163" s="91"/>
      <c r="F163" s="91"/>
      <c r="G163" s="91"/>
      <c r="H163" s="91"/>
      <c r="I163" s="91"/>
      <c r="J163" s="91"/>
      <c r="K163" s="91"/>
    </row>
    <row r="164" ht="18.75" customHeight="1">
      <c r="A164" s="91"/>
      <c r="B164" s="92"/>
      <c r="C164" s="91"/>
      <c r="D164" s="91"/>
      <c r="E164" s="91"/>
      <c r="F164" s="91"/>
      <c r="G164" s="91"/>
      <c r="H164" s="91"/>
      <c r="I164" s="91"/>
      <c r="J164" s="91"/>
      <c r="K164" s="91"/>
    </row>
    <row r="165" ht="18.75" customHeight="1">
      <c r="A165" s="91"/>
      <c r="B165" s="92"/>
      <c r="C165" s="91"/>
      <c r="D165" s="91"/>
      <c r="E165" s="91"/>
      <c r="F165" s="91"/>
      <c r="G165" s="91"/>
      <c r="H165" s="91"/>
      <c r="I165" s="91"/>
      <c r="J165" s="91"/>
      <c r="K165" s="91"/>
    </row>
    <row r="166" ht="18.75" customHeight="1">
      <c r="A166" s="91"/>
      <c r="B166" s="92"/>
      <c r="C166" s="91"/>
      <c r="D166" s="91"/>
      <c r="E166" s="91"/>
      <c r="F166" s="91"/>
      <c r="G166" s="91"/>
      <c r="H166" s="91"/>
      <c r="I166" s="91"/>
      <c r="J166" s="91"/>
      <c r="K166" s="91"/>
    </row>
    <row r="167" ht="18.75" customHeight="1">
      <c r="A167" s="91"/>
      <c r="B167" s="92"/>
      <c r="C167" s="91"/>
      <c r="D167" s="91"/>
      <c r="E167" s="91"/>
      <c r="F167" s="91"/>
      <c r="G167" s="91"/>
      <c r="H167" s="91"/>
      <c r="I167" s="91"/>
      <c r="J167" s="91"/>
      <c r="K167" s="91"/>
    </row>
    <row r="168" ht="18.75" customHeight="1">
      <c r="A168" s="91"/>
      <c r="B168" s="92"/>
      <c r="C168" s="91"/>
      <c r="D168" s="91"/>
      <c r="E168" s="91"/>
      <c r="F168" s="91"/>
      <c r="G168" s="91"/>
      <c r="H168" s="91"/>
      <c r="I168" s="91"/>
      <c r="J168" s="91"/>
      <c r="K168" s="91"/>
    </row>
    <row r="169" ht="18.75" customHeight="1">
      <c r="A169" s="91"/>
      <c r="B169" s="92"/>
      <c r="C169" s="91"/>
      <c r="D169" s="91"/>
      <c r="E169" s="91"/>
      <c r="F169" s="91"/>
      <c r="G169" s="91"/>
      <c r="H169" s="91"/>
      <c r="I169" s="91"/>
      <c r="J169" s="91"/>
      <c r="K169" s="91"/>
    </row>
    <row r="170" ht="18.75" customHeight="1">
      <c r="A170" s="91"/>
      <c r="B170" s="92"/>
      <c r="C170" s="91"/>
      <c r="D170" s="91"/>
      <c r="E170" s="91"/>
      <c r="F170" s="91"/>
      <c r="G170" s="91"/>
      <c r="H170" s="91"/>
      <c r="I170" s="91"/>
      <c r="J170" s="91"/>
      <c r="K170" s="91"/>
    </row>
    <row r="171" ht="18.75" customHeight="1">
      <c r="A171" s="91"/>
      <c r="B171" s="92"/>
      <c r="C171" s="91"/>
      <c r="D171" s="91"/>
      <c r="E171" s="91"/>
      <c r="F171" s="91"/>
      <c r="G171" s="91"/>
      <c r="H171" s="91"/>
      <c r="I171" s="91"/>
      <c r="J171" s="91"/>
      <c r="K171" s="91"/>
    </row>
    <row r="172" ht="18.75" customHeight="1">
      <c r="A172" s="91"/>
      <c r="B172" s="92"/>
      <c r="C172" s="91"/>
      <c r="D172" s="91"/>
      <c r="E172" s="91"/>
      <c r="F172" s="91"/>
      <c r="G172" s="91"/>
      <c r="H172" s="91"/>
      <c r="I172" s="91"/>
      <c r="J172" s="91"/>
      <c r="K172" s="91"/>
    </row>
    <row r="173" ht="18.75" customHeight="1">
      <c r="A173" s="91"/>
      <c r="B173" s="92"/>
      <c r="C173" s="91"/>
      <c r="D173" s="91"/>
      <c r="E173" s="91"/>
      <c r="F173" s="91"/>
      <c r="G173" s="91"/>
      <c r="H173" s="91"/>
      <c r="I173" s="91"/>
      <c r="J173" s="91"/>
      <c r="K173" s="91"/>
    </row>
    <row r="174" ht="18.75" customHeight="1">
      <c r="A174" s="91"/>
      <c r="B174" s="92"/>
      <c r="C174" s="91"/>
      <c r="D174" s="91"/>
      <c r="E174" s="91"/>
      <c r="F174" s="91"/>
      <c r="G174" s="91"/>
      <c r="H174" s="91"/>
      <c r="I174" s="91"/>
      <c r="J174" s="91"/>
      <c r="K174" s="91"/>
    </row>
    <row r="175" ht="18.75" customHeight="1">
      <c r="A175" s="91"/>
      <c r="B175" s="92"/>
      <c r="C175" s="91"/>
      <c r="D175" s="91"/>
      <c r="E175" s="91"/>
      <c r="F175" s="91"/>
      <c r="G175" s="91"/>
      <c r="H175" s="91"/>
      <c r="I175" s="91"/>
      <c r="J175" s="91"/>
      <c r="K175" s="91"/>
    </row>
    <row r="176" ht="18.75" customHeight="1">
      <c r="A176" s="91"/>
      <c r="B176" s="92"/>
      <c r="C176" s="91"/>
      <c r="D176" s="91"/>
      <c r="E176" s="91"/>
      <c r="F176" s="91"/>
      <c r="G176" s="91"/>
      <c r="H176" s="91"/>
      <c r="I176" s="91"/>
      <c r="J176" s="91"/>
      <c r="K176" s="91"/>
    </row>
    <row r="177" ht="18.75" customHeight="1">
      <c r="A177" s="91"/>
      <c r="B177" s="92"/>
      <c r="C177" s="91"/>
      <c r="D177" s="91"/>
      <c r="E177" s="91"/>
      <c r="F177" s="91"/>
      <c r="G177" s="91"/>
      <c r="H177" s="91"/>
      <c r="I177" s="91"/>
      <c r="J177" s="91"/>
      <c r="K177" s="91"/>
    </row>
    <row r="178" ht="18.75" customHeight="1">
      <c r="A178" s="91"/>
      <c r="B178" s="92"/>
      <c r="C178" s="91"/>
      <c r="D178" s="91"/>
      <c r="E178" s="91"/>
      <c r="F178" s="91"/>
      <c r="G178" s="91"/>
      <c r="H178" s="91"/>
      <c r="I178" s="91"/>
      <c r="J178" s="91"/>
      <c r="K178" s="91"/>
    </row>
    <row r="179" ht="18.75" customHeight="1">
      <c r="A179" s="91"/>
      <c r="B179" s="92"/>
      <c r="C179" s="91"/>
      <c r="D179" s="91"/>
      <c r="E179" s="91"/>
      <c r="F179" s="91"/>
      <c r="G179" s="91"/>
      <c r="H179" s="91"/>
      <c r="I179" s="91"/>
      <c r="J179" s="91"/>
      <c r="K179" s="91"/>
    </row>
    <row r="180" ht="18.75" customHeight="1">
      <c r="A180" s="91"/>
      <c r="B180" s="92"/>
      <c r="C180" s="91"/>
      <c r="D180" s="91"/>
      <c r="E180" s="91"/>
      <c r="F180" s="91"/>
      <c r="G180" s="91"/>
      <c r="H180" s="91"/>
      <c r="I180" s="91"/>
      <c r="J180" s="91"/>
      <c r="K180" s="91"/>
    </row>
    <row r="181" ht="18.75" customHeight="1">
      <c r="A181" s="91"/>
      <c r="B181" s="92"/>
      <c r="C181" s="91"/>
      <c r="D181" s="91"/>
      <c r="E181" s="91"/>
      <c r="F181" s="91"/>
      <c r="G181" s="91"/>
      <c r="H181" s="91"/>
      <c r="I181" s="91"/>
      <c r="J181" s="91"/>
      <c r="K181" s="91"/>
    </row>
    <row r="182" ht="18.75" customHeight="1">
      <c r="A182" s="91"/>
      <c r="B182" s="92"/>
      <c r="C182" s="91"/>
      <c r="D182" s="91"/>
      <c r="E182" s="91"/>
      <c r="F182" s="91"/>
      <c r="G182" s="91"/>
      <c r="H182" s="91"/>
      <c r="I182" s="91"/>
      <c r="J182" s="91"/>
      <c r="K182" s="91"/>
    </row>
    <row r="183" ht="18.75" customHeight="1">
      <c r="A183" s="91"/>
      <c r="B183" s="92"/>
      <c r="C183" s="91"/>
      <c r="D183" s="91"/>
      <c r="E183" s="91"/>
      <c r="F183" s="91"/>
      <c r="G183" s="91"/>
      <c r="H183" s="91"/>
      <c r="I183" s="91"/>
      <c r="J183" s="91"/>
      <c r="K183" s="91"/>
    </row>
    <row r="184" ht="18.75" customHeight="1">
      <c r="A184" s="91"/>
      <c r="B184" s="92"/>
      <c r="C184" s="91"/>
      <c r="D184" s="91"/>
      <c r="E184" s="91"/>
      <c r="F184" s="91"/>
      <c r="G184" s="91"/>
      <c r="H184" s="91"/>
      <c r="I184" s="91"/>
      <c r="J184" s="91"/>
      <c r="K184" s="91"/>
    </row>
    <row r="185" ht="18.75" customHeight="1">
      <c r="A185" s="91"/>
      <c r="B185" s="92"/>
      <c r="C185" s="91"/>
      <c r="D185" s="91"/>
      <c r="E185" s="91"/>
      <c r="F185" s="91"/>
      <c r="G185" s="91"/>
      <c r="H185" s="91"/>
      <c r="I185" s="91"/>
      <c r="J185" s="91"/>
      <c r="K185" s="91"/>
    </row>
    <row r="186" ht="18.75" customHeight="1">
      <c r="A186" s="91"/>
      <c r="B186" s="92"/>
      <c r="C186" s="91"/>
      <c r="D186" s="91"/>
      <c r="E186" s="91"/>
      <c r="F186" s="91"/>
      <c r="G186" s="91"/>
      <c r="H186" s="91"/>
      <c r="I186" s="91"/>
      <c r="J186" s="91"/>
      <c r="K186" s="91"/>
    </row>
    <row r="187" ht="18.75" customHeight="1">
      <c r="A187" s="91"/>
      <c r="B187" s="92"/>
      <c r="C187" s="91"/>
      <c r="D187" s="91"/>
      <c r="E187" s="91"/>
      <c r="F187" s="91"/>
      <c r="G187" s="91"/>
      <c r="H187" s="91"/>
      <c r="I187" s="91"/>
      <c r="J187" s="91"/>
      <c r="K187" s="91"/>
    </row>
    <row r="188" ht="18.75" customHeight="1">
      <c r="A188" s="91"/>
      <c r="B188" s="92"/>
      <c r="C188" s="91"/>
      <c r="D188" s="91"/>
      <c r="E188" s="91"/>
      <c r="F188" s="91"/>
      <c r="G188" s="91"/>
      <c r="H188" s="91"/>
      <c r="I188" s="91"/>
      <c r="J188" s="91"/>
      <c r="K188" s="91"/>
    </row>
    <row r="189" ht="18.75" customHeight="1">
      <c r="A189" s="91"/>
      <c r="B189" s="92"/>
      <c r="C189" s="91"/>
      <c r="D189" s="91"/>
      <c r="E189" s="91"/>
      <c r="F189" s="91"/>
      <c r="G189" s="91"/>
      <c r="H189" s="91"/>
      <c r="I189" s="91"/>
      <c r="J189" s="91"/>
      <c r="K189" s="91"/>
    </row>
    <row r="190" ht="18.75" customHeight="1">
      <c r="A190" s="91"/>
      <c r="B190" s="92"/>
      <c r="C190" s="91"/>
      <c r="D190" s="91"/>
      <c r="E190" s="91"/>
      <c r="F190" s="91"/>
      <c r="G190" s="91"/>
      <c r="H190" s="91"/>
      <c r="I190" s="91"/>
      <c r="J190" s="91"/>
      <c r="K190" s="91"/>
    </row>
    <row r="191" ht="18.75" customHeight="1">
      <c r="A191" s="91"/>
      <c r="B191" s="92"/>
      <c r="C191" s="91"/>
      <c r="D191" s="91"/>
      <c r="E191" s="91"/>
      <c r="F191" s="91"/>
      <c r="G191" s="91"/>
      <c r="H191" s="91"/>
      <c r="I191" s="91"/>
      <c r="J191" s="91"/>
      <c r="K191" s="91"/>
    </row>
    <row r="192" ht="18.75" customHeight="1">
      <c r="A192" s="91"/>
      <c r="B192" s="92"/>
      <c r="C192" s="91"/>
      <c r="D192" s="91"/>
      <c r="E192" s="91"/>
      <c r="F192" s="91"/>
      <c r="G192" s="91"/>
      <c r="H192" s="91"/>
      <c r="I192" s="91"/>
      <c r="J192" s="91"/>
      <c r="K192" s="91"/>
    </row>
    <row r="193" ht="18.75" customHeight="1">
      <c r="A193" s="91"/>
      <c r="B193" s="92"/>
      <c r="C193" s="91"/>
      <c r="D193" s="91"/>
      <c r="E193" s="91"/>
      <c r="F193" s="91"/>
      <c r="G193" s="91"/>
      <c r="H193" s="91"/>
      <c r="I193" s="91"/>
      <c r="J193" s="91"/>
      <c r="K193" s="91"/>
    </row>
    <row r="194" ht="18.75" customHeight="1">
      <c r="A194" s="91"/>
      <c r="B194" s="92"/>
      <c r="C194" s="91"/>
      <c r="D194" s="91"/>
      <c r="E194" s="91"/>
      <c r="F194" s="91"/>
      <c r="G194" s="91"/>
      <c r="H194" s="91"/>
      <c r="I194" s="91"/>
      <c r="J194" s="91"/>
      <c r="K194" s="91"/>
    </row>
    <row r="195" ht="18.75" customHeight="1">
      <c r="A195" s="91"/>
      <c r="B195" s="92"/>
      <c r="C195" s="91"/>
      <c r="D195" s="91"/>
      <c r="E195" s="91"/>
      <c r="F195" s="91"/>
      <c r="G195" s="91"/>
      <c r="H195" s="91"/>
      <c r="I195" s="91"/>
      <c r="J195" s="91"/>
      <c r="K195" s="91"/>
    </row>
    <row r="196" ht="18.75" customHeight="1">
      <c r="A196" s="91"/>
      <c r="B196" s="92"/>
      <c r="C196" s="91"/>
      <c r="D196" s="91"/>
      <c r="E196" s="91"/>
      <c r="F196" s="91"/>
      <c r="G196" s="91"/>
      <c r="H196" s="91"/>
      <c r="I196" s="91"/>
      <c r="J196" s="91"/>
      <c r="K196" s="91"/>
    </row>
    <row r="197" ht="18.75" customHeight="1">
      <c r="A197" s="91"/>
      <c r="B197" s="92"/>
      <c r="C197" s="91"/>
      <c r="D197" s="91"/>
      <c r="E197" s="91"/>
      <c r="F197" s="91"/>
      <c r="G197" s="91"/>
      <c r="H197" s="91"/>
      <c r="I197" s="91"/>
      <c r="J197" s="91"/>
      <c r="K197" s="91"/>
    </row>
    <row r="198" ht="18.75" customHeight="1">
      <c r="A198" s="91"/>
      <c r="B198" s="92"/>
      <c r="C198" s="91"/>
      <c r="D198" s="91"/>
      <c r="E198" s="91"/>
      <c r="F198" s="91"/>
      <c r="G198" s="91"/>
      <c r="H198" s="91"/>
      <c r="I198" s="91"/>
      <c r="J198" s="91"/>
      <c r="K198" s="91"/>
    </row>
    <row r="199" ht="18.75" customHeight="1">
      <c r="A199" s="91"/>
      <c r="B199" s="92"/>
      <c r="C199" s="91"/>
      <c r="D199" s="91"/>
      <c r="E199" s="91"/>
      <c r="F199" s="91"/>
      <c r="G199" s="91"/>
      <c r="H199" s="91"/>
      <c r="I199" s="91"/>
      <c r="J199" s="91"/>
      <c r="K199" s="91"/>
    </row>
    <row r="200" ht="18.75" customHeight="1">
      <c r="A200" s="91"/>
      <c r="B200" s="92"/>
      <c r="C200" s="91"/>
      <c r="D200" s="91"/>
      <c r="E200" s="91"/>
      <c r="F200" s="91"/>
      <c r="G200" s="91"/>
      <c r="H200" s="91"/>
      <c r="I200" s="91"/>
      <c r="J200" s="91"/>
      <c r="K200" s="91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19:E200">
      <formula1>"1.1,1.2,1.3,2.1,2.2,2.3,2.4,2.5,2.6,2.7,2.8,2.9,2.11,2.12"</formula1>
    </dataValidation>
    <dataValidation type="list" allowBlank="1" showErrorMessage="1" sqref="E8:E18">
      <formula1>"1,1,1,2,2,1,2,11,2,12,2,2,2,3,2,5,2,6,2,7,2,8,2,9,2,4,1,3"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9" t="s">
        <v>20</v>
      </c>
      <c r="F1" s="10"/>
      <c r="G1" s="11"/>
      <c r="H1" s="97" t="s">
        <v>119</v>
      </c>
      <c r="I1" s="13"/>
      <c r="J1" s="14"/>
      <c r="K1" s="11"/>
    </row>
    <row r="2" ht="18.75" customHeight="1">
      <c r="A2" s="36" t="s">
        <v>142</v>
      </c>
      <c r="G2" s="11"/>
      <c r="H2" s="16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0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33" t="s">
        <v>121</v>
      </c>
      <c r="J4" s="25">
        <f>SUMIF($E$8:$E$54,1.1,$C$8:$C$45)</f>
        <v>0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33" t="s">
        <v>122</v>
      </c>
      <c r="J5" s="25">
        <f>SUMIF($E$8:$E$54,1.2,$C$8:$C$45)</f>
        <v>0</v>
      </c>
      <c r="K5" s="11"/>
    </row>
    <row r="6" ht="18.75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SUMIF($E$8:$E$54,1.3,$C$8:$C$45)</f>
        <v>0</v>
      </c>
      <c r="K6" s="11"/>
    </row>
    <row r="7" ht="21.75" customHeight="1">
      <c r="A7" s="36"/>
      <c r="B7" s="37"/>
      <c r="C7" s="38">
        <f t="shared" ref="C7:D7" si="1">SUM(C8:C100)</f>
        <v>0</v>
      </c>
      <c r="D7" s="38">
        <f t="shared" si="1"/>
        <v>96031632</v>
      </c>
      <c r="E7" s="39"/>
      <c r="F7" s="40"/>
      <c r="G7" s="40" t="s">
        <v>40</v>
      </c>
      <c r="H7" s="41"/>
      <c r="I7" s="40"/>
      <c r="J7" s="42"/>
      <c r="K7" s="40"/>
    </row>
    <row r="8" ht="18.75" customHeight="1">
      <c r="A8" s="48">
        <v>1.0</v>
      </c>
      <c r="B8" s="78">
        <v>45806.0</v>
      </c>
      <c r="C8" s="98"/>
      <c r="D8" s="99">
        <v>2646000.0</v>
      </c>
      <c r="E8" s="79" t="s">
        <v>123</v>
      </c>
      <c r="F8" s="81" t="s">
        <v>125</v>
      </c>
      <c r="G8" s="11"/>
      <c r="H8" s="23">
        <v>2.0</v>
      </c>
      <c r="I8" s="53" t="s">
        <v>45</v>
      </c>
      <c r="J8" s="25">
        <f>SUM(J9:J19)</f>
        <v>96031632</v>
      </c>
      <c r="K8" s="11"/>
    </row>
    <row r="9" ht="18.75" customHeight="1">
      <c r="A9" s="55">
        <v>2.0</v>
      </c>
      <c r="B9" s="78">
        <v>45779.0</v>
      </c>
      <c r="C9" s="98"/>
      <c r="D9" s="100">
        <v>6.3076632E7</v>
      </c>
      <c r="E9" s="79" t="s">
        <v>62</v>
      </c>
      <c r="F9" s="81" t="s">
        <v>143</v>
      </c>
      <c r="G9" s="56"/>
      <c r="H9" s="57">
        <v>2.1</v>
      </c>
      <c r="I9" s="58" t="s">
        <v>49</v>
      </c>
      <c r="J9" s="59">
        <f>SUMIF($E$8:$E$54,2.1,$D$8:$D$45)</f>
        <v>0</v>
      </c>
      <c r="K9" s="11"/>
    </row>
    <row r="10" ht="18.75" customHeight="1">
      <c r="A10" s="55">
        <v>3.0</v>
      </c>
      <c r="B10" s="78">
        <v>45787.0</v>
      </c>
      <c r="C10" s="98"/>
      <c r="D10" s="100">
        <v>4000000.0</v>
      </c>
      <c r="E10" s="79" t="s">
        <v>47</v>
      </c>
      <c r="F10" s="81" t="s">
        <v>144</v>
      </c>
      <c r="G10" s="56"/>
      <c r="H10" s="57">
        <v>2.2</v>
      </c>
      <c r="I10" s="58" t="s">
        <v>53</v>
      </c>
      <c r="J10" s="25">
        <f>SUMIF($E$8:$E$54,2.2,$D$8:$D$45)</f>
        <v>63076632</v>
      </c>
      <c r="K10" s="11"/>
    </row>
    <row r="11" ht="18.75" customHeight="1">
      <c r="A11" s="55">
        <v>4.0</v>
      </c>
      <c r="B11" s="78">
        <v>45789.0</v>
      </c>
      <c r="C11" s="98"/>
      <c r="D11" s="100">
        <v>1.0E7</v>
      </c>
      <c r="E11" s="79" t="s">
        <v>47</v>
      </c>
      <c r="F11" s="81" t="s">
        <v>144</v>
      </c>
      <c r="G11" s="56"/>
      <c r="H11" s="57">
        <v>2.3</v>
      </c>
      <c r="I11" s="58" t="s">
        <v>56</v>
      </c>
      <c r="J11" s="25">
        <f>SUMIF($E$8:$E$54,2.3,$D$8:$D$45)</f>
        <v>0</v>
      </c>
      <c r="K11" s="11"/>
    </row>
    <row r="12" ht="18.75" customHeight="1">
      <c r="A12" s="55">
        <v>5.0</v>
      </c>
      <c r="B12" s="78">
        <v>45800.0</v>
      </c>
      <c r="C12" s="100"/>
      <c r="D12" s="100">
        <v>2709000.0</v>
      </c>
      <c r="E12" s="79" t="s">
        <v>47</v>
      </c>
      <c r="F12" s="81" t="s">
        <v>145</v>
      </c>
      <c r="G12" s="56"/>
      <c r="H12" s="57">
        <v>2.4</v>
      </c>
      <c r="I12" s="58" t="s">
        <v>59</v>
      </c>
      <c r="J12" s="25">
        <f>SUMIF($E$8:$E$54,2.4,$D$8:$D$45)</f>
        <v>0</v>
      </c>
      <c r="K12" s="11"/>
    </row>
    <row r="13" ht="18.75" customHeight="1">
      <c r="A13" s="55">
        <v>6.0</v>
      </c>
      <c r="B13" s="78">
        <v>45782.0</v>
      </c>
      <c r="C13" s="100"/>
      <c r="D13" s="100">
        <v>1.36E7</v>
      </c>
      <c r="E13" s="79" t="s">
        <v>127</v>
      </c>
      <c r="F13" s="105" t="s">
        <v>128</v>
      </c>
      <c r="G13" s="56"/>
      <c r="H13" s="57">
        <v>2.5</v>
      </c>
      <c r="I13" s="58" t="s">
        <v>64</v>
      </c>
      <c r="J13" s="25">
        <f>SUMIF($E$8:$E$54,2.5,$D$8:$D$45)</f>
        <v>0</v>
      </c>
      <c r="K13" s="11"/>
    </row>
    <row r="14" ht="18.75" customHeight="1">
      <c r="A14" s="55">
        <v>7.0</v>
      </c>
      <c r="B14" s="78"/>
      <c r="C14" s="100"/>
      <c r="D14" s="100"/>
      <c r="E14" s="79"/>
      <c r="F14" s="81"/>
      <c r="G14" s="56"/>
      <c r="H14" s="57">
        <v>2.6</v>
      </c>
      <c r="I14" s="58" t="s">
        <v>66</v>
      </c>
      <c r="J14" s="25">
        <f>SUMIF($E$8:$E$54,2.6,$D$8:$D$45)</f>
        <v>16709000</v>
      </c>
      <c r="K14" s="11"/>
    </row>
    <row r="15" ht="18.75" customHeight="1">
      <c r="A15" s="55">
        <v>8.0</v>
      </c>
      <c r="B15" s="78"/>
      <c r="C15" s="100"/>
      <c r="D15" s="100"/>
      <c r="E15" s="79"/>
      <c r="F15" s="81"/>
      <c r="G15" s="56"/>
      <c r="H15" s="57">
        <v>2.7</v>
      </c>
      <c r="I15" s="58" t="s">
        <v>69</v>
      </c>
      <c r="J15" s="25">
        <f>SUMIF($E$8:$E$54,2.7,$D$8:$D$45)</f>
        <v>2646000</v>
      </c>
      <c r="K15" s="11"/>
    </row>
    <row r="16" ht="18.75" customHeight="1">
      <c r="A16" s="55">
        <v>9.0</v>
      </c>
      <c r="B16" s="78"/>
      <c r="C16" s="100"/>
      <c r="D16" s="100"/>
      <c r="E16" s="79"/>
      <c r="F16" s="81"/>
      <c r="G16" s="56"/>
      <c r="H16" s="57">
        <v>2.8</v>
      </c>
      <c r="I16" s="58" t="s">
        <v>71</v>
      </c>
      <c r="J16" s="25">
        <f>SUMIF($E$8:$E$54,2.8,$D$8:$D$45)</f>
        <v>13600000</v>
      </c>
      <c r="K16" s="11"/>
    </row>
    <row r="17" ht="18.75" customHeight="1">
      <c r="A17" s="55">
        <v>10.0</v>
      </c>
      <c r="B17" s="78"/>
      <c r="C17" s="100"/>
      <c r="D17" s="100"/>
      <c r="E17" s="79"/>
      <c r="F17" s="81"/>
      <c r="G17" s="56"/>
      <c r="H17" s="57">
        <v>2.9</v>
      </c>
      <c r="I17" s="58" t="s">
        <v>74</v>
      </c>
      <c r="J17" s="25">
        <f>SUMIF($E$8:$E$54,2.9,$D$8:$D$45)</f>
        <v>0</v>
      </c>
      <c r="K17" s="11"/>
    </row>
    <row r="18" ht="18.75" customHeight="1">
      <c r="A18" s="55">
        <v>11.0</v>
      </c>
      <c r="B18" s="78"/>
      <c r="C18" s="100"/>
      <c r="D18" s="100"/>
      <c r="E18" s="79"/>
      <c r="F18" s="81"/>
      <c r="G18" s="56"/>
      <c r="H18" s="57">
        <v>2.11</v>
      </c>
      <c r="I18" s="58" t="s">
        <v>77</v>
      </c>
      <c r="J18" s="25">
        <f>SUMIF($E$8:$E$54,2.11,$D$8:$D$45)</f>
        <v>0</v>
      </c>
      <c r="K18" s="11"/>
    </row>
    <row r="19" ht="18.75" customHeight="1">
      <c r="A19" s="55">
        <v>12.0</v>
      </c>
      <c r="B19" s="83"/>
      <c r="C19" s="100"/>
      <c r="D19" s="100"/>
      <c r="E19" s="104"/>
      <c r="F19" s="105"/>
      <c r="G19" s="56"/>
      <c r="H19" s="57">
        <v>2.12</v>
      </c>
      <c r="I19" s="58" t="s">
        <v>80</v>
      </c>
      <c r="J19" s="25">
        <f>SUMIF($E$8:$E$54,2.12,$D$8:$D$45)</f>
        <v>0</v>
      </c>
      <c r="K19" s="11"/>
    </row>
    <row r="20" ht="18.75" customHeight="1">
      <c r="A20" s="55">
        <v>13.0</v>
      </c>
      <c r="B20" s="83"/>
      <c r="C20" s="100"/>
      <c r="D20" s="100"/>
      <c r="E20" s="104"/>
      <c r="F20" s="105"/>
      <c r="G20" s="56"/>
      <c r="H20" s="73">
        <v>3.0</v>
      </c>
      <c r="I20" s="74" t="s">
        <v>82</v>
      </c>
      <c r="J20" s="75">
        <f>J3-J8</f>
        <v>-96031632</v>
      </c>
      <c r="K20" s="11"/>
    </row>
    <row r="21" ht="18.75" customHeight="1">
      <c r="A21" s="55">
        <v>14.0</v>
      </c>
      <c r="B21" s="83"/>
      <c r="C21" s="100"/>
      <c r="D21" s="100"/>
      <c r="E21" s="57"/>
      <c r="F21" s="58"/>
      <c r="G21" s="11"/>
      <c r="H21" s="11"/>
      <c r="I21" s="11"/>
      <c r="J21" s="11"/>
      <c r="K21" s="11"/>
    </row>
    <row r="22" ht="18.75" customHeight="1">
      <c r="A22" s="55">
        <v>15.0</v>
      </c>
      <c r="B22" s="83"/>
      <c r="C22" s="100"/>
      <c r="D22" s="100"/>
      <c r="E22" s="57"/>
      <c r="F22" s="58"/>
      <c r="G22" s="11"/>
      <c r="H22" s="97" t="s">
        <v>132</v>
      </c>
      <c r="I22" s="13"/>
      <c r="J22" s="14"/>
      <c r="K22" s="11"/>
    </row>
    <row r="23" ht="18.75" customHeight="1">
      <c r="A23" s="55">
        <v>16.0</v>
      </c>
      <c r="B23" s="83"/>
      <c r="C23" s="100"/>
      <c r="D23" s="100"/>
      <c r="E23" s="57"/>
      <c r="F23" s="58"/>
      <c r="G23" s="56"/>
      <c r="H23" s="58"/>
      <c r="I23" s="74" t="s">
        <v>24</v>
      </c>
      <c r="J23" s="57" t="s">
        <v>25</v>
      </c>
      <c r="K23" s="11"/>
    </row>
    <row r="24" ht="18.75" customHeight="1">
      <c r="A24" s="55">
        <v>17.0</v>
      </c>
      <c r="B24" s="83"/>
      <c r="C24" s="103"/>
      <c r="D24" s="103"/>
      <c r="E24" s="57"/>
      <c r="F24" s="58"/>
      <c r="G24" s="56"/>
      <c r="H24" s="74" t="s">
        <v>86</v>
      </c>
      <c r="I24" s="74" t="s">
        <v>87</v>
      </c>
      <c r="J24" s="80">
        <v>0.0</v>
      </c>
      <c r="K24" s="11"/>
    </row>
    <row r="25" ht="18.75" customHeight="1">
      <c r="A25" s="55">
        <v>18.0</v>
      </c>
      <c r="B25" s="83"/>
      <c r="C25" s="103"/>
      <c r="D25" s="103"/>
      <c r="E25" s="57"/>
      <c r="F25" s="58"/>
      <c r="G25" s="56"/>
      <c r="H25" s="74" t="s">
        <v>88</v>
      </c>
      <c r="I25" s="74" t="s">
        <v>89</v>
      </c>
      <c r="J25" s="82">
        <f>SUM(J26:J28)</f>
        <v>0</v>
      </c>
      <c r="K25" s="11"/>
    </row>
    <row r="26" ht="18.75" customHeight="1">
      <c r="A26" s="55">
        <v>19.0</v>
      </c>
      <c r="B26" s="83"/>
      <c r="C26" s="103"/>
      <c r="D26" s="103"/>
      <c r="E26" s="57"/>
      <c r="F26" s="58"/>
      <c r="G26" s="56"/>
      <c r="H26" s="58"/>
      <c r="I26" s="58" t="s">
        <v>90</v>
      </c>
      <c r="J26" s="82">
        <f>J3</f>
        <v>0</v>
      </c>
      <c r="K26" s="11"/>
    </row>
    <row r="27" ht="18.75" customHeight="1">
      <c r="A27" s="55">
        <v>20.0</v>
      </c>
      <c r="B27" s="83"/>
      <c r="C27" s="103"/>
      <c r="D27" s="103"/>
      <c r="E27" s="57"/>
      <c r="F27" s="58"/>
      <c r="G27" s="56"/>
      <c r="H27" s="58"/>
      <c r="I27" s="58" t="s">
        <v>91</v>
      </c>
      <c r="J27" s="74"/>
      <c r="K27" s="11"/>
    </row>
    <row r="28" ht="18.75" customHeight="1">
      <c r="A28" s="55">
        <v>21.0</v>
      </c>
      <c r="B28" s="83"/>
      <c r="C28" s="103"/>
      <c r="D28" s="103"/>
      <c r="E28" s="57"/>
      <c r="F28" s="58"/>
      <c r="G28" s="56"/>
      <c r="H28" s="58"/>
      <c r="I28" s="58" t="s">
        <v>92</v>
      </c>
      <c r="J28" s="74"/>
      <c r="K28" s="11"/>
    </row>
    <row r="29" ht="18.75" customHeight="1">
      <c r="A29" s="55">
        <v>22.0</v>
      </c>
      <c r="B29" s="83"/>
      <c r="C29" s="103"/>
      <c r="D29" s="103"/>
      <c r="E29" s="57"/>
      <c r="F29" s="58"/>
      <c r="G29" s="56"/>
      <c r="H29" s="74" t="s">
        <v>93</v>
      </c>
      <c r="I29" s="74" t="s">
        <v>94</v>
      </c>
      <c r="J29" s="82">
        <f>SUM(J30:J41)</f>
        <v>96031632</v>
      </c>
      <c r="K29" s="11"/>
    </row>
    <row r="30" ht="18.75" customHeight="1">
      <c r="A30" s="55">
        <v>23.0</v>
      </c>
      <c r="B30" s="83"/>
      <c r="C30" s="103"/>
      <c r="D30" s="103"/>
      <c r="E30" s="57"/>
      <c r="F30" s="58"/>
      <c r="G30" s="56"/>
      <c r="H30" s="57">
        <v>2.1</v>
      </c>
      <c r="I30" s="58" t="s">
        <v>49</v>
      </c>
      <c r="J30" s="82">
        <f>J9</f>
        <v>0</v>
      </c>
      <c r="K30" s="11"/>
    </row>
    <row r="31" ht="18.75" customHeight="1">
      <c r="A31" s="55">
        <v>24.0</v>
      </c>
      <c r="B31" s="83"/>
      <c r="C31" s="103"/>
      <c r="D31" s="103"/>
      <c r="E31" s="57"/>
      <c r="F31" s="58"/>
      <c r="G31" s="56"/>
      <c r="H31" s="28">
        <v>1.3</v>
      </c>
      <c r="I31" s="58" t="s">
        <v>96</v>
      </c>
      <c r="J31" s="80"/>
      <c r="K31" s="11"/>
    </row>
    <row r="32" ht="18.75" customHeight="1">
      <c r="A32" s="55">
        <v>25.0</v>
      </c>
      <c r="B32" s="83"/>
      <c r="C32" s="103"/>
      <c r="D32" s="103"/>
      <c r="E32" s="57"/>
      <c r="F32" s="58"/>
      <c r="G32" s="56"/>
      <c r="H32" s="57">
        <v>2.2</v>
      </c>
      <c r="I32" s="58" t="s">
        <v>53</v>
      </c>
      <c r="J32" s="82">
        <f t="shared" ref="J32:J41" si="2">J10</f>
        <v>63076632</v>
      </c>
      <c r="K32" s="11"/>
    </row>
    <row r="33" ht="18.75" customHeight="1">
      <c r="A33" s="55">
        <v>26.0</v>
      </c>
      <c r="B33" s="83"/>
      <c r="C33" s="103"/>
      <c r="D33" s="103"/>
      <c r="E33" s="57"/>
      <c r="F33" s="58"/>
      <c r="G33" s="56"/>
      <c r="H33" s="57">
        <v>2.3</v>
      </c>
      <c r="I33" s="58" t="s">
        <v>56</v>
      </c>
      <c r="J33" s="82">
        <f t="shared" si="2"/>
        <v>0</v>
      </c>
      <c r="K33" s="11"/>
    </row>
    <row r="34" ht="18.75" customHeight="1">
      <c r="A34" s="55">
        <v>27.0</v>
      </c>
      <c r="B34" s="83"/>
      <c r="C34" s="103"/>
      <c r="D34" s="103"/>
      <c r="E34" s="57"/>
      <c r="F34" s="58"/>
      <c r="G34" s="56"/>
      <c r="H34" s="57">
        <v>2.4</v>
      </c>
      <c r="I34" s="58" t="s">
        <v>59</v>
      </c>
      <c r="J34" s="82">
        <f t="shared" si="2"/>
        <v>0</v>
      </c>
      <c r="K34" s="11"/>
    </row>
    <row r="35" ht="18.75" customHeight="1">
      <c r="A35" s="55">
        <v>28.0</v>
      </c>
      <c r="B35" s="83"/>
      <c r="C35" s="103"/>
      <c r="D35" s="103"/>
      <c r="E35" s="57"/>
      <c r="F35" s="58"/>
      <c r="G35" s="56"/>
      <c r="H35" s="57">
        <v>2.5</v>
      </c>
      <c r="I35" s="58" t="s">
        <v>64</v>
      </c>
      <c r="J35" s="82">
        <f t="shared" si="2"/>
        <v>0</v>
      </c>
      <c r="K35" s="11"/>
    </row>
    <row r="36" ht="18.75" customHeight="1">
      <c r="A36" s="55">
        <v>29.0</v>
      </c>
      <c r="B36" s="83"/>
      <c r="C36" s="103"/>
      <c r="D36" s="103"/>
      <c r="E36" s="57"/>
      <c r="F36" s="58"/>
      <c r="G36" s="56"/>
      <c r="H36" s="57">
        <v>2.6</v>
      </c>
      <c r="I36" s="58" t="s">
        <v>66</v>
      </c>
      <c r="J36" s="82">
        <f t="shared" si="2"/>
        <v>16709000</v>
      </c>
      <c r="K36" s="11"/>
    </row>
    <row r="37" ht="18.75" customHeight="1">
      <c r="A37" s="55">
        <v>30.0</v>
      </c>
      <c r="B37" s="83"/>
      <c r="C37" s="103"/>
      <c r="D37" s="103"/>
      <c r="E37" s="57"/>
      <c r="F37" s="58"/>
      <c r="G37" s="56"/>
      <c r="H37" s="57">
        <v>2.7</v>
      </c>
      <c r="I37" s="58" t="s">
        <v>69</v>
      </c>
      <c r="J37" s="82">
        <f t="shared" si="2"/>
        <v>2646000</v>
      </c>
      <c r="K37" s="11"/>
    </row>
    <row r="38" ht="18.75" customHeight="1">
      <c r="A38" s="55">
        <v>31.0</v>
      </c>
      <c r="B38" s="83"/>
      <c r="C38" s="103"/>
      <c r="D38" s="103"/>
      <c r="E38" s="57"/>
      <c r="F38" s="58"/>
      <c r="G38" s="56"/>
      <c r="H38" s="57">
        <v>2.8</v>
      </c>
      <c r="I38" s="58" t="s">
        <v>71</v>
      </c>
      <c r="J38" s="82">
        <f t="shared" si="2"/>
        <v>13600000</v>
      </c>
      <c r="K38" s="11"/>
    </row>
    <row r="39" ht="18.75" customHeight="1">
      <c r="A39" s="55">
        <v>32.0</v>
      </c>
      <c r="B39" s="83"/>
      <c r="C39" s="103"/>
      <c r="D39" s="103"/>
      <c r="E39" s="57"/>
      <c r="F39" s="58"/>
      <c r="G39" s="56"/>
      <c r="H39" s="57">
        <v>2.9</v>
      </c>
      <c r="I39" s="58" t="s">
        <v>74</v>
      </c>
      <c r="J39" s="82">
        <f t="shared" si="2"/>
        <v>0</v>
      </c>
      <c r="K39" s="11"/>
    </row>
    <row r="40" ht="18.75" customHeight="1">
      <c r="A40" s="55">
        <v>33.0</v>
      </c>
      <c r="B40" s="83"/>
      <c r="C40" s="103"/>
      <c r="D40" s="103"/>
      <c r="E40" s="57"/>
      <c r="F40" s="58"/>
      <c r="G40" s="56"/>
      <c r="H40" s="57">
        <v>2.11</v>
      </c>
      <c r="I40" s="58" t="s">
        <v>77</v>
      </c>
      <c r="J40" s="82">
        <f t="shared" si="2"/>
        <v>0</v>
      </c>
      <c r="K40" s="11"/>
    </row>
    <row r="41" ht="18.75" customHeight="1">
      <c r="A41" s="55">
        <v>34.0</v>
      </c>
      <c r="B41" s="83"/>
      <c r="C41" s="103"/>
      <c r="D41" s="103"/>
      <c r="E41" s="57"/>
      <c r="F41" s="58"/>
      <c r="G41" s="56"/>
      <c r="H41" s="57">
        <v>2.12</v>
      </c>
      <c r="I41" s="58" t="s">
        <v>97</v>
      </c>
      <c r="J41" s="82">
        <f t="shared" si="2"/>
        <v>0</v>
      </c>
      <c r="K41" s="11"/>
    </row>
    <row r="42" ht="18.75" customHeight="1">
      <c r="A42" s="55">
        <v>35.0</v>
      </c>
      <c r="B42" s="83"/>
      <c r="C42" s="103"/>
      <c r="D42" s="103"/>
      <c r="E42" s="57"/>
      <c r="F42" s="58"/>
      <c r="G42" s="56"/>
      <c r="H42" s="74" t="s">
        <v>98</v>
      </c>
      <c r="I42" s="74" t="s">
        <v>5</v>
      </c>
      <c r="J42" s="25">
        <f>J24+J25-J29</f>
        <v>-96031632</v>
      </c>
      <c r="K42" s="11"/>
    </row>
    <row r="43" ht="18.75" customHeight="1">
      <c r="A43" s="55">
        <v>36.0</v>
      </c>
      <c r="B43" s="83"/>
      <c r="C43" s="103"/>
      <c r="D43" s="103"/>
      <c r="E43" s="57"/>
      <c r="F43" s="58"/>
      <c r="G43" s="11"/>
      <c r="H43" s="11"/>
      <c r="I43" s="11"/>
      <c r="J43" s="11"/>
      <c r="K43" s="11"/>
    </row>
    <row r="44" ht="18.75" customHeight="1">
      <c r="A44" s="55">
        <v>37.0</v>
      </c>
      <c r="B44" s="83"/>
      <c r="C44" s="103"/>
      <c r="D44" s="103"/>
      <c r="E44" s="57"/>
      <c r="F44" s="58"/>
      <c r="G44" s="11"/>
      <c r="H44" s="86" t="s">
        <v>99</v>
      </c>
      <c r="I44" s="87"/>
      <c r="J44" s="87"/>
      <c r="K44" s="21"/>
    </row>
    <row r="45" ht="18.75" customHeight="1">
      <c r="A45" s="55">
        <v>38.0</v>
      </c>
      <c r="B45" s="83"/>
      <c r="C45" s="103"/>
      <c r="D45" s="103"/>
      <c r="E45" s="57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>
        <v>39.0</v>
      </c>
      <c r="B46" s="83"/>
      <c r="C46" s="103"/>
      <c r="D46" s="103"/>
      <c r="E46" s="57"/>
      <c r="F46" s="58"/>
      <c r="G46" s="56"/>
      <c r="H46" s="74" t="s">
        <v>86</v>
      </c>
      <c r="I46" s="74" t="s">
        <v>87</v>
      </c>
      <c r="J46" s="82">
        <f>J42</f>
        <v>-96031632</v>
      </c>
      <c r="K46" s="89"/>
    </row>
    <row r="47" ht="18.75" customHeight="1">
      <c r="A47" s="55">
        <v>40.0</v>
      </c>
      <c r="B47" s="83"/>
      <c r="C47" s="103"/>
      <c r="D47" s="103"/>
      <c r="E47" s="57"/>
      <c r="F47" s="58"/>
      <c r="G47" s="56"/>
      <c r="H47" s="74" t="s">
        <v>88</v>
      </c>
      <c r="I47" s="74" t="s">
        <v>89</v>
      </c>
      <c r="J47" s="82">
        <f>SUM(J48:J54)</f>
        <v>247357258</v>
      </c>
      <c r="K47" s="89"/>
    </row>
    <row r="48" ht="18.75" customHeight="1">
      <c r="A48" s="55">
        <v>41.0</v>
      </c>
      <c r="B48" s="83"/>
      <c r="C48" s="58"/>
      <c r="D48" s="103"/>
      <c r="E48" s="57"/>
      <c r="F48" s="58"/>
      <c r="G48" s="56"/>
      <c r="H48" s="58"/>
      <c r="I48" s="58" t="s">
        <v>133</v>
      </c>
      <c r="J48" s="90">
        <v>8.0957397E7</v>
      </c>
      <c r="K48" s="89">
        <v>45869.0</v>
      </c>
    </row>
    <row r="49" ht="18.75" customHeight="1">
      <c r="A49" s="55">
        <v>42.0</v>
      </c>
      <c r="B49" s="83"/>
      <c r="C49" s="58"/>
      <c r="D49" s="103"/>
      <c r="E49" s="57"/>
      <c r="F49" s="58"/>
      <c r="G49" s="56"/>
      <c r="H49" s="58"/>
      <c r="I49" s="58" t="s">
        <v>134</v>
      </c>
      <c r="J49" s="90">
        <v>7.5442464E7</v>
      </c>
      <c r="K49" s="89">
        <v>45869.0</v>
      </c>
    </row>
    <row r="50" ht="18.75" customHeight="1">
      <c r="A50" s="55">
        <v>43.0</v>
      </c>
      <c r="B50" s="83"/>
      <c r="C50" s="58"/>
      <c r="D50" s="103"/>
      <c r="E50" s="57"/>
      <c r="F50" s="58"/>
      <c r="G50" s="56"/>
      <c r="H50" s="58"/>
      <c r="I50" s="58" t="s">
        <v>135</v>
      </c>
      <c r="J50" s="90">
        <v>7.5957397E7</v>
      </c>
      <c r="K50" s="89">
        <v>45869.0</v>
      </c>
    </row>
    <row r="51" ht="18.75" customHeight="1">
      <c r="A51" s="55">
        <v>44.0</v>
      </c>
      <c r="B51" s="83"/>
      <c r="C51" s="58"/>
      <c r="D51" s="103"/>
      <c r="E51" s="57"/>
      <c r="F51" s="58"/>
      <c r="G51" s="56"/>
      <c r="H51" s="58"/>
      <c r="I51" s="58" t="s">
        <v>136</v>
      </c>
      <c r="J51" s="90">
        <v>1.5E7</v>
      </c>
      <c r="K51" s="89">
        <v>45869.0</v>
      </c>
    </row>
    <row r="52" ht="18.75" customHeight="1">
      <c r="A52" s="55">
        <v>45.0</v>
      </c>
      <c r="B52" s="83"/>
      <c r="C52" s="58"/>
      <c r="D52" s="103"/>
      <c r="E52" s="57"/>
      <c r="F52" s="58"/>
      <c r="G52" s="56"/>
      <c r="H52" s="58"/>
      <c r="I52" s="58"/>
      <c r="J52" s="74"/>
      <c r="K52" s="89"/>
    </row>
    <row r="53" ht="18.75" customHeight="1">
      <c r="A53" s="55">
        <v>46.0</v>
      </c>
      <c r="B53" s="83"/>
      <c r="C53" s="58"/>
      <c r="D53" s="103"/>
      <c r="E53" s="57"/>
      <c r="F53" s="58"/>
      <c r="G53" s="56"/>
      <c r="H53" s="58"/>
      <c r="I53" s="58"/>
      <c r="J53" s="74"/>
      <c r="K53" s="89"/>
    </row>
    <row r="54" ht="18.75" customHeight="1">
      <c r="A54" s="55">
        <v>47.0</v>
      </c>
      <c r="B54" s="83"/>
      <c r="C54" s="58"/>
      <c r="D54" s="103"/>
      <c r="E54" s="57"/>
      <c r="F54" s="58"/>
      <c r="G54" s="56"/>
      <c r="H54" s="58"/>
      <c r="I54" s="58"/>
      <c r="J54" s="74"/>
      <c r="K54" s="89"/>
    </row>
    <row r="55" ht="18.75" customHeight="1">
      <c r="A55" s="55">
        <v>48.0</v>
      </c>
      <c r="B55" s="83"/>
      <c r="C55" s="58"/>
      <c r="D55" s="103"/>
      <c r="E55" s="57"/>
      <c r="F55" s="58"/>
      <c r="G55" s="56"/>
      <c r="H55" s="74" t="s">
        <v>93</v>
      </c>
      <c r="I55" s="74" t="s">
        <v>94</v>
      </c>
      <c r="J55" s="90">
        <f>SUM(J56:J65)</f>
        <v>232522117</v>
      </c>
      <c r="K55" s="89"/>
    </row>
    <row r="56" ht="18.75" customHeight="1">
      <c r="A56" s="55">
        <v>49.0</v>
      </c>
      <c r="B56" s="83"/>
      <c r="C56" s="106"/>
      <c r="D56" s="103"/>
      <c r="E56" s="57"/>
      <c r="F56" s="58"/>
      <c r="G56" s="56"/>
      <c r="H56" s="58"/>
      <c r="I56" s="58" t="s">
        <v>137</v>
      </c>
      <c r="J56" s="90">
        <v>8.8398E7</v>
      </c>
      <c r="K56" s="83"/>
    </row>
    <row r="57" ht="18.75" customHeight="1">
      <c r="A57" s="55">
        <v>50.0</v>
      </c>
      <c r="B57" s="83"/>
      <c r="C57" s="58"/>
      <c r="D57" s="103"/>
      <c r="E57" s="57"/>
      <c r="F57" s="58"/>
      <c r="G57" s="56"/>
      <c r="H57" s="58"/>
      <c r="I57" s="58" t="s">
        <v>136</v>
      </c>
      <c r="J57" s="90">
        <v>1.35E7</v>
      </c>
      <c r="K57" s="83"/>
    </row>
    <row r="58" ht="18.75" customHeight="1">
      <c r="A58" s="55">
        <v>51.0</v>
      </c>
      <c r="B58" s="83"/>
      <c r="C58" s="58"/>
      <c r="D58" s="103"/>
      <c r="E58" s="57"/>
      <c r="F58" s="58"/>
      <c r="G58" s="56"/>
      <c r="H58" s="58"/>
      <c r="I58" s="58" t="s">
        <v>138</v>
      </c>
      <c r="J58" s="90">
        <v>6.2276077E7</v>
      </c>
      <c r="K58" s="83"/>
    </row>
    <row r="59" ht="18.75" customHeight="1">
      <c r="A59" s="55">
        <v>52.0</v>
      </c>
      <c r="B59" s="83"/>
      <c r="C59" s="106"/>
      <c r="D59" s="103"/>
      <c r="E59" s="57"/>
      <c r="F59" s="58"/>
      <c r="G59" s="56"/>
      <c r="H59" s="58"/>
      <c r="I59" s="58" t="s">
        <v>139</v>
      </c>
      <c r="J59" s="90">
        <v>5.094804E7</v>
      </c>
      <c r="K59" s="83"/>
    </row>
    <row r="60" ht="18.75" customHeight="1">
      <c r="A60" s="55">
        <v>53.0</v>
      </c>
      <c r="B60" s="83"/>
      <c r="C60" s="58"/>
      <c r="D60" s="103"/>
      <c r="E60" s="57"/>
      <c r="F60" s="58"/>
      <c r="G60" s="56"/>
      <c r="H60" s="58"/>
      <c r="I60" s="58" t="s">
        <v>140</v>
      </c>
      <c r="J60" s="90">
        <v>1.54E7</v>
      </c>
      <c r="K60" s="89"/>
    </row>
    <row r="61" ht="18.75" customHeight="1">
      <c r="A61" s="55">
        <v>54.0</v>
      </c>
      <c r="B61" s="83"/>
      <c r="C61" s="58"/>
      <c r="D61" s="103"/>
      <c r="E61" s="57"/>
      <c r="F61" s="58"/>
      <c r="G61" s="56"/>
      <c r="H61" s="58"/>
      <c r="I61" s="58" t="s">
        <v>141</v>
      </c>
      <c r="J61" s="90">
        <v>2000000.0</v>
      </c>
      <c r="K61" s="89"/>
    </row>
    <row r="62" ht="18.75" customHeight="1">
      <c r="A62" s="55">
        <v>55.0</v>
      </c>
      <c r="B62" s="83"/>
      <c r="C62" s="58"/>
      <c r="D62" s="103"/>
      <c r="E62" s="57"/>
      <c r="F62" s="58"/>
      <c r="G62" s="56"/>
      <c r="H62" s="58"/>
      <c r="I62" s="58"/>
      <c r="J62" s="90"/>
      <c r="K62" s="89"/>
    </row>
    <row r="63" ht="18.75" customHeight="1">
      <c r="A63" s="55">
        <v>56.0</v>
      </c>
      <c r="B63" s="83"/>
      <c r="C63" s="58"/>
      <c r="D63" s="103"/>
      <c r="E63" s="57"/>
      <c r="F63" s="58"/>
      <c r="G63" s="56"/>
      <c r="H63" s="58"/>
      <c r="I63" s="58"/>
      <c r="J63" s="90"/>
      <c r="K63" s="89"/>
    </row>
    <row r="64" ht="18.75" customHeight="1">
      <c r="A64" s="55">
        <v>57.0</v>
      </c>
      <c r="B64" s="83"/>
      <c r="C64" s="58"/>
      <c r="D64" s="103"/>
      <c r="E64" s="57"/>
      <c r="F64" s="58"/>
      <c r="G64" s="56"/>
      <c r="H64" s="58"/>
      <c r="I64" s="58"/>
      <c r="J64" s="90"/>
      <c r="K64" s="89"/>
    </row>
    <row r="65" ht="18.75" customHeight="1">
      <c r="A65" s="55">
        <v>58.0</v>
      </c>
      <c r="B65" s="83"/>
      <c r="C65" s="58"/>
      <c r="D65" s="103"/>
      <c r="E65" s="57"/>
      <c r="F65" s="58"/>
      <c r="G65" s="56"/>
      <c r="H65" s="58"/>
      <c r="I65" s="58"/>
      <c r="J65" s="90"/>
      <c r="K65" s="89"/>
    </row>
    <row r="66" ht="18.75" customHeight="1">
      <c r="A66" s="55">
        <v>59.0</v>
      </c>
      <c r="B66" s="83"/>
      <c r="C66" s="106"/>
      <c r="D66" s="103"/>
      <c r="E66" s="57"/>
      <c r="F66" s="58"/>
      <c r="G66" s="56"/>
      <c r="H66" s="74" t="s">
        <v>98</v>
      </c>
      <c r="I66" s="74" t="s">
        <v>5</v>
      </c>
      <c r="J66" s="25">
        <f>J46+J47-J55</f>
        <v>-81196491</v>
      </c>
      <c r="K66" s="89"/>
    </row>
    <row r="67" ht="18.75" customHeight="1">
      <c r="A67" s="91"/>
      <c r="B67" s="92"/>
      <c r="C67" s="91"/>
      <c r="D67" s="103"/>
      <c r="E67" s="91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103"/>
      <c r="E68" s="91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103"/>
      <c r="E69" s="91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103"/>
      <c r="E70" s="91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103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103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103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103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103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103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103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103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103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103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103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103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103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103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103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103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103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103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103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103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103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103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103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103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103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>
      <c r="A154" s="91"/>
      <c r="B154" s="92"/>
      <c r="C154" s="91"/>
      <c r="D154" s="91"/>
      <c r="E154" s="91"/>
      <c r="F154" s="91"/>
      <c r="G154" s="91"/>
      <c r="H154" s="91"/>
      <c r="I154" s="91"/>
      <c r="J154" s="91"/>
      <c r="K154" s="91"/>
    </row>
    <row r="155" ht="18.75" customHeight="1">
      <c r="A155" s="91"/>
      <c r="B155" s="92"/>
      <c r="C155" s="91"/>
      <c r="D155" s="91"/>
      <c r="E155" s="91"/>
      <c r="F155" s="91"/>
      <c r="G155" s="91"/>
      <c r="H155" s="91"/>
      <c r="I155" s="91"/>
      <c r="J155" s="91"/>
      <c r="K155" s="91"/>
    </row>
    <row r="156" ht="18.75" customHeight="1">
      <c r="A156" s="91"/>
      <c r="B156" s="92"/>
      <c r="C156" s="91"/>
      <c r="D156" s="91"/>
      <c r="E156" s="91"/>
      <c r="F156" s="91"/>
      <c r="G156" s="91"/>
      <c r="H156" s="91"/>
      <c r="I156" s="91"/>
      <c r="J156" s="91"/>
      <c r="K156" s="91"/>
    </row>
    <row r="157" ht="18.75" customHeight="1">
      <c r="A157" s="91"/>
      <c r="B157" s="92"/>
      <c r="C157" s="91"/>
      <c r="D157" s="91"/>
      <c r="E157" s="91"/>
      <c r="F157" s="91"/>
      <c r="G157" s="91"/>
      <c r="H157" s="91"/>
      <c r="I157" s="91"/>
      <c r="J157" s="91"/>
      <c r="K157" s="91"/>
    </row>
    <row r="158" ht="18.75" customHeight="1">
      <c r="A158" s="91"/>
      <c r="B158" s="92"/>
      <c r="C158" s="91"/>
      <c r="D158" s="91"/>
      <c r="E158" s="91"/>
      <c r="F158" s="91"/>
      <c r="G158" s="91"/>
      <c r="H158" s="91"/>
      <c r="I158" s="91"/>
      <c r="J158" s="91"/>
      <c r="K158" s="91"/>
    </row>
    <row r="159" ht="18.75" customHeight="1">
      <c r="A159" s="91"/>
      <c r="B159" s="92"/>
      <c r="C159" s="91"/>
      <c r="D159" s="91"/>
      <c r="E159" s="91"/>
      <c r="F159" s="91"/>
      <c r="G159" s="91"/>
      <c r="H159" s="91"/>
      <c r="I159" s="91"/>
      <c r="J159" s="91"/>
      <c r="K159" s="91"/>
    </row>
    <row r="160" ht="18.75" customHeight="1">
      <c r="A160" s="91"/>
      <c r="B160" s="92"/>
      <c r="C160" s="91"/>
      <c r="D160" s="91"/>
      <c r="E160" s="91"/>
      <c r="F160" s="91"/>
      <c r="G160" s="91"/>
      <c r="H160" s="91"/>
      <c r="I160" s="91"/>
      <c r="J160" s="91"/>
      <c r="K160" s="91"/>
    </row>
    <row r="161" ht="18.75" customHeight="1">
      <c r="A161" s="91"/>
      <c r="B161" s="92"/>
      <c r="C161" s="91"/>
      <c r="D161" s="91"/>
      <c r="E161" s="91"/>
      <c r="F161" s="91"/>
      <c r="G161" s="91"/>
      <c r="H161" s="91"/>
      <c r="I161" s="91"/>
      <c r="J161" s="91"/>
      <c r="K161" s="91"/>
    </row>
    <row r="162" ht="18.75" customHeight="1">
      <c r="A162" s="91"/>
      <c r="B162" s="92"/>
      <c r="C162" s="91"/>
      <c r="D162" s="91"/>
      <c r="E162" s="91"/>
      <c r="F162" s="91"/>
      <c r="G162" s="91"/>
      <c r="H162" s="91"/>
      <c r="I162" s="91"/>
      <c r="J162" s="91"/>
      <c r="K162" s="91"/>
    </row>
    <row r="163" ht="18.75" customHeight="1">
      <c r="A163" s="91"/>
      <c r="B163" s="92"/>
      <c r="C163" s="91"/>
      <c r="D163" s="91"/>
      <c r="E163" s="91"/>
      <c r="F163" s="91"/>
      <c r="G163" s="91"/>
      <c r="H163" s="91"/>
      <c r="I163" s="91"/>
      <c r="J163" s="91"/>
      <c r="K163" s="91"/>
    </row>
    <row r="164" ht="18.75" customHeight="1">
      <c r="A164" s="91"/>
      <c r="B164" s="92"/>
      <c r="C164" s="91"/>
      <c r="D164" s="91"/>
      <c r="E164" s="91"/>
      <c r="F164" s="91"/>
      <c r="G164" s="91"/>
      <c r="H164" s="91"/>
      <c r="I164" s="91"/>
      <c r="J164" s="91"/>
      <c r="K164" s="91"/>
    </row>
    <row r="165" ht="18.75" customHeight="1">
      <c r="A165" s="91"/>
      <c r="B165" s="92"/>
      <c r="C165" s="91"/>
      <c r="D165" s="91"/>
      <c r="E165" s="91"/>
      <c r="F165" s="91"/>
      <c r="G165" s="91"/>
      <c r="H165" s="91"/>
      <c r="I165" s="91"/>
      <c r="J165" s="91"/>
      <c r="K165" s="91"/>
    </row>
    <row r="166" ht="18.75" customHeight="1">
      <c r="A166" s="91"/>
      <c r="B166" s="92"/>
      <c r="C166" s="91"/>
      <c r="D166" s="91"/>
      <c r="E166" s="91"/>
      <c r="F166" s="91"/>
      <c r="G166" s="91"/>
      <c r="H166" s="91"/>
      <c r="I166" s="91"/>
      <c r="J166" s="91"/>
      <c r="K166" s="91"/>
    </row>
    <row r="167" ht="18.75" customHeight="1">
      <c r="A167" s="91"/>
      <c r="B167" s="92"/>
      <c r="C167" s="91"/>
      <c r="D167" s="91"/>
      <c r="E167" s="91"/>
      <c r="F167" s="91"/>
      <c r="G167" s="91"/>
      <c r="H167" s="91"/>
      <c r="I167" s="91"/>
      <c r="J167" s="91"/>
      <c r="K167" s="91"/>
    </row>
    <row r="168" ht="18.75" customHeight="1">
      <c r="A168" s="91"/>
      <c r="B168" s="92"/>
      <c r="C168" s="91"/>
      <c r="D168" s="91"/>
      <c r="E168" s="91"/>
      <c r="F168" s="91"/>
      <c r="G168" s="91"/>
      <c r="H168" s="91"/>
      <c r="I168" s="91"/>
      <c r="J168" s="91"/>
      <c r="K168" s="91"/>
    </row>
    <row r="169" ht="18.75" customHeight="1">
      <c r="A169" s="91"/>
      <c r="B169" s="92"/>
      <c r="C169" s="91"/>
      <c r="D169" s="91"/>
      <c r="E169" s="91"/>
      <c r="F169" s="91"/>
      <c r="G169" s="91"/>
      <c r="H169" s="91"/>
      <c r="I169" s="91"/>
      <c r="J169" s="91"/>
      <c r="K169" s="91"/>
    </row>
    <row r="170" ht="18.75" customHeight="1">
      <c r="A170" s="91"/>
      <c r="B170" s="92"/>
      <c r="C170" s="91"/>
      <c r="D170" s="91"/>
      <c r="E170" s="91"/>
      <c r="F170" s="91"/>
      <c r="G170" s="91"/>
      <c r="H170" s="91"/>
      <c r="I170" s="91"/>
      <c r="J170" s="91"/>
      <c r="K170" s="91"/>
    </row>
    <row r="171" ht="18.75" customHeight="1">
      <c r="A171" s="91"/>
      <c r="B171" s="92"/>
      <c r="C171" s="91"/>
      <c r="D171" s="91"/>
      <c r="E171" s="91"/>
      <c r="F171" s="91"/>
      <c r="G171" s="91"/>
      <c r="H171" s="91"/>
      <c r="I171" s="91"/>
      <c r="J171" s="91"/>
      <c r="K171" s="91"/>
    </row>
    <row r="172" ht="18.75" customHeight="1">
      <c r="A172" s="91"/>
      <c r="B172" s="92"/>
      <c r="C172" s="91"/>
      <c r="D172" s="91"/>
      <c r="E172" s="91"/>
      <c r="F172" s="91"/>
      <c r="G172" s="91"/>
      <c r="H172" s="91"/>
      <c r="I172" s="91"/>
      <c r="J172" s="91"/>
      <c r="K172" s="91"/>
    </row>
    <row r="173" ht="18.75" customHeight="1">
      <c r="A173" s="91"/>
      <c r="B173" s="92"/>
      <c r="C173" s="91"/>
      <c r="D173" s="91"/>
      <c r="E173" s="91"/>
      <c r="F173" s="91"/>
      <c r="G173" s="91"/>
      <c r="H173" s="91"/>
      <c r="I173" s="91"/>
      <c r="J173" s="91"/>
      <c r="K173" s="91"/>
    </row>
    <row r="174" ht="18.75" customHeight="1">
      <c r="A174" s="91"/>
      <c r="B174" s="92"/>
      <c r="C174" s="91"/>
      <c r="D174" s="91"/>
      <c r="E174" s="91"/>
      <c r="F174" s="91"/>
      <c r="G174" s="91"/>
      <c r="H174" s="91"/>
      <c r="I174" s="91"/>
      <c r="J174" s="91"/>
      <c r="K174" s="91"/>
    </row>
    <row r="175" ht="18.75" customHeight="1">
      <c r="A175" s="91"/>
      <c r="B175" s="92"/>
      <c r="C175" s="91"/>
      <c r="D175" s="91"/>
      <c r="E175" s="91"/>
      <c r="F175" s="91"/>
      <c r="G175" s="91"/>
      <c r="H175" s="91"/>
      <c r="I175" s="91"/>
      <c r="J175" s="91"/>
      <c r="K175" s="91"/>
    </row>
    <row r="176" ht="18.75" customHeight="1">
      <c r="A176" s="91"/>
      <c r="B176" s="92"/>
      <c r="C176" s="91"/>
      <c r="D176" s="91"/>
      <c r="E176" s="91"/>
      <c r="F176" s="91"/>
      <c r="G176" s="91"/>
      <c r="H176" s="91"/>
      <c r="I176" s="91"/>
      <c r="J176" s="91"/>
      <c r="K176" s="91"/>
    </row>
    <row r="177" ht="18.75" customHeight="1">
      <c r="A177" s="91"/>
      <c r="B177" s="92"/>
      <c r="C177" s="91"/>
      <c r="D177" s="91"/>
      <c r="E177" s="91"/>
      <c r="F177" s="91"/>
      <c r="G177" s="91"/>
      <c r="H177" s="91"/>
      <c r="I177" s="91"/>
      <c r="J177" s="91"/>
      <c r="K177" s="91"/>
    </row>
    <row r="178" ht="18.75" customHeight="1">
      <c r="A178" s="91"/>
      <c r="B178" s="92"/>
      <c r="C178" s="91"/>
      <c r="D178" s="91"/>
      <c r="E178" s="91"/>
      <c r="F178" s="91"/>
      <c r="G178" s="91"/>
      <c r="H178" s="91"/>
      <c r="I178" s="91"/>
      <c r="J178" s="91"/>
      <c r="K178" s="91"/>
    </row>
    <row r="179" ht="18.75" customHeight="1">
      <c r="A179" s="91"/>
      <c r="B179" s="92"/>
      <c r="C179" s="91"/>
      <c r="D179" s="91"/>
      <c r="E179" s="91"/>
      <c r="F179" s="91"/>
      <c r="G179" s="91"/>
      <c r="H179" s="91"/>
      <c r="I179" s="91"/>
      <c r="J179" s="91"/>
      <c r="K179" s="91"/>
    </row>
    <row r="180" ht="18.75" customHeight="1">
      <c r="A180" s="91"/>
      <c r="B180" s="92"/>
      <c r="C180" s="91"/>
      <c r="D180" s="91"/>
      <c r="E180" s="91"/>
      <c r="F180" s="91"/>
      <c r="G180" s="91"/>
      <c r="H180" s="91"/>
      <c r="I180" s="91"/>
      <c r="J180" s="91"/>
      <c r="K180" s="91"/>
    </row>
    <row r="181" ht="18.75" customHeight="1">
      <c r="A181" s="91"/>
      <c r="B181" s="92"/>
      <c r="C181" s="91"/>
      <c r="D181" s="91"/>
      <c r="E181" s="91"/>
      <c r="F181" s="91"/>
      <c r="G181" s="91"/>
      <c r="H181" s="91"/>
      <c r="I181" s="91"/>
      <c r="J181" s="91"/>
      <c r="K181" s="91"/>
    </row>
    <row r="182" ht="18.75" customHeight="1">
      <c r="A182" s="91"/>
      <c r="B182" s="92"/>
      <c r="C182" s="91"/>
      <c r="D182" s="91"/>
      <c r="E182" s="91"/>
      <c r="F182" s="91"/>
      <c r="G182" s="91"/>
      <c r="H182" s="91"/>
      <c r="I182" s="91"/>
      <c r="J182" s="91"/>
      <c r="K182" s="91"/>
    </row>
    <row r="183" ht="18.75" customHeight="1">
      <c r="A183" s="91"/>
      <c r="B183" s="92"/>
      <c r="C183" s="91"/>
      <c r="D183" s="91"/>
      <c r="E183" s="91"/>
      <c r="F183" s="91"/>
      <c r="G183" s="91"/>
      <c r="H183" s="91"/>
      <c r="I183" s="91"/>
      <c r="J183" s="91"/>
      <c r="K183" s="91"/>
    </row>
    <row r="184" ht="18.75" customHeight="1">
      <c r="A184" s="91"/>
      <c r="B184" s="92"/>
      <c r="C184" s="91"/>
      <c r="D184" s="91"/>
      <c r="E184" s="91"/>
      <c r="F184" s="91"/>
      <c r="G184" s="91"/>
      <c r="H184" s="91"/>
      <c r="I184" s="91"/>
      <c r="J184" s="91"/>
      <c r="K184" s="91"/>
    </row>
    <row r="185" ht="18.75" customHeight="1">
      <c r="A185" s="91"/>
      <c r="B185" s="92"/>
      <c r="C185" s="91"/>
      <c r="D185" s="91"/>
      <c r="E185" s="91"/>
      <c r="F185" s="91"/>
      <c r="G185" s="91"/>
      <c r="H185" s="91"/>
      <c r="I185" s="91"/>
      <c r="J185" s="91"/>
      <c r="K185" s="91"/>
    </row>
    <row r="186" ht="18.75" customHeight="1">
      <c r="A186" s="91"/>
      <c r="B186" s="92"/>
      <c r="C186" s="91"/>
      <c r="D186" s="91"/>
      <c r="E186" s="91"/>
      <c r="F186" s="91"/>
      <c r="G186" s="91"/>
      <c r="H186" s="91"/>
      <c r="I186" s="91"/>
      <c r="J186" s="91"/>
      <c r="K186" s="91"/>
    </row>
    <row r="187" ht="18.75" customHeight="1">
      <c r="A187" s="91"/>
      <c r="B187" s="92"/>
      <c r="C187" s="91"/>
      <c r="D187" s="91"/>
      <c r="E187" s="91"/>
      <c r="F187" s="91"/>
      <c r="G187" s="91"/>
      <c r="H187" s="91"/>
      <c r="I187" s="91"/>
      <c r="J187" s="91"/>
      <c r="K187" s="91"/>
    </row>
    <row r="188" ht="18.75" customHeight="1">
      <c r="A188" s="91"/>
      <c r="B188" s="92"/>
      <c r="C188" s="91"/>
      <c r="D188" s="91"/>
      <c r="E188" s="91"/>
      <c r="F188" s="91"/>
      <c r="G188" s="91"/>
      <c r="H188" s="91"/>
      <c r="I188" s="91"/>
      <c r="J188" s="91"/>
      <c r="K188" s="91"/>
    </row>
    <row r="189" ht="18.75" customHeight="1">
      <c r="A189" s="91"/>
      <c r="B189" s="92"/>
      <c r="C189" s="91"/>
      <c r="D189" s="91"/>
      <c r="E189" s="91"/>
      <c r="F189" s="91"/>
      <c r="G189" s="91"/>
      <c r="H189" s="91"/>
      <c r="I189" s="91"/>
      <c r="J189" s="91"/>
      <c r="K189" s="91"/>
    </row>
    <row r="190" ht="18.75" customHeight="1">
      <c r="A190" s="91"/>
      <c r="B190" s="92"/>
      <c r="C190" s="91"/>
      <c r="D190" s="91"/>
      <c r="E190" s="91"/>
      <c r="F190" s="91"/>
      <c r="G190" s="91"/>
      <c r="H190" s="91"/>
      <c r="I190" s="91"/>
      <c r="J190" s="91"/>
      <c r="K190" s="91"/>
    </row>
    <row r="191" ht="18.75" customHeight="1">
      <c r="A191" s="91"/>
      <c r="B191" s="92"/>
      <c r="C191" s="91"/>
      <c r="D191" s="91"/>
      <c r="E191" s="91"/>
      <c r="F191" s="91"/>
      <c r="G191" s="91"/>
      <c r="H191" s="91"/>
      <c r="I191" s="91"/>
      <c r="J191" s="91"/>
      <c r="K191" s="91"/>
    </row>
    <row r="192" ht="18.75" customHeight="1">
      <c r="A192" s="91"/>
      <c r="B192" s="92"/>
      <c r="C192" s="91"/>
      <c r="D192" s="91"/>
      <c r="E192" s="91"/>
      <c r="F192" s="91"/>
      <c r="G192" s="91"/>
      <c r="H192" s="91"/>
      <c r="I192" s="91"/>
      <c r="J192" s="91"/>
      <c r="K192" s="91"/>
    </row>
    <row r="193" ht="18.75" customHeight="1">
      <c r="A193" s="91"/>
      <c r="B193" s="92"/>
      <c r="C193" s="91"/>
      <c r="D193" s="91"/>
      <c r="E193" s="91"/>
      <c r="F193" s="91"/>
      <c r="G193" s="91"/>
      <c r="H193" s="91"/>
      <c r="I193" s="91"/>
      <c r="J193" s="91"/>
      <c r="K193" s="91"/>
    </row>
    <row r="194" ht="18.75" customHeight="1">
      <c r="A194" s="91"/>
      <c r="B194" s="92"/>
      <c r="C194" s="91"/>
      <c r="D194" s="91"/>
      <c r="E194" s="91"/>
      <c r="F194" s="91"/>
      <c r="G194" s="91"/>
      <c r="H194" s="91"/>
      <c r="I194" s="91"/>
      <c r="J194" s="91"/>
      <c r="K194" s="91"/>
    </row>
    <row r="195" ht="18.75" customHeight="1">
      <c r="A195" s="91"/>
      <c r="B195" s="92"/>
      <c r="C195" s="91"/>
      <c r="D195" s="91"/>
      <c r="E195" s="91"/>
      <c r="F195" s="91"/>
      <c r="G195" s="91"/>
      <c r="H195" s="91"/>
      <c r="I195" s="91"/>
      <c r="J195" s="91"/>
      <c r="K195" s="91"/>
    </row>
    <row r="196" ht="18.75" customHeight="1">
      <c r="A196" s="91"/>
      <c r="B196" s="92"/>
      <c r="C196" s="91"/>
      <c r="D196" s="91"/>
      <c r="E196" s="91"/>
      <c r="F196" s="91"/>
      <c r="G196" s="91"/>
      <c r="H196" s="91"/>
      <c r="I196" s="91"/>
      <c r="J196" s="91"/>
      <c r="K196" s="91"/>
    </row>
    <row r="197" ht="18.75" customHeight="1">
      <c r="A197" s="91"/>
      <c r="B197" s="92"/>
      <c r="C197" s="91"/>
      <c r="D197" s="91"/>
      <c r="E197" s="91"/>
      <c r="F197" s="91"/>
      <c r="G197" s="91"/>
      <c r="H197" s="91"/>
      <c r="I197" s="91"/>
      <c r="J197" s="91"/>
      <c r="K197" s="91"/>
    </row>
    <row r="198" ht="18.75" customHeight="1">
      <c r="A198" s="91"/>
      <c r="B198" s="92"/>
      <c r="C198" s="91"/>
      <c r="D198" s="91"/>
      <c r="E198" s="91"/>
      <c r="F198" s="91"/>
      <c r="G198" s="91"/>
      <c r="H198" s="91"/>
      <c r="I198" s="91"/>
      <c r="J198" s="91"/>
      <c r="K198" s="91"/>
    </row>
    <row r="199" ht="18.75" customHeight="1">
      <c r="A199" s="91"/>
      <c r="B199" s="92"/>
      <c r="C199" s="91"/>
      <c r="D199" s="91"/>
      <c r="E199" s="91"/>
      <c r="F199" s="91"/>
      <c r="G199" s="91"/>
      <c r="H199" s="91"/>
      <c r="I199" s="91"/>
      <c r="J199" s="91"/>
      <c r="K199" s="91"/>
    </row>
    <row r="200" ht="18.75" customHeight="1">
      <c r="A200" s="91"/>
      <c r="B200" s="92"/>
      <c r="C200" s="91"/>
      <c r="D200" s="91"/>
      <c r="E200" s="91"/>
      <c r="F200" s="91"/>
      <c r="G200" s="91"/>
      <c r="H200" s="91"/>
      <c r="I200" s="91"/>
      <c r="J200" s="91"/>
      <c r="K200" s="91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19:E200">
      <formula1>"1.1,1.2,1.3,2.1,2.2,2.3,2.4,2.5,2.6,2.7,2.8,2.9,2.11,2.12"</formula1>
    </dataValidation>
    <dataValidation type="list" allowBlank="1" showErrorMessage="1" sqref="E8:E18">
      <formula1>"1,1,1,2,2,1,2,11,2,12,2,2,2,3,2,5,2,6,2,7,2,8,2,9,2,4,1,3"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9" t="s">
        <v>20</v>
      </c>
      <c r="F1" s="10"/>
      <c r="G1" s="11"/>
      <c r="H1" s="97" t="s">
        <v>119</v>
      </c>
      <c r="I1" s="13"/>
      <c r="J1" s="14"/>
      <c r="K1" s="11"/>
    </row>
    <row r="2" ht="18.75" customHeight="1">
      <c r="A2" s="36" t="s">
        <v>146</v>
      </c>
      <c r="G2" s="11"/>
      <c r="H2" s="53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30000000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33" t="s">
        <v>121</v>
      </c>
      <c r="J4" s="25">
        <f>SUMIF($E$8:$E$54,1.1,$C$8:$C$45)</f>
        <v>30000000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33" t="s">
        <v>122</v>
      </c>
      <c r="J5" s="25">
        <f>SUMIF($E$8:$E$54,1.2,$C$8:$C$45)</f>
        <v>0</v>
      </c>
      <c r="K5" s="11"/>
    </row>
    <row r="6" ht="18.75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SUMIF($E$8:$E$54,1.3,$C$8:$C$45)</f>
        <v>0</v>
      </c>
      <c r="K6" s="11"/>
    </row>
    <row r="7" ht="21.75" customHeight="1">
      <c r="A7" s="36"/>
      <c r="B7" s="37"/>
      <c r="C7" s="42">
        <f t="shared" ref="C7:D7" si="1">SUM(C8:C100)</f>
        <v>30000000</v>
      </c>
      <c r="D7" s="42">
        <f t="shared" si="1"/>
        <v>147431580</v>
      </c>
      <c r="E7" s="39"/>
      <c r="F7" s="40"/>
      <c r="G7" s="40" t="s">
        <v>40</v>
      </c>
      <c r="H7" s="41"/>
      <c r="I7" s="40"/>
      <c r="J7" s="42"/>
      <c r="K7" s="40"/>
    </row>
    <row r="8" ht="18.75" customHeight="1">
      <c r="A8" s="48">
        <v>1.0</v>
      </c>
      <c r="B8" s="83">
        <v>45815.0</v>
      </c>
      <c r="C8" s="103"/>
      <c r="D8" s="103">
        <v>1.36E7</v>
      </c>
      <c r="E8" s="79" t="s">
        <v>127</v>
      </c>
      <c r="F8" s="105" t="s">
        <v>128</v>
      </c>
      <c r="G8" s="11"/>
      <c r="H8" s="23">
        <v>2.0</v>
      </c>
      <c r="I8" s="53" t="s">
        <v>45</v>
      </c>
      <c r="J8" s="25">
        <f>SUM(J9:J19)</f>
        <v>147431580</v>
      </c>
      <c r="K8" s="11"/>
    </row>
    <row r="9" ht="18.75" customHeight="1">
      <c r="A9" s="55">
        <v>2.0</v>
      </c>
      <c r="B9" s="83">
        <v>45824.0</v>
      </c>
      <c r="C9" s="103"/>
      <c r="D9" s="107">
        <v>900000.0</v>
      </c>
      <c r="E9" s="79">
        <v>2.5</v>
      </c>
      <c r="F9" s="108" t="s">
        <v>147</v>
      </c>
      <c r="G9" s="56"/>
      <c r="H9" s="57">
        <v>2.1</v>
      </c>
      <c r="I9" s="58" t="s">
        <v>49</v>
      </c>
      <c r="J9" s="59">
        <f>SUMIF($E$8:$E$54,2.1,$D$8:$D$45)</f>
        <v>0</v>
      </c>
      <c r="K9" s="11"/>
    </row>
    <row r="10" ht="18.75" customHeight="1">
      <c r="A10" s="55">
        <v>3.0</v>
      </c>
      <c r="B10" s="83">
        <v>45813.0</v>
      </c>
      <c r="C10" s="103"/>
      <c r="D10" s="103">
        <v>6.409508E7</v>
      </c>
      <c r="E10" s="79">
        <v>2.2</v>
      </c>
      <c r="F10" s="105" t="s">
        <v>148</v>
      </c>
      <c r="G10" s="56"/>
      <c r="H10" s="57">
        <v>2.2</v>
      </c>
      <c r="I10" s="58" t="s">
        <v>53</v>
      </c>
      <c r="J10" s="25">
        <f>SUMIF($E$8:$E$54,2.2,$D$8:$D$45)</f>
        <v>79095080</v>
      </c>
      <c r="K10" s="11"/>
    </row>
    <row r="11" ht="18.75" customHeight="1">
      <c r="A11" s="55">
        <v>4.0</v>
      </c>
      <c r="B11" s="83">
        <v>45820.0</v>
      </c>
      <c r="C11" s="103"/>
      <c r="D11" s="103">
        <v>1.54E7</v>
      </c>
      <c r="E11" s="79">
        <v>2.6</v>
      </c>
      <c r="F11" s="105" t="s">
        <v>149</v>
      </c>
      <c r="G11" s="56"/>
      <c r="H11" s="57">
        <v>2.3</v>
      </c>
      <c r="I11" s="58" t="s">
        <v>56</v>
      </c>
      <c r="J11" s="25">
        <f>SUMIF($E$8:$E$54,2.3,$D$8:$D$45)</f>
        <v>22536500</v>
      </c>
      <c r="K11" s="11"/>
    </row>
    <row r="12" ht="18.75" customHeight="1">
      <c r="A12" s="55">
        <v>5.0</v>
      </c>
      <c r="B12" s="83">
        <v>45825.0</v>
      </c>
      <c r="C12" s="103"/>
      <c r="D12" s="103">
        <v>1.35E7</v>
      </c>
      <c r="E12" s="79">
        <v>2.5</v>
      </c>
      <c r="F12" s="105" t="s">
        <v>150</v>
      </c>
      <c r="G12" s="56"/>
      <c r="H12" s="57">
        <v>2.4</v>
      </c>
      <c r="I12" s="58" t="s">
        <v>59</v>
      </c>
      <c r="J12" s="25">
        <f>SUMIF($E$8:$E$54,2.4,$D$8:$D$45)</f>
        <v>0</v>
      </c>
      <c r="K12" s="11"/>
    </row>
    <row r="13" ht="18.75" customHeight="1">
      <c r="A13" s="55">
        <v>6.0</v>
      </c>
      <c r="B13" s="83">
        <v>45825.0</v>
      </c>
      <c r="C13" s="103"/>
      <c r="D13" s="103">
        <v>300000.0</v>
      </c>
      <c r="E13" s="79">
        <v>2.3</v>
      </c>
      <c r="F13" s="105" t="s">
        <v>151</v>
      </c>
      <c r="G13" s="56"/>
      <c r="H13" s="57">
        <v>2.5</v>
      </c>
      <c r="I13" s="58" t="s">
        <v>64</v>
      </c>
      <c r="J13" s="25">
        <f>SUMIF($E$8:$E$54,2.5,$D$8:$D$45)</f>
        <v>15300000</v>
      </c>
      <c r="K13" s="11"/>
    </row>
    <row r="14" ht="18.75" customHeight="1">
      <c r="A14" s="55">
        <v>7.0</v>
      </c>
      <c r="B14" s="83">
        <v>45814.0</v>
      </c>
      <c r="C14" s="103"/>
      <c r="D14" s="103">
        <v>1500000.0</v>
      </c>
      <c r="E14" s="79">
        <v>2.7</v>
      </c>
      <c r="F14" s="105" t="s">
        <v>152</v>
      </c>
      <c r="G14" s="56"/>
      <c r="H14" s="57">
        <v>2.6</v>
      </c>
      <c r="I14" s="58" t="s">
        <v>66</v>
      </c>
      <c r="J14" s="25">
        <f>SUMIF($E$8:$E$54,2.6,$D$8:$D$45)</f>
        <v>15400000</v>
      </c>
      <c r="K14" s="11"/>
    </row>
    <row r="15" ht="18.75" customHeight="1">
      <c r="A15" s="55">
        <v>8.0</v>
      </c>
      <c r="B15" s="83">
        <v>45825.0</v>
      </c>
      <c r="C15" s="103"/>
      <c r="D15" s="103">
        <v>1.5E7</v>
      </c>
      <c r="E15" s="79">
        <v>2.2</v>
      </c>
      <c r="F15" s="105" t="s">
        <v>153</v>
      </c>
      <c r="G15" s="56"/>
      <c r="H15" s="57">
        <v>2.7</v>
      </c>
      <c r="I15" s="58" t="s">
        <v>69</v>
      </c>
      <c r="J15" s="25">
        <f>SUMIF($E$8:$E$54,2.7,$D$8:$D$45)</f>
        <v>1500000</v>
      </c>
      <c r="K15" s="11"/>
    </row>
    <row r="16" ht="18.75" customHeight="1">
      <c r="A16" s="55">
        <v>9.0</v>
      </c>
      <c r="B16" s="83">
        <v>45834.0</v>
      </c>
      <c r="C16" s="103"/>
      <c r="D16" s="103">
        <v>900000.0</v>
      </c>
      <c r="E16" s="79">
        <v>2.5</v>
      </c>
      <c r="F16" s="105" t="s">
        <v>147</v>
      </c>
      <c r="G16" s="56"/>
      <c r="H16" s="57">
        <v>2.8</v>
      </c>
      <c r="I16" s="58" t="s">
        <v>71</v>
      </c>
      <c r="J16" s="25">
        <f>SUMIF($E$8:$E$54,2.8,$D$8:$D$45)</f>
        <v>13600000</v>
      </c>
      <c r="K16" s="11"/>
    </row>
    <row r="17" ht="18.75" customHeight="1">
      <c r="A17" s="55">
        <v>10.0</v>
      </c>
      <c r="B17" s="83">
        <v>45831.0</v>
      </c>
      <c r="C17" s="103"/>
      <c r="D17" s="103">
        <v>9945000.0</v>
      </c>
      <c r="E17" s="79">
        <v>2.3</v>
      </c>
      <c r="F17" s="105" t="s">
        <v>154</v>
      </c>
      <c r="G17" s="56"/>
      <c r="H17" s="57">
        <v>2.9</v>
      </c>
      <c r="I17" s="58" t="s">
        <v>74</v>
      </c>
      <c r="J17" s="25">
        <f>SUMIF($E$8:$E$54,2.9,$D$8:$D$45)</f>
        <v>0</v>
      </c>
      <c r="K17" s="11"/>
    </row>
    <row r="18" ht="18.75" customHeight="1">
      <c r="A18" s="55">
        <v>11.0</v>
      </c>
      <c r="B18" s="83">
        <v>45833.0</v>
      </c>
      <c r="C18" s="103"/>
      <c r="D18" s="103">
        <v>1.0E7</v>
      </c>
      <c r="E18" s="79">
        <v>2.3</v>
      </c>
      <c r="F18" s="105" t="s">
        <v>155</v>
      </c>
      <c r="G18" s="56"/>
      <c r="H18" s="57">
        <v>2.11</v>
      </c>
      <c r="I18" s="58" t="s">
        <v>77</v>
      </c>
      <c r="J18" s="25">
        <f>SUMIF($E$8:$E$54,2.11,$D$8:$D$45)</f>
        <v>0</v>
      </c>
      <c r="K18" s="11"/>
    </row>
    <row r="19" ht="18.75" customHeight="1">
      <c r="A19" s="55">
        <v>12.0</v>
      </c>
      <c r="B19" s="83">
        <v>45833.0</v>
      </c>
      <c r="C19" s="103"/>
      <c r="D19" s="103">
        <v>291500.0</v>
      </c>
      <c r="E19" s="79">
        <v>2.3</v>
      </c>
      <c r="F19" s="105" t="s">
        <v>156</v>
      </c>
      <c r="G19" s="56"/>
      <c r="H19" s="57">
        <v>2.12</v>
      </c>
      <c r="I19" s="58" t="s">
        <v>80</v>
      </c>
      <c r="J19" s="25">
        <f>SUMIF($E$8:$E$54,2.12,$D$8:$D$45)</f>
        <v>0</v>
      </c>
      <c r="K19" s="11"/>
    </row>
    <row r="20" ht="18.75" customHeight="1">
      <c r="A20" s="55">
        <v>13.0</v>
      </c>
      <c r="B20" s="83">
        <v>45833.0</v>
      </c>
      <c r="C20" s="103"/>
      <c r="D20" s="103">
        <v>2000000.0</v>
      </c>
      <c r="E20" s="79">
        <v>2.3</v>
      </c>
      <c r="F20" s="109" t="s">
        <v>157</v>
      </c>
      <c r="G20" s="56"/>
      <c r="H20" s="73">
        <v>3.0</v>
      </c>
      <c r="I20" s="74" t="s">
        <v>82</v>
      </c>
      <c r="J20" s="75">
        <f>J3-J8</f>
        <v>-117431580</v>
      </c>
      <c r="K20" s="11"/>
    </row>
    <row r="21" ht="18.75" customHeight="1">
      <c r="A21" s="55">
        <v>14.0</v>
      </c>
      <c r="B21" s="83">
        <v>45825.0</v>
      </c>
      <c r="C21" s="103">
        <v>3.0E7</v>
      </c>
      <c r="D21" s="103"/>
      <c r="E21" s="79">
        <v>1.1</v>
      </c>
      <c r="F21" s="58" t="s">
        <v>158</v>
      </c>
      <c r="G21" s="11"/>
      <c r="H21" s="11"/>
      <c r="I21" s="11"/>
      <c r="J21" s="11"/>
      <c r="K21" s="11"/>
    </row>
    <row r="22" ht="18.75" customHeight="1">
      <c r="A22" s="55">
        <v>15.0</v>
      </c>
      <c r="B22" s="83"/>
      <c r="C22" s="103"/>
      <c r="D22" s="103"/>
      <c r="E22" s="79"/>
      <c r="F22" s="58"/>
      <c r="G22" s="11"/>
      <c r="H22" s="97" t="s">
        <v>132</v>
      </c>
      <c r="I22" s="13"/>
      <c r="J22" s="14"/>
      <c r="K22" s="11"/>
    </row>
    <row r="23" ht="18.75" customHeight="1">
      <c r="A23" s="55">
        <v>16.0</v>
      </c>
      <c r="B23" s="83"/>
      <c r="C23" s="103"/>
      <c r="D23" s="103"/>
      <c r="E23" s="79"/>
      <c r="F23" s="58"/>
      <c r="G23" s="56"/>
      <c r="H23" s="58"/>
      <c r="I23" s="74" t="s">
        <v>24</v>
      </c>
      <c r="J23" s="57" t="s">
        <v>25</v>
      </c>
      <c r="K23" s="11"/>
    </row>
    <row r="24" ht="18.75" customHeight="1">
      <c r="A24" s="55">
        <v>17.0</v>
      </c>
      <c r="B24" s="83"/>
      <c r="C24" s="103"/>
      <c r="D24" s="103"/>
      <c r="E24" s="79"/>
      <c r="F24" s="58"/>
      <c r="G24" s="56"/>
      <c r="H24" s="74" t="s">
        <v>86</v>
      </c>
      <c r="I24" s="74" t="s">
        <v>87</v>
      </c>
      <c r="J24" s="80">
        <v>0.0</v>
      </c>
      <c r="K24" s="11"/>
    </row>
    <row r="25" ht="18.75" customHeight="1">
      <c r="A25" s="55">
        <v>18.0</v>
      </c>
      <c r="B25" s="83"/>
      <c r="C25" s="103"/>
      <c r="D25" s="103"/>
      <c r="E25" s="79"/>
      <c r="F25" s="58"/>
      <c r="G25" s="56"/>
      <c r="H25" s="74" t="s">
        <v>88</v>
      </c>
      <c r="I25" s="74" t="s">
        <v>89</v>
      </c>
      <c r="J25" s="82">
        <f>SUM(J26:J28)</f>
        <v>30000000</v>
      </c>
      <c r="K25" s="11"/>
    </row>
    <row r="26" ht="18.75" customHeight="1">
      <c r="A26" s="55">
        <v>19.0</v>
      </c>
      <c r="B26" s="83"/>
      <c r="C26" s="103"/>
      <c r="D26" s="103"/>
      <c r="E26" s="79"/>
      <c r="F26" s="58"/>
      <c r="G26" s="56"/>
      <c r="H26" s="58"/>
      <c r="I26" s="58" t="s">
        <v>90</v>
      </c>
      <c r="J26" s="82">
        <f>J3</f>
        <v>30000000</v>
      </c>
      <c r="K26" s="11"/>
    </row>
    <row r="27" ht="18.75" customHeight="1">
      <c r="A27" s="55">
        <v>20.0</v>
      </c>
      <c r="B27" s="83"/>
      <c r="C27" s="103"/>
      <c r="D27" s="103"/>
      <c r="E27" s="79"/>
      <c r="F27" s="58"/>
      <c r="G27" s="56"/>
      <c r="H27" s="58"/>
      <c r="I27" s="58" t="s">
        <v>91</v>
      </c>
      <c r="J27" s="74"/>
      <c r="K27" s="11"/>
    </row>
    <row r="28" ht="18.75" customHeight="1">
      <c r="A28" s="55">
        <v>21.0</v>
      </c>
      <c r="B28" s="83"/>
      <c r="C28" s="103"/>
      <c r="D28" s="103"/>
      <c r="E28" s="79"/>
      <c r="F28" s="58"/>
      <c r="G28" s="56"/>
      <c r="H28" s="58"/>
      <c r="I28" s="58" t="s">
        <v>92</v>
      </c>
      <c r="J28" s="74"/>
      <c r="K28" s="11"/>
    </row>
    <row r="29" ht="18.75" customHeight="1">
      <c r="A29" s="55">
        <v>22.0</v>
      </c>
      <c r="B29" s="83"/>
      <c r="C29" s="103"/>
      <c r="D29" s="103"/>
      <c r="E29" s="79"/>
      <c r="F29" s="58"/>
      <c r="G29" s="56"/>
      <c r="H29" s="74" t="s">
        <v>93</v>
      </c>
      <c r="I29" s="74" t="s">
        <v>94</v>
      </c>
      <c r="J29" s="82">
        <f>SUM(J30:J41)</f>
        <v>147431580</v>
      </c>
      <c r="K29" s="11"/>
    </row>
    <row r="30" ht="18.75" customHeight="1">
      <c r="A30" s="55">
        <v>23.0</v>
      </c>
      <c r="B30" s="83"/>
      <c r="C30" s="103"/>
      <c r="D30" s="103"/>
      <c r="E30" s="79"/>
      <c r="F30" s="58"/>
      <c r="G30" s="56"/>
      <c r="H30" s="57">
        <v>2.1</v>
      </c>
      <c r="I30" s="58" t="s">
        <v>49</v>
      </c>
      <c r="J30" s="82">
        <f>J9</f>
        <v>0</v>
      </c>
      <c r="K30" s="11"/>
    </row>
    <row r="31" ht="18.75" customHeight="1">
      <c r="A31" s="55">
        <v>24.0</v>
      </c>
      <c r="B31" s="83"/>
      <c r="C31" s="103"/>
      <c r="D31" s="103"/>
      <c r="E31" s="79"/>
      <c r="F31" s="58"/>
      <c r="G31" s="56"/>
      <c r="H31" s="28">
        <v>1.3</v>
      </c>
      <c r="I31" s="58" t="s">
        <v>96</v>
      </c>
      <c r="J31" s="80"/>
      <c r="K31" s="11"/>
    </row>
    <row r="32" ht="18.75" customHeight="1">
      <c r="A32" s="55">
        <v>25.0</v>
      </c>
      <c r="B32" s="83"/>
      <c r="C32" s="103"/>
      <c r="D32" s="103"/>
      <c r="E32" s="79"/>
      <c r="F32" s="58"/>
      <c r="G32" s="56"/>
      <c r="H32" s="57">
        <v>2.2</v>
      </c>
      <c r="I32" s="58" t="s">
        <v>53</v>
      </c>
      <c r="J32" s="82">
        <f t="shared" ref="J32:J41" si="2">J10</f>
        <v>79095080</v>
      </c>
      <c r="K32" s="11"/>
    </row>
    <row r="33" ht="18.75" customHeight="1">
      <c r="A33" s="55">
        <v>26.0</v>
      </c>
      <c r="B33" s="83"/>
      <c r="C33" s="103"/>
      <c r="D33" s="103"/>
      <c r="E33" s="79"/>
      <c r="F33" s="58"/>
      <c r="G33" s="56"/>
      <c r="H33" s="57">
        <v>2.3</v>
      </c>
      <c r="I33" s="58" t="s">
        <v>56</v>
      </c>
      <c r="J33" s="82">
        <f t="shared" si="2"/>
        <v>22536500</v>
      </c>
      <c r="K33" s="11"/>
    </row>
    <row r="34" ht="18.75" customHeight="1">
      <c r="A34" s="55">
        <v>27.0</v>
      </c>
      <c r="B34" s="83"/>
      <c r="C34" s="103"/>
      <c r="D34" s="103"/>
      <c r="E34" s="79"/>
      <c r="F34" s="58"/>
      <c r="G34" s="56"/>
      <c r="H34" s="57">
        <v>2.4</v>
      </c>
      <c r="I34" s="58" t="s">
        <v>59</v>
      </c>
      <c r="J34" s="82">
        <f t="shared" si="2"/>
        <v>0</v>
      </c>
      <c r="K34" s="11"/>
    </row>
    <row r="35" ht="18.75" customHeight="1">
      <c r="A35" s="55">
        <v>28.0</v>
      </c>
      <c r="B35" s="83"/>
      <c r="C35" s="103"/>
      <c r="D35" s="103"/>
      <c r="E35" s="79"/>
      <c r="F35" s="58"/>
      <c r="G35" s="56"/>
      <c r="H35" s="57">
        <v>2.5</v>
      </c>
      <c r="I35" s="58" t="s">
        <v>64</v>
      </c>
      <c r="J35" s="82">
        <f t="shared" si="2"/>
        <v>15300000</v>
      </c>
      <c r="K35" s="11"/>
    </row>
    <row r="36" ht="18.75" customHeight="1">
      <c r="A36" s="55">
        <v>29.0</v>
      </c>
      <c r="B36" s="83"/>
      <c r="C36" s="103"/>
      <c r="D36" s="103"/>
      <c r="E36" s="79"/>
      <c r="F36" s="58"/>
      <c r="G36" s="56"/>
      <c r="H36" s="57">
        <v>2.6</v>
      </c>
      <c r="I36" s="58" t="s">
        <v>66</v>
      </c>
      <c r="J36" s="82">
        <f t="shared" si="2"/>
        <v>15400000</v>
      </c>
      <c r="K36" s="11"/>
    </row>
    <row r="37" ht="18.75" customHeight="1">
      <c r="A37" s="55">
        <v>30.0</v>
      </c>
      <c r="B37" s="83"/>
      <c r="C37" s="103"/>
      <c r="D37" s="103"/>
      <c r="E37" s="79"/>
      <c r="F37" s="58"/>
      <c r="G37" s="56"/>
      <c r="H37" s="57">
        <v>2.7</v>
      </c>
      <c r="I37" s="58" t="s">
        <v>69</v>
      </c>
      <c r="J37" s="82">
        <f t="shared" si="2"/>
        <v>1500000</v>
      </c>
      <c r="K37" s="11"/>
    </row>
    <row r="38" ht="18.75" customHeight="1">
      <c r="A38" s="55">
        <v>31.0</v>
      </c>
      <c r="B38" s="83"/>
      <c r="C38" s="103"/>
      <c r="D38" s="103"/>
      <c r="E38" s="79"/>
      <c r="F38" s="58"/>
      <c r="G38" s="56"/>
      <c r="H38" s="57">
        <v>2.8</v>
      </c>
      <c r="I38" s="58" t="s">
        <v>71</v>
      </c>
      <c r="J38" s="82">
        <f t="shared" si="2"/>
        <v>13600000</v>
      </c>
      <c r="K38" s="11"/>
    </row>
    <row r="39" ht="18.75" customHeight="1">
      <c r="A39" s="55">
        <v>32.0</v>
      </c>
      <c r="B39" s="83"/>
      <c r="C39" s="103"/>
      <c r="D39" s="103"/>
      <c r="E39" s="79"/>
      <c r="F39" s="58"/>
      <c r="G39" s="56"/>
      <c r="H39" s="57">
        <v>2.9</v>
      </c>
      <c r="I39" s="58" t="s">
        <v>74</v>
      </c>
      <c r="J39" s="82">
        <f t="shared" si="2"/>
        <v>0</v>
      </c>
      <c r="K39" s="11"/>
    </row>
    <row r="40" ht="18.75" customHeight="1">
      <c r="A40" s="55">
        <v>33.0</v>
      </c>
      <c r="B40" s="83"/>
      <c r="C40" s="103"/>
      <c r="D40" s="103"/>
      <c r="E40" s="79"/>
      <c r="F40" s="58"/>
      <c r="G40" s="56"/>
      <c r="H40" s="57">
        <v>2.11</v>
      </c>
      <c r="I40" s="58" t="s">
        <v>77</v>
      </c>
      <c r="J40" s="82">
        <f t="shared" si="2"/>
        <v>0</v>
      </c>
      <c r="K40" s="11"/>
    </row>
    <row r="41" ht="18.75" customHeight="1">
      <c r="A41" s="55">
        <v>34.0</v>
      </c>
      <c r="B41" s="83"/>
      <c r="C41" s="103"/>
      <c r="D41" s="103"/>
      <c r="E41" s="79"/>
      <c r="F41" s="58"/>
      <c r="G41" s="56"/>
      <c r="H41" s="57">
        <v>2.12</v>
      </c>
      <c r="I41" s="58" t="s">
        <v>97</v>
      </c>
      <c r="J41" s="82">
        <f t="shared" si="2"/>
        <v>0</v>
      </c>
      <c r="K41" s="11"/>
    </row>
    <row r="42" ht="18.75" customHeight="1">
      <c r="A42" s="55">
        <v>35.0</v>
      </c>
      <c r="B42" s="83"/>
      <c r="C42" s="103"/>
      <c r="D42" s="103"/>
      <c r="E42" s="79"/>
      <c r="F42" s="58"/>
      <c r="G42" s="56"/>
      <c r="H42" s="74" t="s">
        <v>98</v>
      </c>
      <c r="I42" s="74" t="s">
        <v>5</v>
      </c>
      <c r="J42" s="25">
        <f>J24+J25-J29</f>
        <v>-117431580</v>
      </c>
      <c r="K42" s="11"/>
    </row>
    <row r="43" ht="18.75" customHeight="1">
      <c r="A43" s="55">
        <v>36.0</v>
      </c>
      <c r="B43" s="83"/>
      <c r="C43" s="103"/>
      <c r="D43" s="103"/>
      <c r="E43" s="79"/>
      <c r="F43" s="58"/>
      <c r="G43" s="11"/>
      <c r="H43" s="11"/>
      <c r="I43" s="11"/>
      <c r="J43" s="11"/>
      <c r="K43" s="11"/>
    </row>
    <row r="44" ht="18.75" customHeight="1">
      <c r="A44" s="55">
        <v>37.0</v>
      </c>
      <c r="B44" s="83"/>
      <c r="C44" s="103"/>
      <c r="D44" s="103"/>
      <c r="E44" s="79"/>
      <c r="F44" s="58"/>
      <c r="G44" s="11"/>
      <c r="H44" s="86" t="s">
        <v>99</v>
      </c>
      <c r="I44" s="87"/>
      <c r="J44" s="87"/>
      <c r="K44" s="21"/>
    </row>
    <row r="45" ht="18.75" customHeight="1">
      <c r="A45" s="55">
        <v>38.0</v>
      </c>
      <c r="B45" s="83"/>
      <c r="C45" s="103"/>
      <c r="D45" s="103"/>
      <c r="E45" s="79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>
        <v>39.0</v>
      </c>
      <c r="B46" s="83"/>
      <c r="C46" s="103"/>
      <c r="D46" s="103"/>
      <c r="E46" s="79"/>
      <c r="F46" s="58"/>
      <c r="G46" s="56"/>
      <c r="H46" s="74" t="s">
        <v>86</v>
      </c>
      <c r="I46" s="74" t="s">
        <v>87</v>
      </c>
      <c r="J46" s="82">
        <f>J42</f>
        <v>-117431580</v>
      </c>
      <c r="K46" s="89"/>
    </row>
    <row r="47" ht="18.75" customHeight="1">
      <c r="A47" s="55">
        <v>40.0</v>
      </c>
      <c r="B47" s="83"/>
      <c r="C47" s="103"/>
      <c r="D47" s="103"/>
      <c r="E47" s="79"/>
      <c r="F47" s="58"/>
      <c r="G47" s="56"/>
      <c r="H47" s="74" t="s">
        <v>88</v>
      </c>
      <c r="I47" s="74" t="s">
        <v>89</v>
      </c>
      <c r="J47" s="82">
        <f>SUM(J48:J54)</f>
        <v>247357258</v>
      </c>
      <c r="K47" s="89"/>
    </row>
    <row r="48" ht="18.75" customHeight="1">
      <c r="A48" s="55">
        <v>41.0</v>
      </c>
      <c r="B48" s="83"/>
      <c r="C48" s="58"/>
      <c r="D48" s="103"/>
      <c r="E48" s="79"/>
      <c r="F48" s="58"/>
      <c r="G48" s="56"/>
      <c r="H48" s="58"/>
      <c r="I48" s="58" t="s">
        <v>133</v>
      </c>
      <c r="J48" s="90">
        <v>8.0957397E7</v>
      </c>
      <c r="K48" s="89">
        <v>45869.0</v>
      </c>
    </row>
    <row r="49" ht="18.75" customHeight="1">
      <c r="A49" s="55">
        <v>42.0</v>
      </c>
      <c r="B49" s="83"/>
      <c r="C49" s="58"/>
      <c r="D49" s="103"/>
      <c r="E49" s="79"/>
      <c r="F49" s="58"/>
      <c r="G49" s="56"/>
      <c r="H49" s="58"/>
      <c r="I49" s="58" t="s">
        <v>134</v>
      </c>
      <c r="J49" s="90">
        <v>7.5442464E7</v>
      </c>
      <c r="K49" s="89">
        <v>45869.0</v>
      </c>
    </row>
    <row r="50" ht="18.75" customHeight="1">
      <c r="A50" s="55">
        <v>43.0</v>
      </c>
      <c r="B50" s="83"/>
      <c r="C50" s="58"/>
      <c r="D50" s="103"/>
      <c r="E50" s="79"/>
      <c r="F50" s="58"/>
      <c r="G50" s="56"/>
      <c r="H50" s="58"/>
      <c r="I50" s="58" t="s">
        <v>135</v>
      </c>
      <c r="J50" s="90">
        <v>7.5957397E7</v>
      </c>
      <c r="K50" s="89">
        <v>45869.0</v>
      </c>
    </row>
    <row r="51" ht="18.75" customHeight="1">
      <c r="A51" s="55">
        <v>44.0</v>
      </c>
      <c r="B51" s="83"/>
      <c r="C51" s="58"/>
      <c r="D51" s="103"/>
      <c r="E51" s="79"/>
      <c r="F51" s="58"/>
      <c r="G51" s="56"/>
      <c r="H51" s="58"/>
      <c r="I51" s="58" t="s">
        <v>136</v>
      </c>
      <c r="J51" s="90">
        <v>1.5E7</v>
      </c>
      <c r="K51" s="89">
        <v>45869.0</v>
      </c>
    </row>
    <row r="52" ht="18.75" customHeight="1">
      <c r="A52" s="55">
        <v>45.0</v>
      </c>
      <c r="B52" s="83"/>
      <c r="C52" s="58"/>
      <c r="D52" s="103"/>
      <c r="E52" s="79"/>
      <c r="F52" s="58"/>
      <c r="G52" s="56"/>
      <c r="H52" s="58"/>
      <c r="I52" s="58"/>
      <c r="J52" s="74"/>
      <c r="K52" s="89"/>
    </row>
    <row r="53" ht="18.75" customHeight="1">
      <c r="A53" s="55">
        <v>46.0</v>
      </c>
      <c r="B53" s="83"/>
      <c r="C53" s="58"/>
      <c r="D53" s="103"/>
      <c r="E53" s="79"/>
      <c r="F53" s="58"/>
      <c r="G53" s="56"/>
      <c r="H53" s="58"/>
      <c r="I53" s="58"/>
      <c r="J53" s="74"/>
      <c r="K53" s="89"/>
    </row>
    <row r="54" ht="18.75" customHeight="1">
      <c r="A54" s="55">
        <v>47.0</v>
      </c>
      <c r="B54" s="83"/>
      <c r="C54" s="58"/>
      <c r="D54" s="103"/>
      <c r="E54" s="79"/>
      <c r="F54" s="58"/>
      <c r="G54" s="56"/>
      <c r="H54" s="58"/>
      <c r="I54" s="58"/>
      <c r="J54" s="74"/>
      <c r="K54" s="89"/>
    </row>
    <row r="55" ht="18.75" customHeight="1">
      <c r="A55" s="55">
        <v>48.0</v>
      </c>
      <c r="B55" s="83"/>
      <c r="C55" s="58"/>
      <c r="D55" s="103"/>
      <c r="E55" s="79"/>
      <c r="F55" s="58"/>
      <c r="G55" s="56"/>
      <c r="H55" s="74" t="s">
        <v>93</v>
      </c>
      <c r="I55" s="74" t="s">
        <v>94</v>
      </c>
      <c r="J55" s="90">
        <f>SUM(J56:J65)</f>
        <v>232522117</v>
      </c>
      <c r="K55" s="89"/>
    </row>
    <row r="56" ht="18.75" customHeight="1">
      <c r="A56" s="55">
        <v>49.0</v>
      </c>
      <c r="B56" s="83"/>
      <c r="C56" s="106"/>
      <c r="D56" s="103"/>
      <c r="E56" s="79"/>
      <c r="F56" s="58"/>
      <c r="G56" s="56"/>
      <c r="H56" s="58"/>
      <c r="I56" s="58" t="s">
        <v>137</v>
      </c>
      <c r="J56" s="90">
        <v>8.8398E7</v>
      </c>
      <c r="K56" s="83"/>
    </row>
    <row r="57" ht="18.75" customHeight="1">
      <c r="A57" s="55">
        <v>50.0</v>
      </c>
      <c r="B57" s="83"/>
      <c r="C57" s="58"/>
      <c r="D57" s="103"/>
      <c r="E57" s="79"/>
      <c r="F57" s="58"/>
      <c r="G57" s="56"/>
      <c r="H57" s="58"/>
      <c r="I57" s="58" t="s">
        <v>136</v>
      </c>
      <c r="J57" s="90">
        <v>1.35E7</v>
      </c>
      <c r="K57" s="83"/>
    </row>
    <row r="58" ht="18.75" customHeight="1">
      <c r="A58" s="55">
        <v>51.0</v>
      </c>
      <c r="B58" s="83"/>
      <c r="C58" s="58"/>
      <c r="D58" s="103"/>
      <c r="E58" s="79"/>
      <c r="F58" s="58"/>
      <c r="G58" s="56"/>
      <c r="H58" s="58"/>
      <c r="I58" s="58" t="s">
        <v>138</v>
      </c>
      <c r="J58" s="90">
        <v>6.2276077E7</v>
      </c>
      <c r="K58" s="83"/>
    </row>
    <row r="59" ht="18.75" customHeight="1">
      <c r="A59" s="55">
        <v>52.0</v>
      </c>
      <c r="B59" s="83"/>
      <c r="C59" s="106"/>
      <c r="D59" s="103"/>
      <c r="E59" s="79"/>
      <c r="F59" s="58"/>
      <c r="G59" s="56"/>
      <c r="H59" s="58"/>
      <c r="I59" s="58" t="s">
        <v>139</v>
      </c>
      <c r="J59" s="90">
        <v>5.094804E7</v>
      </c>
      <c r="K59" s="83"/>
    </row>
    <row r="60" ht="18.75" customHeight="1">
      <c r="A60" s="55">
        <v>53.0</v>
      </c>
      <c r="B60" s="83"/>
      <c r="C60" s="58"/>
      <c r="D60" s="103"/>
      <c r="E60" s="79"/>
      <c r="F60" s="58"/>
      <c r="G60" s="56"/>
      <c r="H60" s="58"/>
      <c r="I60" s="58" t="s">
        <v>140</v>
      </c>
      <c r="J60" s="90">
        <v>1.54E7</v>
      </c>
      <c r="K60" s="89"/>
    </row>
    <row r="61" ht="18.75" customHeight="1">
      <c r="A61" s="55">
        <v>54.0</v>
      </c>
      <c r="B61" s="83"/>
      <c r="C61" s="58"/>
      <c r="D61" s="103"/>
      <c r="E61" s="79"/>
      <c r="F61" s="58"/>
      <c r="G61" s="56"/>
      <c r="H61" s="58"/>
      <c r="I61" s="58" t="s">
        <v>141</v>
      </c>
      <c r="J61" s="90">
        <v>2000000.0</v>
      </c>
      <c r="K61" s="89"/>
    </row>
    <row r="62" ht="18.75" customHeight="1">
      <c r="A62" s="55">
        <v>55.0</v>
      </c>
      <c r="B62" s="83"/>
      <c r="C62" s="58"/>
      <c r="D62" s="103"/>
      <c r="E62" s="79"/>
      <c r="F62" s="58"/>
      <c r="G62" s="56"/>
      <c r="H62" s="58"/>
      <c r="I62" s="58"/>
      <c r="J62" s="90"/>
      <c r="K62" s="89"/>
    </row>
    <row r="63" ht="18.75" customHeight="1">
      <c r="A63" s="55">
        <v>56.0</v>
      </c>
      <c r="B63" s="83"/>
      <c r="C63" s="58"/>
      <c r="D63" s="103"/>
      <c r="E63" s="79"/>
      <c r="F63" s="58"/>
      <c r="G63" s="56"/>
      <c r="H63" s="58"/>
      <c r="I63" s="58"/>
      <c r="J63" s="90"/>
      <c r="K63" s="89"/>
    </row>
    <row r="64" ht="18.75" customHeight="1">
      <c r="A64" s="55">
        <v>57.0</v>
      </c>
      <c r="B64" s="83"/>
      <c r="C64" s="58"/>
      <c r="D64" s="103"/>
      <c r="E64" s="79"/>
      <c r="F64" s="58"/>
      <c r="G64" s="56"/>
      <c r="H64" s="58"/>
      <c r="I64" s="58"/>
      <c r="J64" s="90"/>
      <c r="K64" s="89"/>
    </row>
    <row r="65" ht="18.75" customHeight="1">
      <c r="A65" s="55">
        <v>58.0</v>
      </c>
      <c r="B65" s="83"/>
      <c r="C65" s="58"/>
      <c r="D65" s="103"/>
      <c r="E65" s="79"/>
      <c r="F65" s="58"/>
      <c r="G65" s="56"/>
      <c r="H65" s="58"/>
      <c r="I65" s="58"/>
      <c r="J65" s="90"/>
      <c r="K65" s="89"/>
    </row>
    <row r="66" ht="18.75" customHeight="1">
      <c r="A66" s="55">
        <v>59.0</v>
      </c>
      <c r="B66" s="83"/>
      <c r="C66" s="106"/>
      <c r="D66" s="103"/>
      <c r="E66" s="79"/>
      <c r="F66" s="58"/>
      <c r="G66" s="56"/>
      <c r="H66" s="74" t="s">
        <v>98</v>
      </c>
      <c r="I66" s="74" t="s">
        <v>5</v>
      </c>
      <c r="J66" s="25">
        <f>J46+J47-J55</f>
        <v>-102596439</v>
      </c>
      <c r="K66" s="89"/>
    </row>
    <row r="67" ht="18.75" customHeight="1">
      <c r="A67" s="91"/>
      <c r="B67" s="92"/>
      <c r="C67" s="91"/>
      <c r="D67" s="103"/>
      <c r="E67" s="79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103"/>
      <c r="E68" s="79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103"/>
      <c r="E69" s="79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103"/>
      <c r="E70" s="79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103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103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103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103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103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103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103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103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103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103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103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103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103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103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103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103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103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103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103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103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103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103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103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103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103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>
      <c r="A154" s="91"/>
      <c r="B154" s="92"/>
      <c r="C154" s="91"/>
      <c r="D154" s="91"/>
      <c r="E154" s="91"/>
      <c r="F154" s="91"/>
      <c r="G154" s="91"/>
      <c r="H154" s="91"/>
      <c r="I154" s="91"/>
      <c r="J154" s="91"/>
      <c r="K154" s="91"/>
    </row>
    <row r="155" ht="18.75" customHeight="1">
      <c r="A155" s="91"/>
      <c r="B155" s="92"/>
      <c r="C155" s="91"/>
      <c r="D155" s="91"/>
      <c r="E155" s="91"/>
      <c r="F155" s="91"/>
      <c r="G155" s="91"/>
      <c r="H155" s="91"/>
      <c r="I155" s="91"/>
      <c r="J155" s="91"/>
      <c r="K155" s="91"/>
    </row>
    <row r="156" ht="18.75" customHeight="1">
      <c r="A156" s="91"/>
      <c r="B156" s="92"/>
      <c r="C156" s="91"/>
      <c r="D156" s="91"/>
      <c r="E156" s="91"/>
      <c r="F156" s="91"/>
      <c r="G156" s="91"/>
      <c r="H156" s="91"/>
      <c r="I156" s="91"/>
      <c r="J156" s="91"/>
      <c r="K156" s="91"/>
    </row>
    <row r="157" ht="18.75" customHeight="1">
      <c r="A157" s="91"/>
      <c r="B157" s="92"/>
      <c r="C157" s="91"/>
      <c r="D157" s="91"/>
      <c r="E157" s="91"/>
      <c r="F157" s="91"/>
      <c r="G157" s="91"/>
      <c r="H157" s="91"/>
      <c r="I157" s="91"/>
      <c r="J157" s="91"/>
      <c r="K157" s="91"/>
    </row>
    <row r="158" ht="18.75" customHeight="1">
      <c r="A158" s="91"/>
      <c r="B158" s="92"/>
      <c r="C158" s="91"/>
      <c r="D158" s="91"/>
      <c r="E158" s="91"/>
      <c r="F158" s="91"/>
      <c r="G158" s="91"/>
      <c r="H158" s="91"/>
      <c r="I158" s="91"/>
      <c r="J158" s="91"/>
      <c r="K158" s="91"/>
    </row>
    <row r="159" ht="18.75" customHeight="1">
      <c r="A159" s="91"/>
      <c r="B159" s="92"/>
      <c r="C159" s="91"/>
      <c r="D159" s="91"/>
      <c r="E159" s="91"/>
      <c r="F159" s="91"/>
      <c r="G159" s="91"/>
      <c r="H159" s="91"/>
      <c r="I159" s="91"/>
      <c r="J159" s="91"/>
      <c r="K159" s="91"/>
    </row>
    <row r="160" ht="18.75" customHeight="1">
      <c r="A160" s="91"/>
      <c r="B160" s="92"/>
      <c r="C160" s="91"/>
      <c r="D160" s="91"/>
      <c r="E160" s="91"/>
      <c r="F160" s="91"/>
      <c r="G160" s="91"/>
      <c r="H160" s="91"/>
      <c r="I160" s="91"/>
      <c r="J160" s="91"/>
      <c r="K160" s="91"/>
    </row>
    <row r="161" ht="18.75" customHeight="1">
      <c r="A161" s="91"/>
      <c r="B161" s="92"/>
      <c r="C161" s="91"/>
      <c r="D161" s="91"/>
      <c r="E161" s="91"/>
      <c r="F161" s="91"/>
      <c r="G161" s="91"/>
      <c r="H161" s="91"/>
      <c r="I161" s="91"/>
      <c r="J161" s="91"/>
      <c r="K161" s="91"/>
    </row>
    <row r="162" ht="18.75" customHeight="1">
      <c r="A162" s="91"/>
      <c r="B162" s="92"/>
      <c r="C162" s="91"/>
      <c r="D162" s="91"/>
      <c r="E162" s="91"/>
      <c r="F162" s="91"/>
      <c r="G162" s="91"/>
      <c r="H162" s="91"/>
      <c r="I162" s="91"/>
      <c r="J162" s="91"/>
      <c r="K162" s="91"/>
    </row>
    <row r="163" ht="18.75" customHeight="1">
      <c r="A163" s="91"/>
      <c r="B163" s="92"/>
      <c r="C163" s="91"/>
      <c r="D163" s="91"/>
      <c r="E163" s="91"/>
      <c r="F163" s="91"/>
      <c r="G163" s="91"/>
      <c r="H163" s="91"/>
      <c r="I163" s="91"/>
      <c r="J163" s="91"/>
      <c r="K163" s="91"/>
    </row>
    <row r="164" ht="18.75" customHeight="1">
      <c r="A164" s="91"/>
      <c r="B164" s="92"/>
      <c r="C164" s="91"/>
      <c r="D164" s="91"/>
      <c r="E164" s="91"/>
      <c r="F164" s="91"/>
      <c r="G164" s="91"/>
      <c r="H164" s="91"/>
      <c r="I164" s="91"/>
      <c r="J164" s="91"/>
      <c r="K164" s="91"/>
    </row>
    <row r="165" ht="18.75" customHeight="1">
      <c r="A165" s="91"/>
      <c r="B165" s="92"/>
      <c r="C165" s="91"/>
      <c r="D165" s="91"/>
      <c r="E165" s="91"/>
      <c r="F165" s="91"/>
      <c r="G165" s="91"/>
      <c r="H165" s="91"/>
      <c r="I165" s="91"/>
      <c r="J165" s="91"/>
      <c r="K165" s="91"/>
    </row>
    <row r="166" ht="18.75" customHeight="1">
      <c r="A166" s="91"/>
      <c r="B166" s="92"/>
      <c r="C166" s="91"/>
      <c r="D166" s="91"/>
      <c r="E166" s="91"/>
      <c r="F166" s="91"/>
      <c r="G166" s="91"/>
      <c r="H166" s="91"/>
      <c r="I166" s="91"/>
      <c r="J166" s="91"/>
      <c r="K166" s="91"/>
    </row>
    <row r="167" ht="18.75" customHeight="1">
      <c r="A167" s="91"/>
      <c r="B167" s="92"/>
      <c r="C167" s="91"/>
      <c r="D167" s="91"/>
      <c r="E167" s="91"/>
      <c r="F167" s="91"/>
      <c r="G167" s="91"/>
      <c r="H167" s="91"/>
      <c r="I167" s="91"/>
      <c r="J167" s="91"/>
      <c r="K167" s="91"/>
    </row>
    <row r="168" ht="18.75" customHeight="1">
      <c r="A168" s="91"/>
      <c r="B168" s="92"/>
      <c r="C168" s="91"/>
      <c r="D168" s="91"/>
      <c r="E168" s="91"/>
      <c r="F168" s="91"/>
      <c r="G168" s="91"/>
      <c r="H168" s="91"/>
      <c r="I168" s="91"/>
      <c r="J168" s="91"/>
      <c r="K168" s="91"/>
    </row>
    <row r="169" ht="18.75" customHeight="1">
      <c r="A169" s="91"/>
      <c r="B169" s="92"/>
      <c r="C169" s="91"/>
      <c r="D169" s="91"/>
      <c r="E169" s="91"/>
      <c r="F169" s="91"/>
      <c r="G169" s="91"/>
      <c r="H169" s="91"/>
      <c r="I169" s="91"/>
      <c r="J169" s="91"/>
      <c r="K169" s="91"/>
    </row>
    <row r="170" ht="18.75" customHeight="1">
      <c r="A170" s="91"/>
      <c r="B170" s="92"/>
      <c r="C170" s="91"/>
      <c r="D170" s="91"/>
      <c r="E170" s="91"/>
      <c r="F170" s="91"/>
      <c r="G170" s="91"/>
      <c r="H170" s="91"/>
      <c r="I170" s="91"/>
      <c r="J170" s="91"/>
      <c r="K170" s="91"/>
    </row>
    <row r="171" ht="18.75" customHeight="1">
      <c r="A171" s="91"/>
      <c r="B171" s="92"/>
      <c r="C171" s="91"/>
      <c r="D171" s="91"/>
      <c r="E171" s="91"/>
      <c r="F171" s="91"/>
      <c r="G171" s="91"/>
      <c r="H171" s="91"/>
      <c r="I171" s="91"/>
      <c r="J171" s="91"/>
      <c r="K171" s="91"/>
    </row>
    <row r="172" ht="18.75" customHeight="1">
      <c r="A172" s="91"/>
      <c r="B172" s="92"/>
      <c r="C172" s="91"/>
      <c r="D172" s="91"/>
      <c r="E172" s="91"/>
      <c r="F172" s="91"/>
      <c r="G172" s="91"/>
      <c r="H172" s="91"/>
      <c r="I172" s="91"/>
      <c r="J172" s="91"/>
      <c r="K172" s="91"/>
    </row>
    <row r="173" ht="18.75" customHeight="1">
      <c r="A173" s="91"/>
      <c r="B173" s="92"/>
      <c r="C173" s="91"/>
      <c r="D173" s="91"/>
      <c r="E173" s="91"/>
      <c r="F173" s="91"/>
      <c r="G173" s="91"/>
      <c r="H173" s="91"/>
      <c r="I173" s="91"/>
      <c r="J173" s="91"/>
      <c r="K173" s="91"/>
    </row>
    <row r="174" ht="18.75" customHeight="1">
      <c r="A174" s="91"/>
      <c r="B174" s="92"/>
      <c r="C174" s="91"/>
      <c r="D174" s="91"/>
      <c r="E174" s="91"/>
      <c r="F174" s="91"/>
      <c r="G174" s="91"/>
      <c r="H174" s="91"/>
      <c r="I174" s="91"/>
      <c r="J174" s="91"/>
      <c r="K174" s="91"/>
    </row>
    <row r="175" ht="18.75" customHeight="1">
      <c r="A175" s="91"/>
      <c r="B175" s="92"/>
      <c r="C175" s="91"/>
      <c r="D175" s="91"/>
      <c r="E175" s="91"/>
      <c r="F175" s="91"/>
      <c r="G175" s="91"/>
      <c r="H175" s="91"/>
      <c r="I175" s="91"/>
      <c r="J175" s="91"/>
      <c r="K175" s="91"/>
    </row>
    <row r="176" ht="18.75" customHeight="1">
      <c r="A176" s="91"/>
      <c r="B176" s="92"/>
      <c r="C176" s="91"/>
      <c r="D176" s="91"/>
      <c r="E176" s="91"/>
      <c r="F176" s="91"/>
      <c r="G176" s="91"/>
      <c r="H176" s="91"/>
      <c r="I176" s="91"/>
      <c r="J176" s="91"/>
      <c r="K176" s="91"/>
    </row>
    <row r="177" ht="18.75" customHeight="1">
      <c r="A177" s="91"/>
      <c r="B177" s="92"/>
      <c r="C177" s="91"/>
      <c r="D177" s="91"/>
      <c r="E177" s="91"/>
      <c r="F177" s="91"/>
      <c r="G177" s="91"/>
      <c r="H177" s="91"/>
      <c r="I177" s="91"/>
      <c r="J177" s="91"/>
      <c r="K177" s="91"/>
    </row>
    <row r="178" ht="18.75" customHeight="1">
      <c r="A178" s="91"/>
      <c r="B178" s="92"/>
      <c r="C178" s="91"/>
      <c r="D178" s="91"/>
      <c r="E178" s="91"/>
      <c r="F178" s="91"/>
      <c r="G178" s="91"/>
      <c r="H178" s="91"/>
      <c r="I178" s="91"/>
      <c r="J178" s="91"/>
      <c r="K178" s="91"/>
    </row>
    <row r="179" ht="18.75" customHeight="1">
      <c r="A179" s="91"/>
      <c r="B179" s="92"/>
      <c r="C179" s="91"/>
      <c r="D179" s="91"/>
      <c r="E179" s="91"/>
      <c r="F179" s="91"/>
      <c r="G179" s="91"/>
      <c r="H179" s="91"/>
      <c r="I179" s="91"/>
      <c r="J179" s="91"/>
      <c r="K179" s="91"/>
    </row>
    <row r="180" ht="18.75" customHeight="1">
      <c r="A180" s="91"/>
      <c r="B180" s="92"/>
      <c r="C180" s="91"/>
      <c r="D180" s="91"/>
      <c r="E180" s="91"/>
      <c r="F180" s="91"/>
      <c r="G180" s="91"/>
      <c r="H180" s="91"/>
      <c r="I180" s="91"/>
      <c r="J180" s="91"/>
      <c r="K180" s="91"/>
    </row>
    <row r="181" ht="18.75" customHeight="1">
      <c r="A181" s="91"/>
      <c r="B181" s="92"/>
      <c r="C181" s="91"/>
      <c r="D181" s="91"/>
      <c r="E181" s="91"/>
      <c r="F181" s="91"/>
      <c r="G181" s="91"/>
      <c r="H181" s="91"/>
      <c r="I181" s="91"/>
      <c r="J181" s="91"/>
      <c r="K181" s="91"/>
    </row>
    <row r="182" ht="18.75" customHeight="1">
      <c r="A182" s="91"/>
      <c r="B182" s="92"/>
      <c r="C182" s="91"/>
      <c r="D182" s="91"/>
      <c r="E182" s="91"/>
      <c r="F182" s="91"/>
      <c r="G182" s="91"/>
      <c r="H182" s="91"/>
      <c r="I182" s="91"/>
      <c r="J182" s="91"/>
      <c r="K182" s="91"/>
    </row>
    <row r="183" ht="18.75" customHeight="1">
      <c r="A183" s="91"/>
      <c r="B183" s="92"/>
      <c r="C183" s="91"/>
      <c r="D183" s="91"/>
      <c r="E183" s="91"/>
      <c r="F183" s="91"/>
      <c r="G183" s="91"/>
      <c r="H183" s="91"/>
      <c r="I183" s="91"/>
      <c r="J183" s="91"/>
      <c r="K183" s="91"/>
    </row>
    <row r="184" ht="18.75" customHeight="1">
      <c r="A184" s="91"/>
      <c r="B184" s="92"/>
      <c r="C184" s="91"/>
      <c r="D184" s="91"/>
      <c r="E184" s="91"/>
      <c r="F184" s="91"/>
      <c r="G184" s="91"/>
      <c r="H184" s="91"/>
      <c r="I184" s="91"/>
      <c r="J184" s="91"/>
      <c r="K184" s="91"/>
    </row>
    <row r="185" ht="18.75" customHeight="1">
      <c r="A185" s="91"/>
      <c r="B185" s="92"/>
      <c r="C185" s="91"/>
      <c r="D185" s="91"/>
      <c r="E185" s="91"/>
      <c r="F185" s="91"/>
      <c r="G185" s="91"/>
      <c r="H185" s="91"/>
      <c r="I185" s="91"/>
      <c r="J185" s="91"/>
      <c r="K185" s="91"/>
    </row>
    <row r="186" ht="18.75" customHeight="1">
      <c r="A186" s="91"/>
      <c r="B186" s="92"/>
      <c r="C186" s="91"/>
      <c r="D186" s="91"/>
      <c r="E186" s="91"/>
      <c r="F186" s="91"/>
      <c r="G186" s="91"/>
      <c r="H186" s="91"/>
      <c r="I186" s="91"/>
      <c r="J186" s="91"/>
      <c r="K186" s="91"/>
    </row>
    <row r="187" ht="18.75" customHeight="1">
      <c r="A187" s="91"/>
      <c r="B187" s="92"/>
      <c r="C187" s="91"/>
      <c r="D187" s="91"/>
      <c r="E187" s="91"/>
      <c r="F187" s="91"/>
      <c r="G187" s="91"/>
      <c r="H187" s="91"/>
      <c r="I187" s="91"/>
      <c r="J187" s="91"/>
      <c r="K187" s="91"/>
    </row>
    <row r="188" ht="18.75" customHeight="1">
      <c r="A188" s="91"/>
      <c r="B188" s="92"/>
      <c r="C188" s="91"/>
      <c r="D188" s="91"/>
      <c r="E188" s="91"/>
      <c r="F188" s="91"/>
      <c r="G188" s="91"/>
      <c r="H188" s="91"/>
      <c r="I188" s="91"/>
      <c r="J188" s="91"/>
      <c r="K188" s="91"/>
    </row>
    <row r="189" ht="18.75" customHeight="1">
      <c r="A189" s="91"/>
      <c r="B189" s="92"/>
      <c r="C189" s="91"/>
      <c r="D189" s="91"/>
      <c r="E189" s="91"/>
      <c r="F189" s="91"/>
      <c r="G189" s="91"/>
      <c r="H189" s="91"/>
      <c r="I189" s="91"/>
      <c r="J189" s="91"/>
      <c r="K189" s="91"/>
    </row>
    <row r="190" ht="18.75" customHeight="1">
      <c r="A190" s="91"/>
      <c r="B190" s="92"/>
      <c r="C190" s="91"/>
      <c r="D190" s="91"/>
      <c r="E190" s="91"/>
      <c r="F190" s="91"/>
      <c r="G190" s="91"/>
      <c r="H190" s="91"/>
      <c r="I190" s="91"/>
      <c r="J190" s="91"/>
      <c r="K190" s="91"/>
    </row>
    <row r="191" ht="18.75" customHeight="1">
      <c r="A191" s="91"/>
      <c r="B191" s="92"/>
      <c r="C191" s="91"/>
      <c r="D191" s="91"/>
      <c r="E191" s="91"/>
      <c r="F191" s="91"/>
      <c r="G191" s="91"/>
      <c r="H191" s="91"/>
      <c r="I191" s="91"/>
      <c r="J191" s="91"/>
      <c r="K191" s="91"/>
    </row>
    <row r="192" ht="18.75" customHeight="1">
      <c r="A192" s="91"/>
      <c r="B192" s="92"/>
      <c r="C192" s="91"/>
      <c r="D192" s="91"/>
      <c r="E192" s="91"/>
      <c r="F192" s="91"/>
      <c r="G192" s="91"/>
      <c r="H192" s="91"/>
      <c r="I192" s="91"/>
      <c r="J192" s="91"/>
      <c r="K192" s="91"/>
    </row>
    <row r="193" ht="18.75" customHeight="1">
      <c r="A193" s="91"/>
      <c r="B193" s="92"/>
      <c r="C193" s="91"/>
      <c r="D193" s="91"/>
      <c r="E193" s="91"/>
      <c r="F193" s="91"/>
      <c r="G193" s="91"/>
      <c r="H193" s="91"/>
      <c r="I193" s="91"/>
      <c r="J193" s="91"/>
      <c r="K193" s="91"/>
    </row>
    <row r="194" ht="18.75" customHeight="1">
      <c r="A194" s="91"/>
      <c r="B194" s="92"/>
      <c r="C194" s="91"/>
      <c r="D194" s="91"/>
      <c r="E194" s="91"/>
      <c r="F194" s="91"/>
      <c r="G194" s="91"/>
      <c r="H194" s="91"/>
      <c r="I194" s="91"/>
      <c r="J194" s="91"/>
      <c r="K194" s="91"/>
    </row>
    <row r="195" ht="18.75" customHeight="1">
      <c r="A195" s="91"/>
      <c r="B195" s="92"/>
      <c r="C195" s="91"/>
      <c r="D195" s="91"/>
      <c r="E195" s="91"/>
      <c r="F195" s="91"/>
      <c r="G195" s="91"/>
      <c r="H195" s="91"/>
      <c r="I195" s="91"/>
      <c r="J195" s="91"/>
      <c r="K195" s="91"/>
    </row>
    <row r="196" ht="18.75" customHeight="1">
      <c r="A196" s="91"/>
      <c r="B196" s="92"/>
      <c r="C196" s="91"/>
      <c r="D196" s="91"/>
      <c r="E196" s="91"/>
      <c r="F196" s="91"/>
      <c r="G196" s="91"/>
      <c r="H196" s="91"/>
      <c r="I196" s="91"/>
      <c r="J196" s="91"/>
      <c r="K196" s="91"/>
    </row>
    <row r="197" ht="18.75" customHeight="1">
      <c r="A197" s="91"/>
      <c r="B197" s="92"/>
      <c r="C197" s="91"/>
      <c r="D197" s="91"/>
      <c r="E197" s="91"/>
      <c r="F197" s="91"/>
      <c r="G197" s="91"/>
      <c r="H197" s="91"/>
      <c r="I197" s="91"/>
      <c r="J197" s="91"/>
      <c r="K197" s="91"/>
    </row>
    <row r="198" ht="18.75" customHeight="1">
      <c r="A198" s="91"/>
      <c r="B198" s="92"/>
      <c r="C198" s="91"/>
      <c r="D198" s="91"/>
      <c r="E198" s="91"/>
      <c r="F198" s="91"/>
      <c r="G198" s="91"/>
      <c r="H198" s="91"/>
      <c r="I198" s="91"/>
      <c r="J198" s="91"/>
      <c r="K198" s="91"/>
    </row>
    <row r="199" ht="18.75" customHeight="1">
      <c r="A199" s="91"/>
      <c r="B199" s="92"/>
      <c r="C199" s="91"/>
      <c r="D199" s="91"/>
      <c r="E199" s="91"/>
      <c r="F199" s="91"/>
      <c r="G199" s="91"/>
      <c r="H199" s="91"/>
      <c r="I199" s="91"/>
      <c r="J199" s="91"/>
      <c r="K199" s="91"/>
    </row>
    <row r="200" ht="18.75" customHeight="1">
      <c r="A200" s="91"/>
      <c r="B200" s="92"/>
      <c r="C200" s="91"/>
      <c r="D200" s="91"/>
      <c r="E200" s="91"/>
      <c r="F200" s="91"/>
      <c r="G200" s="91"/>
      <c r="H200" s="91"/>
      <c r="I200" s="91"/>
      <c r="J200" s="91"/>
      <c r="K200" s="91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49:E200">
      <formula1>"1.1,1.2,1.3,2.1,2.2,2.3,2.4,2.5,2.6,2.7,2.8,2.9,2.11,2.12"</formula1>
    </dataValidation>
    <dataValidation type="list" allowBlank="1" showErrorMessage="1" sqref="E8:E48">
      <formula1>"1,1,1,2,2,1,2,11,2,12,2,2,2,3,2,5,2,6,2,7,2,8,2,9,2,4,1,3"</formula1>
    </dataValidation>
  </dataValidations>
  <hyperlinks>
    <hyperlink r:id="rId1" ref="F20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61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9" t="s">
        <v>20</v>
      </c>
      <c r="F1" s="10"/>
      <c r="G1" s="11"/>
      <c r="H1" s="97" t="s">
        <v>119</v>
      </c>
      <c r="I1" s="13"/>
      <c r="J1" s="14"/>
      <c r="K1" s="11"/>
    </row>
    <row r="2" ht="18.75" customHeight="1">
      <c r="A2" s="36" t="s">
        <v>159</v>
      </c>
      <c r="G2" s="11"/>
      <c r="H2" s="53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418072941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33" t="s">
        <v>121</v>
      </c>
      <c r="J4" s="25">
        <f>SUMIF($E$8:$E$53,1.1,$C$8:$C$44)</f>
        <v>418072941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33" t="s">
        <v>122</v>
      </c>
      <c r="J5" s="25">
        <f>SUMIF($E$8:$E$53,1.2,$C$8:$C$44)</f>
        <v>0</v>
      </c>
      <c r="K5" s="11"/>
    </row>
    <row r="6" ht="18.75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SUMIF($E$8:$E$53,1.3,$C$8:$C$44)</f>
        <v>0</v>
      </c>
      <c r="K6" s="11"/>
    </row>
    <row r="7" ht="21.75" customHeight="1">
      <c r="A7" s="36"/>
      <c r="B7" s="37"/>
      <c r="C7" s="42">
        <f t="shared" ref="C7:D7" si="1">SUM(C8:C100)</f>
        <v>418072941</v>
      </c>
      <c r="D7" s="42">
        <f t="shared" si="1"/>
        <v>222170084</v>
      </c>
      <c r="E7" s="39"/>
      <c r="F7" s="40"/>
      <c r="G7" s="40" t="s">
        <v>40</v>
      </c>
      <c r="H7" s="41"/>
      <c r="I7" s="40"/>
      <c r="J7" s="42"/>
      <c r="K7" s="40"/>
    </row>
    <row r="8" ht="18.75" customHeight="1">
      <c r="A8" s="48"/>
      <c r="B8" s="83">
        <v>45840.0</v>
      </c>
      <c r="C8" s="103"/>
      <c r="D8" s="103">
        <v>1200000.0</v>
      </c>
      <c r="E8" s="79" t="s">
        <v>67</v>
      </c>
      <c r="F8" s="58" t="s">
        <v>160</v>
      </c>
      <c r="G8" s="11"/>
      <c r="H8" s="23">
        <v>2.0</v>
      </c>
      <c r="I8" s="53" t="s">
        <v>45</v>
      </c>
      <c r="J8" s="25">
        <f>SUM(J9:J19)</f>
        <v>222170084</v>
      </c>
      <c r="K8" s="11"/>
    </row>
    <row r="9" ht="18.75" customHeight="1">
      <c r="A9" s="55"/>
      <c r="B9" s="83">
        <v>45840.0</v>
      </c>
      <c r="C9" s="103"/>
      <c r="D9" s="103">
        <v>3.1138039E7</v>
      </c>
      <c r="E9" s="79">
        <v>2.5</v>
      </c>
      <c r="F9" s="58" t="s">
        <v>161</v>
      </c>
      <c r="G9" s="56"/>
      <c r="H9" s="57">
        <v>2.1</v>
      </c>
      <c r="I9" s="58" t="s">
        <v>49</v>
      </c>
      <c r="J9" s="59">
        <f>SUMIF($E$8:$E$53,2.1,$D$8:$D$44)</f>
        <v>0</v>
      </c>
      <c r="K9" s="11"/>
    </row>
    <row r="10" ht="18.75" customHeight="1">
      <c r="A10" s="55"/>
      <c r="B10" s="83">
        <v>45840.0</v>
      </c>
      <c r="C10" s="103"/>
      <c r="D10" s="103">
        <v>900000.0</v>
      </c>
      <c r="E10" s="79">
        <v>2.5</v>
      </c>
      <c r="F10" s="58" t="s">
        <v>162</v>
      </c>
      <c r="G10" s="56"/>
      <c r="H10" s="57">
        <v>2.2</v>
      </c>
      <c r="I10" s="58" t="s">
        <v>53</v>
      </c>
      <c r="J10" s="25">
        <f>SUMIF($E$8:$E$53,2.2,$D$8:$D$44)</f>
        <v>72898462</v>
      </c>
      <c r="K10" s="11"/>
    </row>
    <row r="11" ht="18.75" customHeight="1">
      <c r="A11" s="55"/>
      <c r="B11" s="83">
        <v>45839.0</v>
      </c>
      <c r="C11" s="103">
        <v>7.0035083E7</v>
      </c>
      <c r="D11" s="103"/>
      <c r="E11" s="79">
        <v>1.1</v>
      </c>
      <c r="F11" s="58" t="s">
        <v>163</v>
      </c>
      <c r="G11" s="56"/>
      <c r="H11" s="57">
        <v>2.3</v>
      </c>
      <c r="I11" s="58" t="s">
        <v>56</v>
      </c>
      <c r="J11" s="25">
        <f>SUMIF($E$8:$E$53,2.3,$D$8:$D$44)</f>
        <v>2400000</v>
      </c>
      <c r="K11" s="11"/>
    </row>
    <row r="12" ht="18.75" customHeight="1">
      <c r="A12" s="55"/>
      <c r="B12" s="83">
        <v>45841.0</v>
      </c>
      <c r="C12" s="103"/>
      <c r="D12" s="103">
        <v>3050000.0</v>
      </c>
      <c r="E12" s="79">
        <v>2.11</v>
      </c>
      <c r="F12" s="58" t="s">
        <v>164</v>
      </c>
      <c r="G12" s="56"/>
      <c r="H12" s="57">
        <v>2.4</v>
      </c>
      <c r="I12" s="58" t="s">
        <v>59</v>
      </c>
      <c r="J12" s="25">
        <f>SUMIF($E$8:$E$53,2.4,$D$8:$D$44)</f>
        <v>0</v>
      </c>
      <c r="K12" s="11"/>
    </row>
    <row r="13" ht="18.75" customHeight="1">
      <c r="A13" s="55"/>
      <c r="B13" s="83">
        <v>45841.0</v>
      </c>
      <c r="C13" s="103"/>
      <c r="D13" s="103">
        <v>1215000.0</v>
      </c>
      <c r="E13" s="79">
        <v>2.11</v>
      </c>
      <c r="F13" s="58" t="s">
        <v>164</v>
      </c>
      <c r="G13" s="56"/>
      <c r="H13" s="57">
        <v>2.5</v>
      </c>
      <c r="I13" s="58" t="s">
        <v>64</v>
      </c>
      <c r="J13" s="25">
        <f>SUMIF($E$8:$E$53,2.5,$D$8:$D$44)</f>
        <v>64076078</v>
      </c>
      <c r="K13" s="11"/>
    </row>
    <row r="14" ht="18.75" customHeight="1">
      <c r="A14" s="55"/>
      <c r="B14" s="83">
        <v>45840.0</v>
      </c>
      <c r="C14" s="103"/>
      <c r="D14" s="103">
        <v>1200000.0</v>
      </c>
      <c r="E14" s="79">
        <v>2.3</v>
      </c>
      <c r="F14" s="105" t="s">
        <v>160</v>
      </c>
      <c r="G14" s="56"/>
      <c r="H14" s="57">
        <v>2.6</v>
      </c>
      <c r="I14" s="58" t="s">
        <v>66</v>
      </c>
      <c r="J14" s="25">
        <f>SUMIF($E$8:$E$53,2.6,$D$8:$D$44)</f>
        <v>32188000</v>
      </c>
      <c r="K14" s="11"/>
    </row>
    <row r="15" ht="18.75" customHeight="1">
      <c r="A15" s="55"/>
      <c r="B15" s="83">
        <v>45843.0</v>
      </c>
      <c r="C15" s="103"/>
      <c r="D15" s="103">
        <v>7.2898462E7</v>
      </c>
      <c r="E15" s="79">
        <v>2.2</v>
      </c>
      <c r="F15" s="58" t="s">
        <v>165</v>
      </c>
      <c r="G15" s="56"/>
      <c r="H15" s="57">
        <v>2.7</v>
      </c>
      <c r="I15" s="58" t="s">
        <v>69</v>
      </c>
      <c r="J15" s="25">
        <f>SUMIF($E$8:$E$53,2.7,$D$8:$D$44)</f>
        <v>0</v>
      </c>
      <c r="K15" s="11"/>
    </row>
    <row r="16" ht="18.75" customHeight="1">
      <c r="A16" s="55"/>
      <c r="B16" s="83">
        <v>45844.0</v>
      </c>
      <c r="C16" s="103"/>
      <c r="D16" s="103">
        <v>9297000.0</v>
      </c>
      <c r="E16" s="79">
        <v>2.8</v>
      </c>
      <c r="F16" s="58" t="s">
        <v>166</v>
      </c>
      <c r="G16" s="56"/>
      <c r="H16" s="57">
        <v>2.8</v>
      </c>
      <c r="I16" s="58" t="s">
        <v>71</v>
      </c>
      <c r="J16" s="25">
        <f>SUMIF($E$8:$E$53,2.8,$D$8:$D$44)</f>
        <v>13300000</v>
      </c>
      <c r="K16" s="11"/>
    </row>
    <row r="17" ht="18.75" customHeight="1">
      <c r="A17" s="55"/>
      <c r="B17" s="83">
        <v>45844.0</v>
      </c>
      <c r="C17" s="103"/>
      <c r="D17" s="103">
        <v>4003000.0</v>
      </c>
      <c r="E17" s="79">
        <v>2.8</v>
      </c>
      <c r="F17" s="58" t="s">
        <v>167</v>
      </c>
      <c r="G17" s="56"/>
      <c r="H17" s="57">
        <v>2.9</v>
      </c>
      <c r="I17" s="58" t="s">
        <v>74</v>
      </c>
      <c r="J17" s="25">
        <f>SUMIF($E$8:$E$53,2.9,$D$8:$D$44)</f>
        <v>0</v>
      </c>
      <c r="K17" s="11"/>
    </row>
    <row r="18" ht="18.75" customHeight="1">
      <c r="A18" s="55"/>
      <c r="B18" s="83">
        <v>45847.0</v>
      </c>
      <c r="C18" s="103"/>
      <c r="D18" s="103">
        <v>3.1138039E7</v>
      </c>
      <c r="E18" s="79">
        <v>2.5</v>
      </c>
      <c r="F18" s="58" t="s">
        <v>168</v>
      </c>
      <c r="G18" s="56"/>
      <c r="H18" s="57">
        <v>2.11</v>
      </c>
      <c r="I18" s="58" t="s">
        <v>77</v>
      </c>
      <c r="J18" s="25">
        <f>SUMIF($E$8:$E$53,2.11,$D$8:$D$44)</f>
        <v>37307544</v>
      </c>
      <c r="K18" s="11"/>
    </row>
    <row r="19" ht="18.75" customHeight="1">
      <c r="A19" s="55"/>
      <c r="B19" s="83">
        <v>45847.0</v>
      </c>
      <c r="C19" s="103"/>
      <c r="D19" s="103">
        <v>1.8188E7</v>
      </c>
      <c r="E19" s="79">
        <v>2.6</v>
      </c>
      <c r="F19" s="58" t="s">
        <v>169</v>
      </c>
      <c r="G19" s="56"/>
      <c r="H19" s="57">
        <v>2.12</v>
      </c>
      <c r="I19" s="58" t="s">
        <v>80</v>
      </c>
      <c r="J19" s="25">
        <f>SUMIF($E$8:$E$53,2.12,$D$8:$D$44)</f>
        <v>0</v>
      </c>
      <c r="K19" s="11"/>
    </row>
    <row r="20" ht="18.75" customHeight="1">
      <c r="A20" s="55"/>
      <c r="B20" s="83">
        <v>45847.0</v>
      </c>
      <c r="C20" s="103"/>
      <c r="D20" s="103">
        <v>900000.0</v>
      </c>
      <c r="E20" s="79">
        <v>2.5</v>
      </c>
      <c r="F20" s="58" t="s">
        <v>170</v>
      </c>
      <c r="G20" s="56"/>
      <c r="H20" s="73">
        <v>3.0</v>
      </c>
      <c r="I20" s="74" t="s">
        <v>82</v>
      </c>
      <c r="J20" s="75">
        <f>J3-J8</f>
        <v>195902857</v>
      </c>
      <c r="K20" s="11"/>
    </row>
    <row r="21" ht="18.75" customHeight="1">
      <c r="A21" s="55"/>
      <c r="B21" s="83">
        <v>45866.0</v>
      </c>
      <c r="C21" s="103"/>
      <c r="D21" s="103">
        <v>9603951.0</v>
      </c>
      <c r="E21" s="79">
        <v>2.11</v>
      </c>
      <c r="F21" s="58" t="s">
        <v>171</v>
      </c>
      <c r="G21" s="11"/>
      <c r="H21" s="11"/>
      <c r="I21" s="11"/>
      <c r="J21" s="11"/>
      <c r="K21" s="11"/>
    </row>
    <row r="22" ht="18.75" customHeight="1">
      <c r="A22" s="55"/>
      <c r="B22" s="83">
        <v>45866.0</v>
      </c>
      <c r="C22" s="103"/>
      <c r="D22" s="103">
        <v>3809472.0</v>
      </c>
      <c r="E22" s="79">
        <v>2.11</v>
      </c>
      <c r="F22" s="58" t="s">
        <v>172</v>
      </c>
      <c r="G22" s="11"/>
      <c r="H22" s="97" t="s">
        <v>132</v>
      </c>
      <c r="I22" s="13"/>
      <c r="J22" s="14"/>
      <c r="K22" s="11"/>
    </row>
    <row r="23" ht="18.75" customHeight="1">
      <c r="A23" s="55"/>
      <c r="B23" s="83">
        <v>45866.0</v>
      </c>
      <c r="C23" s="103"/>
      <c r="D23" s="103">
        <v>600000.0</v>
      </c>
      <c r="E23" s="79">
        <v>2.11</v>
      </c>
      <c r="F23" s="58" t="s">
        <v>173</v>
      </c>
      <c r="G23" s="56"/>
      <c r="H23" s="58"/>
      <c r="I23" s="74" t="s">
        <v>24</v>
      </c>
      <c r="J23" s="57" t="s">
        <v>25</v>
      </c>
      <c r="K23" s="11"/>
    </row>
    <row r="24" ht="18.75" customHeight="1">
      <c r="A24" s="55"/>
      <c r="B24" s="83">
        <v>45866.0</v>
      </c>
      <c r="C24" s="103"/>
      <c r="D24" s="103">
        <v>600000.0</v>
      </c>
      <c r="E24" s="79">
        <v>2.11</v>
      </c>
      <c r="F24" s="58" t="s">
        <v>174</v>
      </c>
      <c r="G24" s="56"/>
      <c r="H24" s="74" t="s">
        <v>86</v>
      </c>
      <c r="I24" s="74" t="s">
        <v>87</v>
      </c>
      <c r="J24" s="80">
        <v>0.0</v>
      </c>
      <c r="K24" s="11"/>
    </row>
    <row r="25" ht="18.75" customHeight="1">
      <c r="A25" s="55"/>
      <c r="B25" s="83">
        <v>45840.0</v>
      </c>
      <c r="C25" s="103"/>
      <c r="D25" s="103">
        <v>1.4E7</v>
      </c>
      <c r="E25" s="110">
        <v>2.6</v>
      </c>
      <c r="F25" s="58" t="s">
        <v>175</v>
      </c>
      <c r="G25" s="56"/>
      <c r="H25" s="74" t="s">
        <v>88</v>
      </c>
      <c r="I25" s="74" t="s">
        <v>89</v>
      </c>
      <c r="J25" s="82">
        <f>SUM(J26:J28)</f>
        <v>418072941</v>
      </c>
      <c r="K25" s="11"/>
    </row>
    <row r="26" ht="18.75" customHeight="1">
      <c r="A26" s="55"/>
      <c r="B26" s="83">
        <v>45845.0</v>
      </c>
      <c r="C26" s="103">
        <v>8.9053082E7</v>
      </c>
      <c r="D26" s="103"/>
      <c r="E26" s="110">
        <v>1.1</v>
      </c>
      <c r="F26" s="58" t="s">
        <v>176</v>
      </c>
      <c r="G26" s="56"/>
      <c r="H26" s="58"/>
      <c r="I26" s="58" t="s">
        <v>90</v>
      </c>
      <c r="J26" s="82">
        <f>J3</f>
        <v>418072941</v>
      </c>
      <c r="K26" s="11"/>
    </row>
    <row r="27" ht="18.75" customHeight="1">
      <c r="A27" s="55"/>
      <c r="B27" s="83">
        <v>45846.0</v>
      </c>
      <c r="C27" s="103">
        <v>1.20451628E8</v>
      </c>
      <c r="D27" s="103"/>
      <c r="E27" s="110">
        <v>1.1</v>
      </c>
      <c r="F27" s="58" t="s">
        <v>177</v>
      </c>
      <c r="G27" s="56"/>
      <c r="H27" s="58"/>
      <c r="I27" s="58" t="s">
        <v>91</v>
      </c>
      <c r="J27" s="74"/>
      <c r="K27" s="11"/>
    </row>
    <row r="28" ht="18.75" customHeight="1">
      <c r="A28" s="55"/>
      <c r="B28" s="83">
        <v>45863.0</v>
      </c>
      <c r="C28" s="103">
        <v>1.08533148E8</v>
      </c>
      <c r="D28" s="103"/>
      <c r="E28" s="110">
        <v>1.1</v>
      </c>
      <c r="F28" s="58" t="s">
        <v>178</v>
      </c>
      <c r="G28" s="56"/>
      <c r="H28" s="58"/>
      <c r="I28" s="58" t="s">
        <v>92</v>
      </c>
      <c r="J28" s="74"/>
      <c r="K28" s="11"/>
    </row>
    <row r="29" ht="18.75" customHeight="1">
      <c r="A29" s="55"/>
      <c r="B29" s="83">
        <v>45863.0</v>
      </c>
      <c r="C29" s="103">
        <v>3.0E7</v>
      </c>
      <c r="D29" s="103"/>
      <c r="E29" s="110">
        <v>1.1</v>
      </c>
      <c r="F29" s="58" t="s">
        <v>179</v>
      </c>
      <c r="G29" s="56"/>
      <c r="H29" s="74" t="s">
        <v>93</v>
      </c>
      <c r="I29" s="74" t="s">
        <v>94</v>
      </c>
      <c r="J29" s="82">
        <f>SUM(J30:J41)</f>
        <v>222170084</v>
      </c>
      <c r="K29" s="11"/>
    </row>
    <row r="30" ht="18.75" customHeight="1">
      <c r="A30" s="55"/>
      <c r="B30" s="83">
        <v>45867.0</v>
      </c>
      <c r="D30" s="103">
        <v>1.6458121E7</v>
      </c>
      <c r="E30" s="110">
        <v>2.11</v>
      </c>
      <c r="F30" s="58" t="s">
        <v>180</v>
      </c>
      <c r="G30" s="56"/>
      <c r="H30" s="57">
        <v>2.1</v>
      </c>
      <c r="I30" s="58" t="s">
        <v>49</v>
      </c>
      <c r="J30" s="82">
        <f>J9</f>
        <v>0</v>
      </c>
      <c r="K30" s="11"/>
    </row>
    <row r="31" ht="18.75" customHeight="1">
      <c r="A31" s="55"/>
      <c r="B31" s="83">
        <v>45867.0</v>
      </c>
      <c r="C31" s="103"/>
      <c r="D31" s="103">
        <v>1971000.0</v>
      </c>
      <c r="E31" s="110">
        <v>2.11</v>
      </c>
      <c r="F31" s="58" t="s">
        <v>180</v>
      </c>
      <c r="G31" s="56"/>
      <c r="H31" s="28">
        <v>1.3</v>
      </c>
      <c r="I31" s="58" t="s">
        <v>96</v>
      </c>
      <c r="J31" s="80"/>
      <c r="K31" s="11"/>
    </row>
    <row r="32" ht="18.75" customHeight="1">
      <c r="A32" s="55"/>
      <c r="B32" s="83"/>
      <c r="C32" s="103"/>
      <c r="D32" s="103"/>
      <c r="E32" s="110"/>
      <c r="F32" s="58"/>
      <c r="G32" s="56"/>
      <c r="H32" s="57">
        <v>2.2</v>
      </c>
      <c r="I32" s="58" t="s">
        <v>53</v>
      </c>
      <c r="J32" s="82">
        <f t="shared" ref="J32:J41" si="2">J10</f>
        <v>72898462</v>
      </c>
      <c r="K32" s="11"/>
    </row>
    <row r="33" ht="18.75" customHeight="1">
      <c r="A33" s="55"/>
      <c r="B33" s="83"/>
      <c r="C33" s="103"/>
      <c r="D33" s="103"/>
      <c r="E33" s="110"/>
      <c r="F33" s="58"/>
      <c r="G33" s="56"/>
      <c r="H33" s="57">
        <v>2.3</v>
      </c>
      <c r="I33" s="58" t="s">
        <v>56</v>
      </c>
      <c r="J33" s="82">
        <f t="shared" si="2"/>
        <v>2400000</v>
      </c>
      <c r="K33" s="11"/>
    </row>
    <row r="34" ht="18.75" customHeight="1">
      <c r="A34" s="55"/>
      <c r="B34" s="83"/>
      <c r="C34" s="103"/>
      <c r="D34" s="103"/>
      <c r="E34" s="110"/>
      <c r="F34" s="58"/>
      <c r="G34" s="56"/>
      <c r="H34" s="57">
        <v>2.4</v>
      </c>
      <c r="I34" s="58" t="s">
        <v>59</v>
      </c>
      <c r="J34" s="82">
        <f t="shared" si="2"/>
        <v>0</v>
      </c>
      <c r="K34" s="11"/>
    </row>
    <row r="35" ht="18.75" customHeight="1">
      <c r="A35" s="55"/>
      <c r="B35" s="83"/>
      <c r="C35" s="103"/>
      <c r="D35" s="103"/>
      <c r="E35" s="110"/>
      <c r="F35" s="58"/>
      <c r="G35" s="56"/>
      <c r="H35" s="57">
        <v>2.5</v>
      </c>
      <c r="I35" s="58" t="s">
        <v>64</v>
      </c>
      <c r="J35" s="82">
        <f t="shared" si="2"/>
        <v>64076078</v>
      </c>
      <c r="K35" s="11"/>
    </row>
    <row r="36" ht="18.75" customHeight="1">
      <c r="A36" s="55"/>
      <c r="B36" s="83"/>
      <c r="C36" s="103"/>
      <c r="D36" s="103"/>
      <c r="E36" s="110"/>
      <c r="F36" s="58"/>
      <c r="G36" s="56"/>
      <c r="H36" s="57">
        <v>2.6</v>
      </c>
      <c r="I36" s="58" t="s">
        <v>66</v>
      </c>
      <c r="J36" s="82">
        <f t="shared" si="2"/>
        <v>32188000</v>
      </c>
      <c r="K36" s="11"/>
    </row>
    <row r="37" ht="18.75" customHeight="1">
      <c r="A37" s="55"/>
      <c r="B37" s="83"/>
      <c r="C37" s="103"/>
      <c r="D37" s="103"/>
      <c r="E37" s="110"/>
      <c r="F37" s="58"/>
      <c r="G37" s="56"/>
      <c r="H37" s="57">
        <v>2.7</v>
      </c>
      <c r="I37" s="58" t="s">
        <v>69</v>
      </c>
      <c r="J37" s="82">
        <f t="shared" si="2"/>
        <v>0</v>
      </c>
      <c r="K37" s="11"/>
    </row>
    <row r="38" ht="18.75" customHeight="1">
      <c r="A38" s="55"/>
      <c r="B38" s="83"/>
      <c r="C38" s="103"/>
      <c r="D38" s="103"/>
      <c r="E38" s="110"/>
      <c r="F38" s="58"/>
      <c r="G38" s="56"/>
      <c r="H38" s="57">
        <v>2.8</v>
      </c>
      <c r="I38" s="58" t="s">
        <v>71</v>
      </c>
      <c r="J38" s="82">
        <f t="shared" si="2"/>
        <v>13300000</v>
      </c>
      <c r="K38" s="11"/>
    </row>
    <row r="39" ht="18.75" customHeight="1">
      <c r="A39" s="55"/>
      <c r="B39" s="83"/>
      <c r="C39" s="103"/>
      <c r="D39" s="103"/>
      <c r="E39" s="110"/>
      <c r="F39" s="58"/>
      <c r="G39" s="56"/>
      <c r="H39" s="57">
        <v>2.9</v>
      </c>
      <c r="I39" s="58" t="s">
        <v>74</v>
      </c>
      <c r="J39" s="82">
        <f t="shared" si="2"/>
        <v>0</v>
      </c>
      <c r="K39" s="11"/>
    </row>
    <row r="40" ht="18.75" customHeight="1">
      <c r="A40" s="55"/>
      <c r="B40" s="83"/>
      <c r="C40" s="103"/>
      <c r="D40" s="103"/>
      <c r="E40" s="110"/>
      <c r="F40" s="58"/>
      <c r="G40" s="56"/>
      <c r="H40" s="57">
        <v>2.11</v>
      </c>
      <c r="I40" s="58" t="s">
        <v>77</v>
      </c>
      <c r="J40" s="82">
        <f t="shared" si="2"/>
        <v>37307544</v>
      </c>
      <c r="K40" s="11"/>
    </row>
    <row r="41" ht="18.75" customHeight="1">
      <c r="A41" s="55"/>
      <c r="B41" s="83"/>
      <c r="C41" s="103"/>
      <c r="D41" s="103"/>
      <c r="E41" s="110"/>
      <c r="F41" s="58"/>
      <c r="G41" s="56"/>
      <c r="H41" s="57">
        <v>2.12</v>
      </c>
      <c r="I41" s="58" t="s">
        <v>97</v>
      </c>
      <c r="J41" s="82">
        <f t="shared" si="2"/>
        <v>0</v>
      </c>
      <c r="K41" s="11"/>
    </row>
    <row r="42" ht="18.75" customHeight="1">
      <c r="A42" s="55"/>
      <c r="B42" s="83"/>
      <c r="C42" s="103"/>
      <c r="D42" s="103"/>
      <c r="E42" s="110"/>
      <c r="F42" s="58"/>
      <c r="G42" s="56"/>
      <c r="H42" s="74" t="s">
        <v>98</v>
      </c>
      <c r="I42" s="74" t="s">
        <v>5</v>
      </c>
      <c r="J42" s="25">
        <f>J24+J25-J29</f>
        <v>195902857</v>
      </c>
      <c r="K42" s="11"/>
    </row>
    <row r="43" ht="18.75" customHeight="1">
      <c r="A43" s="55"/>
      <c r="B43" s="83"/>
      <c r="C43" s="103"/>
      <c r="D43" s="103"/>
      <c r="E43" s="110"/>
      <c r="F43" s="58"/>
      <c r="G43" s="11"/>
      <c r="H43" s="11"/>
      <c r="I43" s="11"/>
      <c r="J43" s="11"/>
      <c r="K43" s="11"/>
    </row>
    <row r="44" ht="18.75" customHeight="1">
      <c r="A44" s="55"/>
      <c r="B44" s="83"/>
      <c r="C44" s="103"/>
      <c r="D44" s="103"/>
      <c r="E44" s="110"/>
      <c r="F44" s="58"/>
      <c r="G44" s="11"/>
      <c r="H44" s="86" t="s">
        <v>99</v>
      </c>
      <c r="I44" s="87"/>
      <c r="J44" s="87"/>
      <c r="K44" s="21"/>
    </row>
    <row r="45" ht="18.75" customHeight="1">
      <c r="A45" s="55"/>
      <c r="B45" s="83"/>
      <c r="C45" s="103"/>
      <c r="D45" s="103"/>
      <c r="E45" s="110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/>
      <c r="B46" s="83"/>
      <c r="C46" s="103"/>
      <c r="D46" s="103"/>
      <c r="E46" s="110"/>
      <c r="F46" s="58"/>
      <c r="G46" s="56"/>
      <c r="H46" s="74" t="s">
        <v>86</v>
      </c>
      <c r="I46" s="74" t="s">
        <v>87</v>
      </c>
      <c r="J46" s="82">
        <f>J42</f>
        <v>195902857</v>
      </c>
      <c r="K46" s="89"/>
    </row>
    <row r="47" ht="18.75" customHeight="1">
      <c r="A47" s="55"/>
      <c r="B47" s="83"/>
      <c r="C47" s="58"/>
      <c r="D47" s="103"/>
      <c r="E47" s="110"/>
      <c r="F47" s="58"/>
      <c r="G47" s="56"/>
      <c r="H47" s="74" t="s">
        <v>88</v>
      </c>
      <c r="I47" s="74" t="s">
        <v>89</v>
      </c>
      <c r="J47" s="82">
        <f>SUM(J48:J54)</f>
        <v>0</v>
      </c>
      <c r="K47" s="89"/>
    </row>
    <row r="48" ht="18.75" customHeight="1">
      <c r="A48" s="55"/>
      <c r="B48" s="83"/>
      <c r="C48" s="58"/>
      <c r="D48" s="103"/>
      <c r="E48" s="110"/>
      <c r="F48" s="58"/>
      <c r="G48" s="56"/>
      <c r="H48" s="58"/>
      <c r="I48" s="58"/>
      <c r="J48" s="90"/>
      <c r="K48" s="89"/>
    </row>
    <row r="49" ht="18.75" customHeight="1">
      <c r="A49" s="55"/>
      <c r="B49" s="83"/>
      <c r="C49" s="58"/>
      <c r="D49" s="103"/>
      <c r="E49" s="110"/>
      <c r="F49" s="58"/>
      <c r="G49" s="56"/>
      <c r="H49" s="58"/>
      <c r="I49" s="58"/>
      <c r="J49" s="90"/>
      <c r="K49" s="89"/>
    </row>
    <row r="50" ht="18.75" customHeight="1">
      <c r="A50" s="55"/>
      <c r="B50" s="83"/>
      <c r="C50" s="58"/>
      <c r="D50" s="103"/>
      <c r="E50" s="110"/>
      <c r="F50" s="58"/>
      <c r="G50" s="56"/>
      <c r="H50" s="58"/>
      <c r="I50" s="58"/>
      <c r="J50" s="90"/>
      <c r="K50" s="89"/>
    </row>
    <row r="51" ht="18.75" customHeight="1">
      <c r="A51" s="55"/>
      <c r="B51" s="83"/>
      <c r="C51" s="58"/>
      <c r="D51" s="103"/>
      <c r="E51" s="110"/>
      <c r="F51" s="58"/>
      <c r="G51" s="56"/>
      <c r="H51" s="58"/>
      <c r="I51" s="58"/>
      <c r="J51" s="90"/>
      <c r="K51" s="89"/>
    </row>
    <row r="52" ht="18.75" customHeight="1">
      <c r="A52" s="55"/>
      <c r="B52" s="83"/>
      <c r="C52" s="58"/>
      <c r="D52" s="103"/>
      <c r="E52" s="110"/>
      <c r="F52" s="58"/>
      <c r="G52" s="56"/>
      <c r="H52" s="58"/>
      <c r="I52" s="58"/>
      <c r="J52" s="74"/>
      <c r="K52" s="89"/>
    </row>
    <row r="53" ht="18.75" customHeight="1">
      <c r="A53" s="55"/>
      <c r="B53" s="83"/>
      <c r="C53" s="58"/>
      <c r="D53" s="103"/>
      <c r="E53" s="110"/>
      <c r="F53" s="58"/>
      <c r="G53" s="56"/>
      <c r="H53" s="58"/>
      <c r="I53" s="58"/>
      <c r="J53" s="74"/>
      <c r="K53" s="89"/>
    </row>
    <row r="54" ht="18.75" customHeight="1">
      <c r="A54" s="55"/>
      <c r="B54" s="83"/>
      <c r="C54" s="58"/>
      <c r="D54" s="103"/>
      <c r="E54" s="110"/>
      <c r="F54" s="58"/>
      <c r="G54" s="56"/>
      <c r="H54" s="58"/>
      <c r="I54" s="58"/>
      <c r="J54" s="74"/>
      <c r="K54" s="89"/>
    </row>
    <row r="55" ht="18.75" customHeight="1">
      <c r="A55" s="55"/>
      <c r="B55" s="83"/>
      <c r="C55" s="106"/>
      <c r="D55" s="103"/>
      <c r="E55" s="110"/>
      <c r="F55" s="58"/>
      <c r="G55" s="56"/>
      <c r="H55" s="74" t="s">
        <v>93</v>
      </c>
      <c r="I55" s="74" t="s">
        <v>94</v>
      </c>
      <c r="J55" s="90">
        <f>SUM(J56:J65)</f>
        <v>0</v>
      </c>
      <c r="K55" s="89"/>
    </row>
    <row r="56" ht="18.75" customHeight="1">
      <c r="A56" s="55"/>
      <c r="B56" s="83"/>
      <c r="C56" s="58"/>
      <c r="D56" s="103"/>
      <c r="E56" s="110"/>
      <c r="F56" s="58"/>
      <c r="G56" s="56"/>
      <c r="H56" s="58"/>
      <c r="I56" s="58"/>
      <c r="J56" s="90"/>
      <c r="K56" s="83"/>
    </row>
    <row r="57" ht="18.75" customHeight="1">
      <c r="A57" s="55"/>
      <c r="B57" s="83"/>
      <c r="C57" s="58"/>
      <c r="D57" s="103"/>
      <c r="E57" s="110"/>
      <c r="F57" s="58"/>
      <c r="G57" s="56"/>
      <c r="H57" s="58"/>
      <c r="I57" s="58"/>
      <c r="J57" s="90"/>
      <c r="K57" s="83"/>
    </row>
    <row r="58" ht="18.75" customHeight="1">
      <c r="A58" s="55"/>
      <c r="B58" s="83"/>
      <c r="C58" s="106"/>
      <c r="D58" s="103"/>
      <c r="E58" s="110"/>
      <c r="F58" s="58"/>
      <c r="G58" s="56"/>
      <c r="H58" s="58"/>
      <c r="I58" s="58"/>
      <c r="J58" s="90"/>
      <c r="K58" s="83"/>
    </row>
    <row r="59" ht="18.75" customHeight="1">
      <c r="A59" s="55"/>
      <c r="B59" s="83"/>
      <c r="C59" s="58"/>
      <c r="D59" s="103"/>
      <c r="E59" s="110"/>
      <c r="F59" s="58"/>
      <c r="G59" s="56"/>
      <c r="H59" s="58"/>
      <c r="I59" s="58"/>
      <c r="J59" s="90"/>
      <c r="K59" s="83"/>
    </row>
    <row r="60" ht="18.75" customHeight="1">
      <c r="A60" s="55"/>
      <c r="B60" s="83"/>
      <c r="C60" s="58"/>
      <c r="D60" s="103"/>
      <c r="E60" s="110"/>
      <c r="F60" s="58"/>
      <c r="G60" s="56"/>
      <c r="H60" s="58"/>
      <c r="I60" s="58"/>
      <c r="J60" s="90"/>
      <c r="K60" s="89"/>
    </row>
    <row r="61" ht="18.75" customHeight="1">
      <c r="A61" s="55"/>
      <c r="B61" s="83"/>
      <c r="C61" s="58"/>
      <c r="D61" s="103"/>
      <c r="E61" s="110"/>
      <c r="F61" s="58"/>
      <c r="G61" s="56"/>
      <c r="H61" s="58"/>
      <c r="I61" s="58"/>
      <c r="J61" s="90"/>
      <c r="K61" s="89"/>
    </row>
    <row r="62" ht="18.75" customHeight="1">
      <c r="A62" s="55"/>
      <c r="B62" s="83"/>
      <c r="C62" s="58"/>
      <c r="D62" s="103"/>
      <c r="E62" s="57"/>
      <c r="F62" s="58"/>
      <c r="G62" s="56"/>
      <c r="H62" s="58"/>
      <c r="I62" s="58"/>
      <c r="J62" s="90"/>
      <c r="K62" s="89"/>
    </row>
    <row r="63" ht="18.75" customHeight="1">
      <c r="A63" s="55"/>
      <c r="B63" s="83"/>
      <c r="C63" s="58"/>
      <c r="D63" s="103"/>
      <c r="E63" s="57"/>
      <c r="F63" s="58"/>
      <c r="G63" s="56"/>
      <c r="H63" s="58"/>
      <c r="I63" s="58"/>
      <c r="J63" s="90"/>
      <c r="K63" s="89"/>
    </row>
    <row r="64" ht="18.75" customHeight="1">
      <c r="A64" s="55"/>
      <c r="B64" s="83"/>
      <c r="C64" s="58"/>
      <c r="D64" s="103"/>
      <c r="E64" s="57"/>
      <c r="F64" s="58"/>
      <c r="G64" s="56"/>
      <c r="H64" s="58"/>
      <c r="I64" s="58"/>
      <c r="J64" s="90"/>
      <c r="K64" s="89"/>
    </row>
    <row r="65" ht="18.75" customHeight="1">
      <c r="A65" s="55"/>
      <c r="B65" s="83"/>
      <c r="C65" s="106"/>
      <c r="D65" s="103"/>
      <c r="E65" s="57"/>
      <c r="F65" s="58"/>
      <c r="G65" s="56"/>
      <c r="H65" s="58"/>
      <c r="I65" s="58"/>
      <c r="J65" s="90"/>
      <c r="K65" s="89"/>
    </row>
    <row r="66" ht="18.75" customHeight="1">
      <c r="A66" s="91"/>
      <c r="B66" s="92"/>
      <c r="C66" s="91"/>
      <c r="D66" s="103"/>
      <c r="E66" s="91"/>
      <c r="F66" s="91"/>
      <c r="G66" s="56"/>
      <c r="H66" s="74" t="s">
        <v>98</v>
      </c>
      <c r="I66" s="74" t="s">
        <v>5</v>
      </c>
      <c r="J66" s="25">
        <f>J46+J47-J55</f>
        <v>195902857</v>
      </c>
      <c r="K66" s="89"/>
    </row>
    <row r="67" ht="18.75" customHeight="1">
      <c r="A67" s="91"/>
      <c r="B67" s="92"/>
      <c r="C67" s="91"/>
      <c r="D67" s="103"/>
      <c r="E67" s="91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103"/>
      <c r="E68" s="91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103"/>
      <c r="E69" s="91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103"/>
      <c r="E70" s="91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103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103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103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103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103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103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103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103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103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103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103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103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103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103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103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103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103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103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103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103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103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103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103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103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91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>
      <c r="A154" s="91"/>
      <c r="B154" s="92"/>
      <c r="C154" s="91"/>
      <c r="D154" s="91"/>
      <c r="E154" s="91"/>
      <c r="F154" s="91"/>
      <c r="G154" s="91"/>
      <c r="H154" s="91"/>
      <c r="I154" s="91"/>
      <c r="J154" s="91"/>
      <c r="K154" s="91"/>
    </row>
    <row r="155" ht="18.75" customHeight="1">
      <c r="A155" s="91"/>
      <c r="B155" s="92"/>
      <c r="C155" s="91"/>
      <c r="D155" s="91"/>
      <c r="E155" s="91"/>
      <c r="F155" s="91"/>
      <c r="G155" s="91"/>
      <c r="H155" s="91"/>
      <c r="I155" s="91"/>
      <c r="J155" s="91"/>
      <c r="K155" s="91"/>
    </row>
    <row r="156" ht="18.75" customHeight="1">
      <c r="A156" s="91"/>
      <c r="B156" s="92"/>
      <c r="C156" s="91"/>
      <c r="D156" s="91"/>
      <c r="E156" s="91"/>
      <c r="F156" s="91"/>
      <c r="G156" s="91"/>
      <c r="H156" s="91"/>
      <c r="I156" s="91"/>
      <c r="J156" s="91"/>
      <c r="K156" s="91"/>
    </row>
    <row r="157" ht="18.75" customHeight="1">
      <c r="A157" s="91"/>
      <c r="B157" s="92"/>
      <c r="C157" s="91"/>
      <c r="D157" s="91"/>
      <c r="E157" s="91"/>
      <c r="F157" s="91"/>
      <c r="G157" s="91"/>
      <c r="H157" s="91"/>
      <c r="I157" s="91"/>
      <c r="J157" s="91"/>
      <c r="K157" s="91"/>
    </row>
    <row r="158" ht="18.75" customHeight="1">
      <c r="A158" s="91"/>
      <c r="B158" s="92"/>
      <c r="C158" s="91"/>
      <c r="D158" s="91"/>
      <c r="E158" s="91"/>
      <c r="F158" s="91"/>
      <c r="G158" s="91"/>
      <c r="H158" s="91"/>
      <c r="I158" s="91"/>
      <c r="J158" s="91"/>
      <c r="K158" s="91"/>
    </row>
    <row r="159" ht="18.75" customHeight="1">
      <c r="A159" s="91"/>
      <c r="B159" s="92"/>
      <c r="C159" s="91"/>
      <c r="D159" s="91"/>
      <c r="E159" s="91"/>
      <c r="F159" s="91"/>
      <c r="G159" s="91"/>
      <c r="H159" s="91"/>
      <c r="I159" s="91"/>
      <c r="J159" s="91"/>
      <c r="K159" s="91"/>
    </row>
    <row r="160" ht="18.75" customHeight="1">
      <c r="A160" s="91"/>
      <c r="B160" s="92"/>
      <c r="C160" s="91"/>
      <c r="D160" s="91"/>
      <c r="E160" s="91"/>
      <c r="F160" s="91"/>
      <c r="G160" s="91"/>
      <c r="H160" s="91"/>
      <c r="I160" s="91"/>
      <c r="J160" s="91"/>
      <c r="K160" s="91"/>
    </row>
    <row r="161" ht="18.75" customHeight="1">
      <c r="A161" s="91"/>
      <c r="B161" s="92"/>
      <c r="C161" s="91"/>
      <c r="D161" s="91"/>
      <c r="E161" s="91"/>
      <c r="F161" s="91"/>
      <c r="G161" s="91"/>
      <c r="H161" s="91"/>
      <c r="I161" s="91"/>
      <c r="J161" s="91"/>
      <c r="K161" s="91"/>
    </row>
    <row r="162" ht="18.75" customHeight="1">
      <c r="A162" s="91"/>
      <c r="B162" s="92"/>
      <c r="C162" s="91"/>
      <c r="D162" s="91"/>
      <c r="E162" s="91"/>
      <c r="F162" s="91"/>
      <c r="G162" s="91"/>
      <c r="H162" s="91"/>
      <c r="I162" s="91"/>
      <c r="J162" s="91"/>
      <c r="K162" s="91"/>
    </row>
    <row r="163" ht="18.75" customHeight="1">
      <c r="A163" s="91"/>
      <c r="B163" s="92"/>
      <c r="C163" s="91"/>
      <c r="D163" s="91"/>
      <c r="E163" s="91"/>
      <c r="F163" s="91"/>
      <c r="G163" s="91"/>
      <c r="H163" s="91"/>
      <c r="I163" s="91"/>
      <c r="J163" s="91"/>
      <c r="K163" s="91"/>
    </row>
    <row r="164" ht="18.75" customHeight="1">
      <c r="A164" s="91"/>
      <c r="B164" s="92"/>
      <c r="C164" s="91"/>
      <c r="D164" s="91"/>
      <c r="E164" s="91"/>
      <c r="F164" s="91"/>
      <c r="G164" s="91"/>
      <c r="H164" s="91"/>
      <c r="I164" s="91"/>
      <c r="J164" s="91"/>
      <c r="K164" s="91"/>
    </row>
    <row r="165" ht="18.75" customHeight="1">
      <c r="A165" s="91"/>
      <c r="B165" s="92"/>
      <c r="C165" s="91"/>
      <c r="D165" s="91"/>
      <c r="E165" s="91"/>
      <c r="F165" s="91"/>
      <c r="G165" s="91"/>
      <c r="H165" s="91"/>
      <c r="I165" s="91"/>
      <c r="J165" s="91"/>
      <c r="K165" s="91"/>
    </row>
    <row r="166" ht="18.75" customHeight="1">
      <c r="A166" s="91"/>
      <c r="B166" s="92"/>
      <c r="C166" s="91"/>
      <c r="D166" s="91"/>
      <c r="E166" s="91"/>
      <c r="F166" s="91"/>
      <c r="G166" s="91"/>
      <c r="H166" s="91"/>
      <c r="I166" s="91"/>
      <c r="J166" s="91"/>
      <c r="K166" s="91"/>
    </row>
    <row r="167" ht="18.75" customHeight="1">
      <c r="A167" s="91"/>
      <c r="B167" s="92"/>
      <c r="C167" s="91"/>
      <c r="D167" s="91"/>
      <c r="E167" s="91"/>
      <c r="F167" s="91"/>
      <c r="G167" s="91"/>
      <c r="H167" s="91"/>
      <c r="I167" s="91"/>
      <c r="J167" s="91"/>
      <c r="K167" s="91"/>
    </row>
    <row r="168" ht="18.75" customHeight="1">
      <c r="A168" s="91"/>
      <c r="B168" s="92"/>
      <c r="C168" s="91"/>
      <c r="D168" s="91"/>
      <c r="E168" s="91"/>
      <c r="F168" s="91"/>
      <c r="G168" s="91"/>
      <c r="H168" s="91"/>
      <c r="I168" s="91"/>
      <c r="J168" s="91"/>
      <c r="K168" s="91"/>
    </row>
    <row r="169" ht="18.75" customHeight="1">
      <c r="A169" s="91"/>
      <c r="B169" s="92"/>
      <c r="C169" s="91"/>
      <c r="D169" s="91"/>
      <c r="E169" s="91"/>
      <c r="F169" s="91"/>
      <c r="G169" s="91"/>
      <c r="H169" s="91"/>
      <c r="I169" s="91"/>
      <c r="J169" s="91"/>
      <c r="K169" s="91"/>
    </row>
    <row r="170" ht="18.75" customHeight="1">
      <c r="A170" s="91"/>
      <c r="B170" s="92"/>
      <c r="C170" s="91"/>
      <c r="D170" s="91"/>
      <c r="E170" s="91"/>
      <c r="F170" s="91"/>
      <c r="G170" s="91"/>
      <c r="H170" s="91"/>
      <c r="I170" s="91"/>
      <c r="J170" s="91"/>
      <c r="K170" s="91"/>
    </row>
    <row r="171" ht="18.75" customHeight="1">
      <c r="A171" s="91"/>
      <c r="B171" s="92"/>
      <c r="C171" s="91"/>
      <c r="D171" s="91"/>
      <c r="E171" s="91"/>
      <c r="F171" s="91"/>
      <c r="G171" s="91"/>
      <c r="H171" s="91"/>
      <c r="I171" s="91"/>
      <c r="J171" s="91"/>
      <c r="K171" s="91"/>
    </row>
    <row r="172" ht="18.75" customHeight="1">
      <c r="A172" s="91"/>
      <c r="B172" s="92"/>
      <c r="C172" s="91"/>
      <c r="D172" s="91"/>
      <c r="E172" s="91"/>
      <c r="F172" s="91"/>
      <c r="G172" s="91"/>
      <c r="H172" s="91"/>
      <c r="I172" s="91"/>
      <c r="J172" s="91"/>
      <c r="K172" s="91"/>
    </row>
    <row r="173" ht="18.75" customHeight="1">
      <c r="A173" s="91"/>
      <c r="B173" s="92"/>
      <c r="C173" s="91"/>
      <c r="D173" s="91"/>
      <c r="E173" s="91"/>
      <c r="F173" s="91"/>
      <c r="G173" s="91"/>
      <c r="H173" s="91"/>
      <c r="I173" s="91"/>
      <c r="J173" s="91"/>
      <c r="K173" s="91"/>
    </row>
    <row r="174" ht="18.75" customHeight="1">
      <c r="A174" s="91"/>
      <c r="B174" s="92"/>
      <c r="C174" s="91"/>
      <c r="D174" s="91"/>
      <c r="E174" s="91"/>
      <c r="F174" s="91"/>
      <c r="G174" s="91"/>
      <c r="H174" s="91"/>
      <c r="I174" s="91"/>
      <c r="J174" s="91"/>
      <c r="K174" s="91"/>
    </row>
    <row r="175" ht="18.75" customHeight="1">
      <c r="A175" s="91"/>
      <c r="B175" s="92"/>
      <c r="C175" s="91"/>
      <c r="D175" s="91"/>
      <c r="E175" s="91"/>
      <c r="F175" s="91"/>
      <c r="G175" s="91"/>
      <c r="H175" s="91"/>
      <c r="I175" s="91"/>
      <c r="J175" s="91"/>
      <c r="K175" s="91"/>
    </row>
    <row r="176" ht="18.75" customHeight="1">
      <c r="A176" s="91"/>
      <c r="B176" s="92"/>
      <c r="C176" s="91"/>
      <c r="D176" s="91"/>
      <c r="E176" s="91"/>
      <c r="F176" s="91"/>
      <c r="G176" s="91"/>
      <c r="H176" s="91"/>
      <c r="I176" s="91"/>
      <c r="J176" s="91"/>
      <c r="K176" s="91"/>
    </row>
    <row r="177" ht="18.75" customHeight="1">
      <c r="A177" s="91"/>
      <c r="B177" s="92"/>
      <c r="C177" s="91"/>
      <c r="D177" s="91"/>
      <c r="E177" s="91"/>
      <c r="F177" s="91"/>
      <c r="G177" s="91"/>
      <c r="H177" s="91"/>
      <c r="I177" s="91"/>
      <c r="J177" s="91"/>
      <c r="K177" s="91"/>
    </row>
    <row r="178" ht="18.75" customHeight="1">
      <c r="A178" s="91"/>
      <c r="B178" s="92"/>
      <c r="C178" s="91"/>
      <c r="D178" s="91"/>
      <c r="E178" s="91"/>
      <c r="F178" s="91"/>
      <c r="G178" s="91"/>
      <c r="H178" s="91"/>
      <c r="I178" s="91"/>
      <c r="J178" s="91"/>
      <c r="K178" s="91"/>
    </row>
    <row r="179" ht="18.75" customHeight="1">
      <c r="A179" s="91"/>
      <c r="B179" s="92"/>
      <c r="C179" s="91"/>
      <c r="D179" s="91"/>
      <c r="E179" s="91"/>
      <c r="F179" s="91"/>
      <c r="G179" s="91"/>
      <c r="H179" s="91"/>
      <c r="I179" s="91"/>
      <c r="J179" s="91"/>
      <c r="K179" s="91"/>
    </row>
    <row r="180" ht="18.75" customHeight="1">
      <c r="A180" s="91"/>
      <c r="B180" s="92"/>
      <c r="C180" s="91"/>
      <c r="D180" s="91"/>
      <c r="E180" s="91"/>
      <c r="F180" s="91"/>
      <c r="G180" s="91"/>
      <c r="H180" s="91"/>
      <c r="I180" s="91"/>
      <c r="J180" s="91"/>
      <c r="K180" s="91"/>
    </row>
    <row r="181" ht="18.75" customHeight="1">
      <c r="A181" s="91"/>
      <c r="B181" s="92"/>
      <c r="C181" s="91"/>
      <c r="D181" s="91"/>
      <c r="E181" s="91"/>
      <c r="F181" s="91"/>
      <c r="G181" s="91"/>
      <c r="H181" s="91"/>
      <c r="I181" s="91"/>
      <c r="J181" s="91"/>
      <c r="K181" s="91"/>
    </row>
    <row r="182" ht="18.75" customHeight="1">
      <c r="A182" s="91"/>
      <c r="B182" s="92"/>
      <c r="C182" s="91"/>
      <c r="D182" s="91"/>
      <c r="E182" s="91"/>
      <c r="F182" s="91"/>
      <c r="G182" s="91"/>
      <c r="H182" s="91"/>
      <c r="I182" s="91"/>
      <c r="J182" s="91"/>
      <c r="K182" s="91"/>
    </row>
    <row r="183" ht="18.75" customHeight="1">
      <c r="A183" s="91"/>
      <c r="B183" s="92"/>
      <c r="C183" s="91"/>
      <c r="D183" s="91"/>
      <c r="E183" s="91"/>
      <c r="F183" s="91"/>
      <c r="G183" s="91"/>
      <c r="H183" s="91"/>
      <c r="I183" s="91"/>
      <c r="J183" s="91"/>
      <c r="K183" s="91"/>
    </row>
    <row r="184" ht="18.75" customHeight="1">
      <c r="A184" s="91"/>
      <c r="B184" s="92"/>
      <c r="C184" s="91"/>
      <c r="D184" s="91"/>
      <c r="E184" s="91"/>
      <c r="F184" s="91"/>
      <c r="G184" s="91"/>
      <c r="H184" s="91"/>
      <c r="I184" s="91"/>
      <c r="J184" s="91"/>
      <c r="K184" s="91"/>
    </row>
    <row r="185" ht="18.75" customHeight="1">
      <c r="A185" s="91"/>
      <c r="B185" s="92"/>
      <c r="C185" s="91"/>
      <c r="D185" s="91"/>
      <c r="E185" s="91"/>
      <c r="F185" s="91"/>
      <c r="G185" s="91"/>
      <c r="H185" s="91"/>
      <c r="I185" s="91"/>
      <c r="J185" s="91"/>
      <c r="K185" s="91"/>
    </row>
    <row r="186" ht="18.75" customHeight="1">
      <c r="A186" s="91"/>
      <c r="B186" s="92"/>
      <c r="C186" s="91"/>
      <c r="D186" s="91"/>
      <c r="E186" s="91"/>
      <c r="F186" s="91"/>
      <c r="G186" s="91"/>
      <c r="H186" s="91"/>
      <c r="I186" s="91"/>
      <c r="J186" s="91"/>
      <c r="K186" s="91"/>
    </row>
    <row r="187" ht="18.75" customHeight="1">
      <c r="A187" s="91"/>
      <c r="B187" s="92"/>
      <c r="C187" s="91"/>
      <c r="D187" s="91"/>
      <c r="E187" s="91"/>
      <c r="F187" s="91"/>
      <c r="G187" s="91"/>
      <c r="H187" s="91"/>
      <c r="I187" s="91"/>
      <c r="J187" s="91"/>
      <c r="K187" s="91"/>
    </row>
    <row r="188" ht="18.75" customHeight="1">
      <c r="A188" s="91"/>
      <c r="B188" s="92"/>
      <c r="C188" s="91"/>
      <c r="D188" s="91"/>
      <c r="E188" s="91"/>
      <c r="F188" s="91"/>
      <c r="G188" s="91"/>
      <c r="H188" s="91"/>
      <c r="I188" s="91"/>
      <c r="J188" s="91"/>
      <c r="K188" s="91"/>
    </row>
    <row r="189" ht="18.75" customHeight="1">
      <c r="A189" s="91"/>
      <c r="B189" s="92"/>
      <c r="C189" s="91"/>
      <c r="D189" s="91"/>
      <c r="E189" s="91"/>
      <c r="F189" s="91"/>
      <c r="G189" s="91"/>
      <c r="H189" s="91"/>
      <c r="I189" s="91"/>
      <c r="J189" s="91"/>
      <c r="K189" s="91"/>
    </row>
    <row r="190" ht="18.75" customHeight="1">
      <c r="A190" s="91"/>
      <c r="B190" s="92"/>
      <c r="C190" s="91"/>
      <c r="D190" s="91"/>
      <c r="E190" s="91"/>
      <c r="F190" s="91"/>
      <c r="G190" s="91"/>
      <c r="H190" s="91"/>
      <c r="I190" s="91"/>
      <c r="J190" s="91"/>
      <c r="K190" s="91"/>
    </row>
    <row r="191" ht="18.75" customHeight="1">
      <c r="A191" s="91"/>
      <c r="B191" s="92"/>
      <c r="C191" s="91"/>
      <c r="D191" s="91"/>
      <c r="E191" s="91"/>
      <c r="F191" s="91"/>
      <c r="G191" s="91"/>
      <c r="H191" s="91"/>
      <c r="I191" s="91"/>
      <c r="J191" s="91"/>
      <c r="K191" s="91"/>
    </row>
    <row r="192" ht="18.75" customHeight="1">
      <c r="A192" s="91"/>
      <c r="B192" s="92"/>
      <c r="C192" s="91"/>
      <c r="D192" s="91"/>
      <c r="E192" s="91"/>
      <c r="F192" s="91"/>
      <c r="G192" s="91"/>
      <c r="H192" s="91"/>
      <c r="I192" s="91"/>
      <c r="J192" s="91"/>
      <c r="K192" s="91"/>
    </row>
    <row r="193" ht="18.75" customHeight="1">
      <c r="A193" s="91"/>
      <c r="B193" s="92"/>
      <c r="C193" s="91"/>
      <c r="D193" s="91"/>
      <c r="E193" s="91"/>
      <c r="F193" s="91"/>
      <c r="G193" s="91"/>
      <c r="H193" s="91"/>
      <c r="I193" s="91"/>
      <c r="J193" s="91"/>
      <c r="K193" s="91"/>
    </row>
    <row r="194" ht="18.75" customHeight="1">
      <c r="A194" s="91"/>
      <c r="B194" s="92"/>
      <c r="C194" s="91"/>
      <c r="D194" s="91"/>
      <c r="E194" s="91"/>
      <c r="F194" s="91"/>
      <c r="G194" s="91"/>
      <c r="H194" s="91"/>
      <c r="I194" s="91"/>
      <c r="J194" s="91"/>
      <c r="K194" s="91"/>
    </row>
    <row r="195" ht="18.75" customHeight="1">
      <c r="A195" s="91"/>
      <c r="B195" s="92"/>
      <c r="C195" s="91"/>
      <c r="D195" s="91"/>
      <c r="E195" s="91"/>
      <c r="F195" s="91"/>
      <c r="G195" s="91"/>
      <c r="H195" s="91"/>
      <c r="I195" s="91"/>
      <c r="J195" s="91"/>
      <c r="K195" s="91"/>
    </row>
    <row r="196" ht="18.75" customHeight="1">
      <c r="A196" s="91"/>
      <c r="B196" s="92"/>
      <c r="C196" s="91"/>
      <c r="D196" s="91"/>
      <c r="E196" s="91"/>
      <c r="F196" s="91"/>
      <c r="G196" s="91"/>
      <c r="H196" s="91"/>
      <c r="I196" s="91"/>
      <c r="J196" s="91"/>
      <c r="K196" s="91"/>
    </row>
    <row r="197" ht="18.75" customHeight="1">
      <c r="A197" s="91"/>
      <c r="B197" s="92"/>
      <c r="C197" s="91"/>
      <c r="D197" s="91"/>
      <c r="E197" s="91"/>
      <c r="F197" s="91"/>
      <c r="G197" s="91"/>
      <c r="H197" s="91"/>
      <c r="I197" s="91"/>
      <c r="J197" s="91"/>
      <c r="K197" s="91"/>
    </row>
    <row r="198" ht="18.75" customHeight="1">
      <c r="A198" s="91"/>
      <c r="B198" s="92"/>
      <c r="C198" s="91"/>
      <c r="D198" s="91"/>
      <c r="E198" s="91"/>
      <c r="F198" s="91"/>
      <c r="G198" s="91"/>
      <c r="H198" s="91"/>
      <c r="I198" s="91"/>
      <c r="J198" s="91"/>
      <c r="K198" s="91"/>
    </row>
    <row r="199" ht="18.75" customHeight="1">
      <c r="A199" s="91"/>
      <c r="B199" s="92"/>
      <c r="C199" s="91"/>
      <c r="D199" s="91"/>
      <c r="E199" s="91"/>
      <c r="F199" s="91"/>
      <c r="G199" s="91"/>
      <c r="H199" s="91"/>
      <c r="I199" s="91"/>
      <c r="J199" s="91"/>
      <c r="K199" s="91"/>
    </row>
    <row r="200" ht="18.75" customHeight="1">
      <c r="G200" s="91"/>
      <c r="H200" s="91"/>
      <c r="I200" s="91"/>
      <c r="J200" s="91"/>
      <c r="K200" s="91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62:E199">
      <formula1>"1.1,1.2,1.3,2.1,2.2,2.3,2.4,2.5,2.6,2.7,2.8,2.9,2.11,2.12"</formula1>
    </dataValidation>
    <dataValidation type="list" allowBlank="1" showErrorMessage="1" sqref="E8:E61">
      <formula1>"1,1,1,2,2,1,2,11,2,12,2,2,2,3,2,5,2,6,2,7,2,8,2,9,2,4,1,3"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5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9" t="s">
        <v>20</v>
      </c>
      <c r="F1" s="10"/>
      <c r="G1" s="11"/>
      <c r="H1" s="97" t="s">
        <v>119</v>
      </c>
      <c r="I1" s="13"/>
      <c r="J1" s="14"/>
      <c r="K1" s="11"/>
    </row>
    <row r="2" ht="18.75" customHeight="1">
      <c r="A2" s="36" t="s">
        <v>181</v>
      </c>
      <c r="G2" s="11"/>
      <c r="H2" s="53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69942464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33" t="s">
        <v>121</v>
      </c>
      <c r="J4" s="25">
        <f>SUMIF($E$8:$E$54,1.1,$C$8:$C$45)</f>
        <v>69942464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33" t="s">
        <v>122</v>
      </c>
      <c r="J5" s="25">
        <f>SUMIF($E$8:$E$54,1.2,$C$8:$C$45)</f>
        <v>0</v>
      </c>
      <c r="K5" s="11"/>
    </row>
    <row r="6" ht="18.75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SUMIF($E$8:$E$54,1.3,$C$8:$C$45)</f>
        <v>0</v>
      </c>
      <c r="K6" s="11"/>
    </row>
    <row r="7" ht="21.75" customHeight="1">
      <c r="A7" s="36"/>
      <c r="B7" s="37"/>
      <c r="C7" s="42">
        <f t="shared" ref="C7:D7" si="1">SUM(C8:C100)</f>
        <v>69942464</v>
      </c>
      <c r="D7" s="42">
        <f t="shared" si="1"/>
        <v>408832810</v>
      </c>
      <c r="E7" s="39"/>
      <c r="F7" s="40"/>
      <c r="G7" s="40" t="s">
        <v>40</v>
      </c>
      <c r="H7" s="41"/>
      <c r="I7" s="40"/>
      <c r="J7" s="42"/>
      <c r="K7" s="40"/>
    </row>
    <row r="8" ht="18.75" customHeight="1">
      <c r="A8" s="48"/>
      <c r="B8" s="83">
        <v>45874.0</v>
      </c>
      <c r="C8" s="103"/>
      <c r="D8" s="103">
        <v>9.3072308E7</v>
      </c>
      <c r="E8" s="110">
        <v>2.2</v>
      </c>
      <c r="F8" s="58" t="s">
        <v>182</v>
      </c>
      <c r="G8" s="11"/>
      <c r="H8" s="23">
        <v>2.0</v>
      </c>
      <c r="I8" s="53" t="s">
        <v>45</v>
      </c>
      <c r="J8" s="25">
        <f>SUM(J9:J19)</f>
        <v>408832810</v>
      </c>
      <c r="K8" s="11"/>
    </row>
    <row r="9" ht="18.75" customHeight="1">
      <c r="A9" s="55"/>
      <c r="B9" s="83">
        <v>45874.0</v>
      </c>
      <c r="C9" s="103"/>
      <c r="D9" s="103">
        <v>1.4E7</v>
      </c>
      <c r="E9" s="110">
        <v>2.6</v>
      </c>
      <c r="F9" s="58" t="s">
        <v>183</v>
      </c>
      <c r="G9" s="56"/>
      <c r="H9" s="57">
        <v>2.1</v>
      </c>
      <c r="I9" s="58" t="s">
        <v>49</v>
      </c>
      <c r="J9" s="59">
        <f>SUMIF($E$8:$E$54,2.1,$D$8:$D$45)</f>
        <v>0</v>
      </c>
      <c r="K9" s="11"/>
    </row>
    <row r="10" ht="18.75" customHeight="1">
      <c r="A10" s="55"/>
      <c r="B10" s="83">
        <v>45874.0</v>
      </c>
      <c r="C10" s="103"/>
      <c r="D10" s="103">
        <v>1400000.0</v>
      </c>
      <c r="E10" s="110">
        <v>2.6</v>
      </c>
      <c r="F10" s="58" t="s">
        <v>184</v>
      </c>
      <c r="G10" s="56"/>
      <c r="H10" s="57">
        <v>2.2</v>
      </c>
      <c r="I10" s="58" t="s">
        <v>53</v>
      </c>
      <c r="J10" s="25">
        <f>SUMIF($E$8:$E$54,2.2,$D$8:$D$45)</f>
        <v>93072308</v>
      </c>
      <c r="K10" s="11"/>
    </row>
    <row r="11" ht="18.75" customHeight="1">
      <c r="A11" s="55"/>
      <c r="B11" s="83">
        <v>45874.0</v>
      </c>
      <c r="C11" s="103"/>
      <c r="D11" s="103">
        <v>2388887.0</v>
      </c>
      <c r="E11" s="110">
        <v>2.6</v>
      </c>
      <c r="F11" s="58" t="s">
        <v>185</v>
      </c>
      <c r="G11" s="56"/>
      <c r="H11" s="57">
        <v>2.3</v>
      </c>
      <c r="I11" s="58" t="s">
        <v>56</v>
      </c>
      <c r="J11" s="25">
        <f>SUMIF($E$8:$E$54,2.3,$D$8:$D$45)</f>
        <v>4039200</v>
      </c>
      <c r="K11" s="11"/>
    </row>
    <row r="12" ht="18.75" customHeight="1">
      <c r="A12" s="55"/>
      <c r="B12" s="83">
        <v>45874.0</v>
      </c>
      <c r="C12" s="103"/>
      <c r="D12" s="103">
        <v>191112.0</v>
      </c>
      <c r="E12" s="110">
        <v>2.6</v>
      </c>
      <c r="F12" s="58" t="s">
        <v>186</v>
      </c>
      <c r="G12" s="56"/>
      <c r="H12" s="57">
        <v>2.4</v>
      </c>
      <c r="I12" s="58" t="s">
        <v>59</v>
      </c>
      <c r="J12" s="25">
        <f>SUMIF($E$8:$E$54,2.4,$D$8:$D$45)</f>
        <v>0</v>
      </c>
      <c r="K12" s="11"/>
    </row>
    <row r="13" ht="18.75" customHeight="1">
      <c r="A13" s="55"/>
      <c r="B13" s="83">
        <v>45874.0</v>
      </c>
      <c r="C13" s="103"/>
      <c r="D13" s="103">
        <v>2789000.0</v>
      </c>
      <c r="E13" s="110">
        <v>2.7</v>
      </c>
      <c r="F13" s="58" t="s">
        <v>187</v>
      </c>
      <c r="G13" s="56"/>
      <c r="H13" s="57">
        <v>2.5</v>
      </c>
      <c r="I13" s="58" t="s">
        <v>64</v>
      </c>
      <c r="J13" s="25">
        <f>SUMIF($E$8:$E$54,2.5,$D$8:$D$45)</f>
        <v>245163925</v>
      </c>
      <c r="K13" s="11"/>
    </row>
    <row r="14" ht="18.75" customHeight="1">
      <c r="A14" s="55"/>
      <c r="B14" s="83">
        <v>45875.0</v>
      </c>
      <c r="C14" s="103"/>
      <c r="D14" s="103">
        <v>9297000.0</v>
      </c>
      <c r="E14" s="110">
        <v>2.8</v>
      </c>
      <c r="F14" s="105" t="s">
        <v>166</v>
      </c>
      <c r="G14" s="56"/>
      <c r="H14" s="57">
        <v>2.6</v>
      </c>
      <c r="I14" s="58" t="s">
        <v>66</v>
      </c>
      <c r="J14" s="25">
        <f>SUMIF($E$8:$E$54,2.6,$D$8:$D$45)</f>
        <v>17979999</v>
      </c>
      <c r="K14" s="11"/>
    </row>
    <row r="15" ht="18.75" customHeight="1">
      <c r="A15" s="55"/>
      <c r="B15" s="83">
        <v>45875.0</v>
      </c>
      <c r="C15" s="103"/>
      <c r="D15" s="103">
        <v>4203000.0</v>
      </c>
      <c r="E15" s="110">
        <v>2.8</v>
      </c>
      <c r="F15" s="105" t="s">
        <v>167</v>
      </c>
      <c r="G15" s="56"/>
      <c r="H15" s="57">
        <v>2.7</v>
      </c>
      <c r="I15" s="58" t="s">
        <v>69</v>
      </c>
      <c r="J15" s="25">
        <f>SUMIF($E$8:$E$54,2.7,$D$8:$D$45)</f>
        <v>2789000</v>
      </c>
      <c r="K15" s="11"/>
    </row>
    <row r="16" ht="18.75" customHeight="1">
      <c r="A16" s="55"/>
      <c r="B16" s="83">
        <v>45875.0</v>
      </c>
      <c r="C16" s="103"/>
      <c r="D16" s="103">
        <v>2288378.0</v>
      </c>
      <c r="E16" s="110">
        <v>2.11</v>
      </c>
      <c r="F16" s="105" t="s">
        <v>188</v>
      </c>
      <c r="G16" s="56"/>
      <c r="H16" s="57">
        <v>2.8</v>
      </c>
      <c r="I16" s="58" t="s">
        <v>71</v>
      </c>
      <c r="J16" s="25">
        <f>SUMIF($E$8:$E$54,2.8,$D$8:$D$45)</f>
        <v>13500000</v>
      </c>
      <c r="K16" s="11"/>
    </row>
    <row r="17" ht="18.75" customHeight="1">
      <c r="A17" s="55"/>
      <c r="B17" s="83">
        <v>45877.0</v>
      </c>
      <c r="C17" s="103"/>
      <c r="D17" s="103">
        <v>2000000.0</v>
      </c>
      <c r="E17" s="110">
        <v>2.5</v>
      </c>
      <c r="F17" s="105" t="s">
        <v>189</v>
      </c>
      <c r="G17" s="56"/>
      <c r="H17" s="57">
        <v>2.9</v>
      </c>
      <c r="I17" s="58" t="s">
        <v>74</v>
      </c>
      <c r="J17" s="25">
        <f>SUMIF($E$8:$E$54,2.9,$D$8:$D$45)</f>
        <v>0</v>
      </c>
      <c r="K17" s="11"/>
    </row>
    <row r="18" ht="18.75" customHeight="1">
      <c r="A18" s="55"/>
      <c r="B18" s="83">
        <v>45894.0</v>
      </c>
      <c r="C18" s="103"/>
      <c r="D18" s="103">
        <v>990000.0</v>
      </c>
      <c r="E18" s="110">
        <v>2.5</v>
      </c>
      <c r="F18" s="105" t="s">
        <v>190</v>
      </c>
      <c r="G18" s="56"/>
      <c r="H18" s="57">
        <v>2.11</v>
      </c>
      <c r="I18" s="58" t="s">
        <v>77</v>
      </c>
      <c r="J18" s="25">
        <f>SUMIF($E$8:$E$54,2.11,$D$8:$D$45)</f>
        <v>2288378</v>
      </c>
      <c r="K18" s="11"/>
    </row>
    <row r="19" ht="18.75" customHeight="1">
      <c r="A19" s="55"/>
      <c r="B19" s="83">
        <v>45894.0</v>
      </c>
      <c r="C19" s="103"/>
      <c r="D19" s="103">
        <v>2.5219149E7</v>
      </c>
      <c r="E19" s="110">
        <v>2.5</v>
      </c>
      <c r="F19" s="105" t="s">
        <v>191</v>
      </c>
      <c r="G19" s="56"/>
      <c r="H19" s="57">
        <v>2.12</v>
      </c>
      <c r="I19" s="58" t="s">
        <v>80</v>
      </c>
      <c r="J19" s="25">
        <f>SUMIF($E$8:$E$54,2.12,$D$8:$D$45)</f>
        <v>30000000</v>
      </c>
      <c r="K19" s="11"/>
    </row>
    <row r="20" ht="18.75" customHeight="1">
      <c r="A20" s="55"/>
      <c r="B20" s="83">
        <v>45897.0</v>
      </c>
      <c r="C20" s="103"/>
      <c r="D20" s="103">
        <v>990000.0</v>
      </c>
      <c r="E20" s="110">
        <v>2.5</v>
      </c>
      <c r="F20" s="105" t="s">
        <v>192</v>
      </c>
      <c r="G20" s="56"/>
      <c r="H20" s="73">
        <v>3.0</v>
      </c>
      <c r="I20" s="74" t="s">
        <v>82</v>
      </c>
      <c r="J20" s="75">
        <f>J3-J8</f>
        <v>-338890346</v>
      </c>
      <c r="K20" s="11"/>
    </row>
    <row r="21" ht="18.75" customHeight="1">
      <c r="A21" s="55"/>
      <c r="B21" s="83">
        <v>45897.0</v>
      </c>
      <c r="C21" s="103"/>
      <c r="D21" s="103">
        <v>990000.0</v>
      </c>
      <c r="E21" s="110">
        <v>2.5</v>
      </c>
      <c r="F21" s="58" t="s">
        <v>193</v>
      </c>
      <c r="G21" s="11"/>
      <c r="H21" s="11"/>
      <c r="I21" s="11"/>
      <c r="J21" s="11"/>
      <c r="K21" s="11"/>
    </row>
    <row r="22" ht="18.75" customHeight="1">
      <c r="A22" s="55"/>
      <c r="B22" s="83">
        <v>45897.0</v>
      </c>
      <c r="C22" s="103"/>
      <c r="D22" s="103">
        <v>990000.0</v>
      </c>
      <c r="E22" s="110">
        <v>2.5</v>
      </c>
      <c r="F22" s="58" t="s">
        <v>194</v>
      </c>
      <c r="G22" s="11"/>
      <c r="H22" s="97" t="s">
        <v>132</v>
      </c>
      <c r="I22" s="13"/>
      <c r="J22" s="14"/>
      <c r="K22" s="11"/>
    </row>
    <row r="23" ht="18.75" customHeight="1">
      <c r="A23" s="55"/>
      <c r="B23" s="83">
        <v>45897.0</v>
      </c>
      <c r="C23" s="103">
        <v>6.3584058E7</v>
      </c>
      <c r="D23" s="103"/>
      <c r="E23" s="110">
        <v>1.1</v>
      </c>
      <c r="F23" s="58" t="s">
        <v>195</v>
      </c>
      <c r="G23" s="56"/>
      <c r="H23" s="58"/>
      <c r="I23" s="74" t="s">
        <v>24</v>
      </c>
      <c r="J23" s="57" t="s">
        <v>25</v>
      </c>
      <c r="K23" s="11"/>
    </row>
    <row r="24" ht="18.75" customHeight="1">
      <c r="A24" s="55"/>
      <c r="B24" s="83">
        <v>45897.0</v>
      </c>
      <c r="C24" s="103">
        <v>6358406.0</v>
      </c>
      <c r="D24" s="103"/>
      <c r="E24" s="110">
        <v>1.1</v>
      </c>
      <c r="F24" s="58" t="s">
        <v>196</v>
      </c>
      <c r="G24" s="56"/>
      <c r="H24" s="74" t="s">
        <v>86</v>
      </c>
      <c r="I24" s="74" t="s">
        <v>87</v>
      </c>
      <c r="J24" s="80">
        <v>0.0</v>
      </c>
      <c r="K24" s="11"/>
    </row>
    <row r="25" ht="18.75" customHeight="1">
      <c r="A25" s="55"/>
      <c r="B25" s="83">
        <v>45890.0</v>
      </c>
      <c r="C25" s="103"/>
      <c r="D25" s="103">
        <v>9.4121044E7</v>
      </c>
      <c r="E25" s="110">
        <v>2.5</v>
      </c>
      <c r="F25" s="58" t="s">
        <v>197</v>
      </c>
      <c r="G25" s="56"/>
      <c r="H25" s="74" t="s">
        <v>88</v>
      </c>
      <c r="I25" s="74" t="s">
        <v>89</v>
      </c>
      <c r="J25" s="82">
        <f>SUM(J26:J28)</f>
        <v>69942464</v>
      </c>
      <c r="K25" s="11"/>
    </row>
    <row r="26" ht="18.75" customHeight="1">
      <c r="A26" s="55"/>
      <c r="B26" s="83">
        <v>45890.0</v>
      </c>
      <c r="C26" s="103"/>
      <c r="D26" s="103">
        <v>9412104.0</v>
      </c>
      <c r="E26" s="110">
        <v>2.5</v>
      </c>
      <c r="F26" s="58" t="s">
        <v>198</v>
      </c>
      <c r="G26" s="56"/>
      <c r="H26" s="58"/>
      <c r="I26" s="58" t="s">
        <v>90</v>
      </c>
      <c r="J26" s="82">
        <f>J3</f>
        <v>69942464</v>
      </c>
      <c r="K26" s="11"/>
    </row>
    <row r="27" ht="18.75" customHeight="1">
      <c r="A27" s="55"/>
      <c r="B27" s="83">
        <v>45888.0</v>
      </c>
      <c r="C27" s="103"/>
      <c r="D27" s="103">
        <v>1.00410571E8</v>
      </c>
      <c r="E27" s="110">
        <v>2.5</v>
      </c>
      <c r="F27" s="58" t="s">
        <v>199</v>
      </c>
      <c r="G27" s="56"/>
      <c r="H27" s="58"/>
      <c r="I27" s="58" t="s">
        <v>91</v>
      </c>
      <c r="J27" s="74"/>
      <c r="K27" s="11"/>
    </row>
    <row r="28" ht="18.75" customHeight="1">
      <c r="A28" s="55"/>
      <c r="B28" s="83">
        <v>45888.0</v>
      </c>
      <c r="C28" s="103"/>
      <c r="D28" s="103">
        <v>1.0041057E7</v>
      </c>
      <c r="E28" s="110">
        <v>2.5</v>
      </c>
      <c r="F28" s="58" t="s">
        <v>200</v>
      </c>
      <c r="G28" s="56"/>
      <c r="H28" s="58"/>
      <c r="I28" s="58" t="s">
        <v>92</v>
      </c>
      <c r="J28" s="74"/>
      <c r="K28" s="11"/>
    </row>
    <row r="29" ht="18.75" customHeight="1">
      <c r="A29" s="55"/>
      <c r="B29" s="83">
        <v>45898.0</v>
      </c>
      <c r="C29" s="103"/>
      <c r="D29" s="103">
        <v>3740000.0</v>
      </c>
      <c r="E29" s="110">
        <v>2.3</v>
      </c>
      <c r="F29" s="58" t="s">
        <v>201</v>
      </c>
      <c r="G29" s="56"/>
      <c r="H29" s="74" t="s">
        <v>93</v>
      </c>
      <c r="I29" s="74" t="s">
        <v>94</v>
      </c>
      <c r="J29" s="82">
        <f>SUM(J30:J41)</f>
        <v>408832810</v>
      </c>
      <c r="K29" s="11"/>
    </row>
    <row r="30" ht="18.75" customHeight="1">
      <c r="A30" s="55"/>
      <c r="B30" s="83">
        <v>45898.0</v>
      </c>
      <c r="C30" s="103"/>
      <c r="D30" s="103">
        <v>299200.0</v>
      </c>
      <c r="E30" s="110">
        <v>2.3</v>
      </c>
      <c r="F30" s="58" t="s">
        <v>202</v>
      </c>
      <c r="G30" s="56"/>
      <c r="H30" s="57">
        <v>2.1</v>
      </c>
      <c r="I30" s="58" t="s">
        <v>49</v>
      </c>
      <c r="J30" s="82">
        <f>J9</f>
        <v>0</v>
      </c>
      <c r="K30" s="11"/>
    </row>
    <row r="31" ht="18.75" customHeight="1">
      <c r="A31" s="55"/>
      <c r="B31" s="83">
        <v>45882.0</v>
      </c>
      <c r="C31" s="103"/>
      <c r="D31" s="103">
        <v>3.0E7</v>
      </c>
      <c r="E31" s="110">
        <v>2.12</v>
      </c>
      <c r="F31" s="58" t="s">
        <v>203</v>
      </c>
      <c r="G31" s="56"/>
      <c r="H31" s="28">
        <v>1.3</v>
      </c>
      <c r="I31" s="58" t="s">
        <v>96</v>
      </c>
      <c r="J31" s="80"/>
      <c r="K31" s="11"/>
    </row>
    <row r="32" ht="18.75" customHeight="1">
      <c r="A32" s="55"/>
      <c r="B32" s="83"/>
      <c r="C32" s="103"/>
      <c r="D32" s="103"/>
      <c r="E32" s="110"/>
      <c r="F32" s="58"/>
      <c r="G32" s="56"/>
      <c r="H32" s="57">
        <v>2.2</v>
      </c>
      <c r="I32" s="58" t="s">
        <v>53</v>
      </c>
      <c r="J32" s="82">
        <f t="shared" ref="J32:J41" si="2">J10</f>
        <v>93072308</v>
      </c>
      <c r="K32" s="11"/>
    </row>
    <row r="33" ht="18.75" customHeight="1">
      <c r="A33" s="55"/>
      <c r="B33" s="83"/>
      <c r="C33" s="103"/>
      <c r="D33" s="103"/>
      <c r="E33" s="110"/>
      <c r="F33" s="58"/>
      <c r="G33" s="56"/>
      <c r="H33" s="57">
        <v>2.3</v>
      </c>
      <c r="I33" s="58" t="s">
        <v>56</v>
      </c>
      <c r="J33" s="82">
        <f t="shared" si="2"/>
        <v>4039200</v>
      </c>
      <c r="K33" s="11"/>
    </row>
    <row r="34" ht="18.75" customHeight="1">
      <c r="A34" s="55"/>
      <c r="B34" s="83"/>
      <c r="C34" s="103"/>
      <c r="D34" s="103"/>
      <c r="E34" s="110"/>
      <c r="F34" s="58"/>
      <c r="G34" s="56"/>
      <c r="H34" s="57">
        <v>2.4</v>
      </c>
      <c r="I34" s="58" t="s">
        <v>59</v>
      </c>
      <c r="J34" s="82">
        <f t="shared" si="2"/>
        <v>0</v>
      </c>
      <c r="K34" s="11"/>
    </row>
    <row r="35" ht="18.75" customHeight="1">
      <c r="A35" s="55"/>
      <c r="B35" s="83"/>
      <c r="C35" s="103"/>
      <c r="D35" s="103"/>
      <c r="E35" s="110"/>
      <c r="F35" s="58"/>
      <c r="G35" s="56"/>
      <c r="H35" s="57">
        <v>2.5</v>
      </c>
      <c r="I35" s="58" t="s">
        <v>64</v>
      </c>
      <c r="J35" s="82">
        <f t="shared" si="2"/>
        <v>245163925</v>
      </c>
      <c r="K35" s="11"/>
    </row>
    <row r="36" ht="18.75" customHeight="1">
      <c r="A36" s="55"/>
      <c r="B36" s="83"/>
      <c r="C36" s="103"/>
      <c r="D36" s="103"/>
      <c r="E36" s="110"/>
      <c r="F36" s="58"/>
      <c r="G36" s="56"/>
      <c r="H36" s="57">
        <v>2.6</v>
      </c>
      <c r="I36" s="58" t="s">
        <v>66</v>
      </c>
      <c r="J36" s="82">
        <f t="shared" si="2"/>
        <v>17979999</v>
      </c>
      <c r="K36" s="11"/>
    </row>
    <row r="37" ht="18.75" customHeight="1">
      <c r="A37" s="55"/>
      <c r="B37" s="83"/>
      <c r="C37" s="103"/>
      <c r="D37" s="103"/>
      <c r="E37" s="110"/>
      <c r="F37" s="58"/>
      <c r="G37" s="56"/>
      <c r="H37" s="57">
        <v>2.7</v>
      </c>
      <c r="I37" s="58" t="s">
        <v>69</v>
      </c>
      <c r="J37" s="82">
        <f t="shared" si="2"/>
        <v>2789000</v>
      </c>
      <c r="K37" s="11"/>
    </row>
    <row r="38" ht="18.75" customHeight="1">
      <c r="A38" s="55"/>
      <c r="B38" s="83"/>
      <c r="C38" s="103"/>
      <c r="D38" s="103"/>
      <c r="E38" s="110"/>
      <c r="F38" s="58"/>
      <c r="G38" s="56"/>
      <c r="H38" s="57">
        <v>2.8</v>
      </c>
      <c r="I38" s="58" t="s">
        <v>71</v>
      </c>
      <c r="J38" s="82">
        <f t="shared" si="2"/>
        <v>13500000</v>
      </c>
      <c r="K38" s="11"/>
    </row>
    <row r="39" ht="18.75" customHeight="1">
      <c r="A39" s="55"/>
      <c r="B39" s="83"/>
      <c r="C39" s="103"/>
      <c r="D39" s="103"/>
      <c r="E39" s="110"/>
      <c r="F39" s="58"/>
      <c r="G39" s="56"/>
      <c r="H39" s="57">
        <v>2.9</v>
      </c>
      <c r="I39" s="58" t="s">
        <v>74</v>
      </c>
      <c r="J39" s="82">
        <f t="shared" si="2"/>
        <v>0</v>
      </c>
      <c r="K39" s="11"/>
    </row>
    <row r="40" ht="18.75" customHeight="1">
      <c r="A40" s="55"/>
      <c r="B40" s="83"/>
      <c r="C40" s="103"/>
      <c r="D40" s="103"/>
      <c r="E40" s="110"/>
      <c r="F40" s="58"/>
      <c r="G40" s="56"/>
      <c r="H40" s="57">
        <v>2.11</v>
      </c>
      <c r="I40" s="58" t="s">
        <v>77</v>
      </c>
      <c r="J40" s="82">
        <f t="shared" si="2"/>
        <v>2288378</v>
      </c>
      <c r="K40" s="11"/>
    </row>
    <row r="41" ht="18.75" customHeight="1">
      <c r="A41" s="55"/>
      <c r="B41" s="83"/>
      <c r="C41" s="103"/>
      <c r="D41" s="103"/>
      <c r="E41" s="110"/>
      <c r="F41" s="58"/>
      <c r="G41" s="56"/>
      <c r="H41" s="57">
        <v>2.12</v>
      </c>
      <c r="I41" s="58" t="s">
        <v>97</v>
      </c>
      <c r="J41" s="82">
        <f t="shared" si="2"/>
        <v>30000000</v>
      </c>
      <c r="K41" s="11"/>
    </row>
    <row r="42" ht="18.75" customHeight="1">
      <c r="A42" s="55"/>
      <c r="B42" s="83"/>
      <c r="C42" s="103"/>
      <c r="D42" s="103"/>
      <c r="E42" s="110"/>
      <c r="F42" s="58"/>
      <c r="G42" s="56"/>
      <c r="H42" s="74" t="s">
        <v>98</v>
      </c>
      <c r="I42" s="74" t="s">
        <v>5</v>
      </c>
      <c r="J42" s="25">
        <f>J24+J25-J29</f>
        <v>-338890346</v>
      </c>
      <c r="K42" s="11"/>
    </row>
    <row r="43" ht="18.75" customHeight="1">
      <c r="A43" s="55"/>
      <c r="B43" s="83"/>
      <c r="C43" s="103"/>
      <c r="D43" s="103"/>
      <c r="E43" s="110"/>
      <c r="F43" s="58"/>
      <c r="G43" s="11"/>
      <c r="H43" s="11"/>
      <c r="I43" s="11"/>
      <c r="J43" s="11"/>
      <c r="K43" s="11"/>
    </row>
    <row r="44" ht="18.75" customHeight="1">
      <c r="A44" s="55"/>
      <c r="B44" s="83"/>
      <c r="C44" s="103"/>
      <c r="D44" s="103"/>
      <c r="E44" s="110"/>
      <c r="F44" s="58"/>
      <c r="G44" s="11"/>
      <c r="H44" s="86" t="s">
        <v>99</v>
      </c>
      <c r="I44" s="87"/>
      <c r="J44" s="87"/>
      <c r="K44" s="21"/>
    </row>
    <row r="45" ht="18.75" customHeight="1">
      <c r="A45" s="55"/>
      <c r="B45" s="83"/>
      <c r="C45" s="103"/>
      <c r="D45" s="103"/>
      <c r="E45" s="110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/>
      <c r="B46" s="83"/>
      <c r="C46" s="103"/>
      <c r="D46" s="103"/>
      <c r="E46" s="110"/>
      <c r="F46" s="58"/>
      <c r="G46" s="56"/>
      <c r="H46" s="74" t="s">
        <v>86</v>
      </c>
      <c r="I46" s="74" t="s">
        <v>87</v>
      </c>
      <c r="J46" s="82">
        <f>J42</f>
        <v>-338890346</v>
      </c>
      <c r="K46" s="89"/>
    </row>
    <row r="47" ht="18.75" customHeight="1">
      <c r="A47" s="55"/>
      <c r="B47" s="83"/>
      <c r="C47" s="103"/>
      <c r="D47" s="103"/>
      <c r="E47" s="110"/>
      <c r="F47" s="58"/>
      <c r="G47" s="56"/>
      <c r="H47" s="74" t="s">
        <v>88</v>
      </c>
      <c r="I47" s="74" t="s">
        <v>89</v>
      </c>
      <c r="J47" s="82">
        <f>SUM(J48:J54)</f>
        <v>0</v>
      </c>
      <c r="K47" s="89"/>
    </row>
    <row r="48" ht="18.75" customHeight="1">
      <c r="A48" s="55"/>
      <c r="B48" s="83"/>
      <c r="C48" s="58"/>
      <c r="D48" s="103"/>
      <c r="E48" s="110"/>
      <c r="F48" s="58"/>
      <c r="G48" s="56"/>
      <c r="H48" s="58"/>
      <c r="I48" s="58"/>
      <c r="J48" s="90"/>
      <c r="K48" s="89"/>
    </row>
    <row r="49" ht="18.75" customHeight="1">
      <c r="A49" s="55"/>
      <c r="B49" s="83"/>
      <c r="C49" s="58"/>
      <c r="D49" s="103"/>
      <c r="E49" s="110"/>
      <c r="F49" s="58"/>
      <c r="G49" s="56"/>
      <c r="H49" s="58"/>
      <c r="I49" s="58"/>
      <c r="J49" s="90"/>
      <c r="K49" s="89"/>
    </row>
    <row r="50" ht="18.75" customHeight="1">
      <c r="A50" s="55"/>
      <c r="B50" s="83"/>
      <c r="C50" s="58"/>
      <c r="D50" s="103"/>
      <c r="E50" s="57"/>
      <c r="F50" s="58"/>
      <c r="G50" s="56"/>
      <c r="H50" s="58"/>
      <c r="I50" s="58"/>
      <c r="J50" s="90"/>
      <c r="K50" s="89"/>
    </row>
    <row r="51" ht="18.75" customHeight="1">
      <c r="A51" s="55"/>
      <c r="B51" s="83"/>
      <c r="C51" s="58"/>
      <c r="D51" s="103"/>
      <c r="E51" s="57"/>
      <c r="F51" s="58"/>
      <c r="G51" s="56"/>
      <c r="H51" s="58"/>
      <c r="I51" s="58"/>
      <c r="J51" s="90"/>
      <c r="K51" s="89"/>
    </row>
    <row r="52" ht="18.75" customHeight="1">
      <c r="A52" s="55"/>
      <c r="B52" s="83"/>
      <c r="C52" s="58"/>
      <c r="D52" s="103"/>
      <c r="E52" s="57"/>
      <c r="F52" s="58"/>
      <c r="G52" s="56"/>
      <c r="H52" s="58"/>
      <c r="I52" s="58"/>
      <c r="J52" s="74"/>
      <c r="K52" s="89"/>
    </row>
    <row r="53" ht="18.75" customHeight="1">
      <c r="A53" s="55"/>
      <c r="B53" s="83"/>
      <c r="C53" s="58"/>
      <c r="D53" s="103"/>
      <c r="E53" s="57"/>
      <c r="F53" s="58"/>
      <c r="G53" s="56"/>
      <c r="H53" s="58"/>
      <c r="I53" s="58"/>
      <c r="J53" s="74"/>
      <c r="K53" s="89"/>
    </row>
    <row r="54" ht="18.75" customHeight="1">
      <c r="A54" s="55"/>
      <c r="B54" s="83"/>
      <c r="C54" s="58"/>
      <c r="D54" s="103"/>
      <c r="E54" s="57"/>
      <c r="F54" s="58"/>
      <c r="G54" s="56"/>
      <c r="H54" s="58"/>
      <c r="I54" s="58"/>
      <c r="J54" s="74"/>
      <c r="K54" s="89"/>
    </row>
    <row r="55" ht="18.75" customHeight="1">
      <c r="A55" s="55"/>
      <c r="B55" s="83"/>
      <c r="C55" s="58"/>
      <c r="D55" s="103"/>
      <c r="E55" s="57"/>
      <c r="F55" s="58"/>
      <c r="G55" s="56"/>
      <c r="H55" s="74" t="s">
        <v>93</v>
      </c>
      <c r="I55" s="74" t="s">
        <v>94</v>
      </c>
      <c r="J55" s="90">
        <f>SUM(J56:J65)</f>
        <v>0</v>
      </c>
      <c r="K55" s="89"/>
    </row>
    <row r="56" ht="18.75" customHeight="1">
      <c r="A56" s="55"/>
      <c r="B56" s="83"/>
      <c r="C56" s="106"/>
      <c r="D56" s="103"/>
      <c r="E56" s="57"/>
      <c r="F56" s="58"/>
      <c r="G56" s="56"/>
      <c r="H56" s="58"/>
      <c r="I56" s="58"/>
      <c r="J56" s="90"/>
      <c r="K56" s="83"/>
    </row>
    <row r="57" ht="18.75" customHeight="1">
      <c r="A57" s="55"/>
      <c r="B57" s="83"/>
      <c r="C57" s="58"/>
      <c r="D57" s="103"/>
      <c r="E57" s="57"/>
      <c r="F57" s="58"/>
      <c r="G57" s="56"/>
      <c r="H57" s="58"/>
      <c r="I57" s="58"/>
      <c r="J57" s="90"/>
      <c r="K57" s="83"/>
    </row>
    <row r="58" ht="18.75" customHeight="1">
      <c r="A58" s="55"/>
      <c r="B58" s="83"/>
      <c r="C58" s="58"/>
      <c r="D58" s="103"/>
      <c r="E58" s="57"/>
      <c r="F58" s="58"/>
      <c r="G58" s="56"/>
      <c r="H58" s="58"/>
      <c r="I58" s="58"/>
      <c r="J58" s="90"/>
      <c r="K58" s="83"/>
    </row>
    <row r="59" ht="18.75" customHeight="1">
      <c r="A59" s="55"/>
      <c r="B59" s="83"/>
      <c r="C59" s="106"/>
      <c r="D59" s="103"/>
      <c r="E59" s="57"/>
      <c r="F59" s="58"/>
      <c r="G59" s="56"/>
      <c r="H59" s="58"/>
      <c r="I59" s="58"/>
      <c r="J59" s="90"/>
      <c r="K59" s="83"/>
    </row>
    <row r="60" ht="18.75" customHeight="1">
      <c r="A60" s="55"/>
      <c r="B60" s="83"/>
      <c r="C60" s="58"/>
      <c r="D60" s="103"/>
      <c r="E60" s="57"/>
      <c r="F60" s="58"/>
      <c r="G60" s="56"/>
      <c r="H60" s="58"/>
      <c r="I60" s="58"/>
      <c r="J60" s="90"/>
      <c r="K60" s="89"/>
    </row>
    <row r="61" ht="18.75" customHeight="1">
      <c r="A61" s="55"/>
      <c r="B61" s="83"/>
      <c r="C61" s="58"/>
      <c r="D61" s="103"/>
      <c r="E61" s="57"/>
      <c r="F61" s="58"/>
      <c r="G61" s="56"/>
      <c r="H61" s="58"/>
      <c r="I61" s="58"/>
      <c r="J61" s="90"/>
      <c r="K61" s="89"/>
    </row>
    <row r="62" ht="18.75" customHeight="1">
      <c r="A62" s="55"/>
      <c r="B62" s="83"/>
      <c r="C62" s="58"/>
      <c r="D62" s="103"/>
      <c r="E62" s="57"/>
      <c r="F62" s="58"/>
      <c r="G62" s="56"/>
      <c r="H62" s="58"/>
      <c r="I62" s="58"/>
      <c r="J62" s="90"/>
      <c r="K62" s="89"/>
    </row>
    <row r="63" ht="18.75" customHeight="1">
      <c r="A63" s="55"/>
      <c r="B63" s="83"/>
      <c r="C63" s="58"/>
      <c r="D63" s="103"/>
      <c r="E63" s="57"/>
      <c r="F63" s="58"/>
      <c r="G63" s="56"/>
      <c r="H63" s="58"/>
      <c r="I63" s="58"/>
      <c r="J63" s="90"/>
      <c r="K63" s="89"/>
    </row>
    <row r="64" ht="18.75" customHeight="1">
      <c r="A64" s="55"/>
      <c r="B64" s="83"/>
      <c r="C64" s="58"/>
      <c r="D64" s="103"/>
      <c r="E64" s="57"/>
      <c r="F64" s="58"/>
      <c r="G64" s="56"/>
      <c r="H64" s="58"/>
      <c r="I64" s="58"/>
      <c r="J64" s="90"/>
      <c r="K64" s="89"/>
    </row>
    <row r="65" ht="18.75" customHeight="1">
      <c r="A65" s="55"/>
      <c r="B65" s="83"/>
      <c r="C65" s="58"/>
      <c r="D65" s="103"/>
      <c r="E65" s="57"/>
      <c r="F65" s="58"/>
      <c r="G65" s="56"/>
      <c r="H65" s="58"/>
      <c r="I65" s="58"/>
      <c r="J65" s="90"/>
      <c r="K65" s="89"/>
    </row>
    <row r="66" ht="18.75" customHeight="1">
      <c r="A66" s="55"/>
      <c r="B66" s="83"/>
      <c r="C66" s="106"/>
      <c r="D66" s="103"/>
      <c r="E66" s="57"/>
      <c r="F66" s="58"/>
      <c r="G66" s="56"/>
      <c r="H66" s="74" t="s">
        <v>98</v>
      </c>
      <c r="I66" s="74" t="s">
        <v>5</v>
      </c>
      <c r="J66" s="25">
        <f>J46+J47-J55</f>
        <v>-338890346</v>
      </c>
      <c r="K66" s="89"/>
    </row>
    <row r="67" ht="18.75" customHeight="1">
      <c r="A67" s="91"/>
      <c r="B67" s="92"/>
      <c r="C67" s="91"/>
      <c r="D67" s="103"/>
      <c r="E67" s="91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103"/>
      <c r="E68" s="91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103"/>
      <c r="E69" s="91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103"/>
      <c r="E70" s="91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103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103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103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103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103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103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103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103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103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103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103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103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103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103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103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103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103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103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103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103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103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103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103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103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103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>
      <c r="A154" s="91"/>
      <c r="B154" s="92"/>
      <c r="C154" s="91"/>
      <c r="D154" s="91"/>
      <c r="E154" s="91"/>
      <c r="F154" s="91"/>
      <c r="G154" s="91"/>
      <c r="H154" s="91"/>
      <c r="I154" s="91"/>
      <c r="J154" s="91"/>
      <c r="K154" s="91"/>
    </row>
    <row r="155" ht="18.75" customHeight="1">
      <c r="A155" s="91"/>
      <c r="B155" s="92"/>
      <c r="C155" s="91"/>
      <c r="D155" s="91"/>
      <c r="E155" s="91"/>
      <c r="F155" s="91"/>
      <c r="G155" s="91"/>
      <c r="H155" s="91"/>
      <c r="I155" s="91"/>
      <c r="J155" s="91"/>
      <c r="K155" s="91"/>
    </row>
    <row r="156" ht="18.75" customHeight="1">
      <c r="A156" s="91"/>
      <c r="B156" s="92"/>
      <c r="C156" s="91"/>
      <c r="D156" s="91"/>
      <c r="E156" s="91"/>
      <c r="F156" s="91"/>
      <c r="G156" s="91"/>
      <c r="H156" s="91"/>
      <c r="I156" s="91"/>
      <c r="J156" s="91"/>
      <c r="K156" s="91"/>
    </row>
    <row r="157" ht="18.75" customHeight="1">
      <c r="A157" s="91"/>
      <c r="B157" s="92"/>
      <c r="C157" s="91"/>
      <c r="D157" s="91"/>
      <c r="E157" s="91"/>
      <c r="F157" s="91"/>
      <c r="G157" s="91"/>
      <c r="H157" s="91"/>
      <c r="I157" s="91"/>
      <c r="J157" s="91"/>
      <c r="K157" s="91"/>
    </row>
    <row r="158" ht="18.75" customHeight="1">
      <c r="A158" s="91"/>
      <c r="B158" s="92"/>
      <c r="C158" s="91"/>
      <c r="D158" s="91"/>
      <c r="E158" s="91"/>
      <c r="F158" s="91"/>
      <c r="G158" s="91"/>
      <c r="H158" s="91"/>
      <c r="I158" s="91"/>
      <c r="J158" s="91"/>
      <c r="K158" s="91"/>
    </row>
    <row r="159" ht="18.75" customHeight="1">
      <c r="A159" s="91"/>
      <c r="B159" s="92"/>
      <c r="C159" s="91"/>
      <c r="D159" s="91"/>
      <c r="E159" s="91"/>
      <c r="F159" s="91"/>
      <c r="G159" s="91"/>
      <c r="H159" s="91"/>
      <c r="I159" s="91"/>
      <c r="J159" s="91"/>
      <c r="K159" s="91"/>
    </row>
    <row r="160" ht="18.75" customHeight="1">
      <c r="A160" s="91"/>
      <c r="B160" s="92"/>
      <c r="C160" s="91"/>
      <c r="D160" s="91"/>
      <c r="E160" s="91"/>
      <c r="F160" s="91"/>
      <c r="G160" s="91"/>
      <c r="H160" s="91"/>
      <c r="I160" s="91"/>
      <c r="J160" s="91"/>
      <c r="K160" s="91"/>
    </row>
    <row r="161" ht="18.75" customHeight="1">
      <c r="A161" s="91"/>
      <c r="B161" s="92"/>
      <c r="C161" s="91"/>
      <c r="D161" s="91"/>
      <c r="E161" s="91"/>
      <c r="F161" s="91"/>
      <c r="G161" s="91"/>
      <c r="H161" s="91"/>
      <c r="I161" s="91"/>
      <c r="J161" s="91"/>
      <c r="K161" s="91"/>
    </row>
    <row r="162" ht="18.75" customHeight="1">
      <c r="A162" s="91"/>
      <c r="B162" s="92"/>
      <c r="C162" s="91"/>
      <c r="D162" s="91"/>
      <c r="E162" s="91"/>
      <c r="F162" s="91"/>
      <c r="G162" s="91"/>
      <c r="H162" s="91"/>
      <c r="I162" s="91"/>
      <c r="J162" s="91"/>
      <c r="K162" s="91"/>
    </row>
    <row r="163" ht="18.75" customHeight="1">
      <c r="A163" s="91"/>
      <c r="B163" s="92"/>
      <c r="C163" s="91"/>
      <c r="D163" s="91"/>
      <c r="E163" s="91"/>
      <c r="F163" s="91"/>
      <c r="G163" s="91"/>
      <c r="H163" s="91"/>
      <c r="I163" s="91"/>
      <c r="J163" s="91"/>
      <c r="K163" s="91"/>
    </row>
    <row r="164" ht="18.75" customHeight="1">
      <c r="A164" s="91"/>
      <c r="B164" s="92"/>
      <c r="C164" s="91"/>
      <c r="D164" s="91"/>
      <c r="E164" s="91"/>
      <c r="F164" s="91"/>
      <c r="G164" s="91"/>
      <c r="H164" s="91"/>
      <c r="I164" s="91"/>
      <c r="J164" s="91"/>
      <c r="K164" s="91"/>
    </row>
    <row r="165" ht="18.75" customHeight="1">
      <c r="A165" s="91"/>
      <c r="B165" s="92"/>
      <c r="C165" s="91"/>
      <c r="D165" s="91"/>
      <c r="E165" s="91"/>
      <c r="F165" s="91"/>
      <c r="G165" s="91"/>
      <c r="H165" s="91"/>
      <c r="I165" s="91"/>
      <c r="J165" s="91"/>
      <c r="K165" s="91"/>
    </row>
    <row r="166" ht="18.75" customHeight="1">
      <c r="A166" s="91"/>
      <c r="B166" s="92"/>
      <c r="C166" s="91"/>
      <c r="D166" s="91"/>
      <c r="E166" s="91"/>
      <c r="F166" s="91"/>
      <c r="G166" s="91"/>
      <c r="H166" s="91"/>
      <c r="I166" s="91"/>
      <c r="J166" s="91"/>
      <c r="K166" s="91"/>
    </row>
    <row r="167" ht="18.75" customHeight="1">
      <c r="A167" s="91"/>
      <c r="B167" s="92"/>
      <c r="C167" s="91"/>
      <c r="D167" s="91"/>
      <c r="E167" s="91"/>
      <c r="F167" s="91"/>
      <c r="G167" s="91"/>
      <c r="H167" s="91"/>
      <c r="I167" s="91"/>
      <c r="J167" s="91"/>
      <c r="K167" s="91"/>
    </row>
    <row r="168" ht="18.75" customHeight="1">
      <c r="A168" s="91"/>
      <c r="B168" s="92"/>
      <c r="C168" s="91"/>
      <c r="D168" s="91"/>
      <c r="E168" s="91"/>
      <c r="F168" s="91"/>
      <c r="G168" s="91"/>
      <c r="H168" s="91"/>
      <c r="I168" s="91"/>
      <c r="J168" s="91"/>
      <c r="K168" s="91"/>
    </row>
    <row r="169" ht="18.75" customHeight="1">
      <c r="A169" s="91"/>
      <c r="B169" s="92"/>
      <c r="C169" s="91"/>
      <c r="D169" s="91"/>
      <c r="E169" s="91"/>
      <c r="F169" s="91"/>
      <c r="G169" s="91"/>
      <c r="H169" s="91"/>
      <c r="I169" s="91"/>
      <c r="J169" s="91"/>
      <c r="K169" s="91"/>
    </row>
    <row r="170" ht="18.75" customHeight="1">
      <c r="A170" s="91"/>
      <c r="B170" s="92"/>
      <c r="C170" s="91"/>
      <c r="D170" s="91"/>
      <c r="E170" s="91"/>
      <c r="F170" s="91"/>
      <c r="G170" s="91"/>
      <c r="H170" s="91"/>
      <c r="I170" s="91"/>
      <c r="J170" s="91"/>
      <c r="K170" s="91"/>
    </row>
    <row r="171" ht="18.75" customHeight="1">
      <c r="A171" s="91"/>
      <c r="B171" s="92"/>
      <c r="C171" s="91"/>
      <c r="D171" s="91"/>
      <c r="E171" s="91"/>
      <c r="F171" s="91"/>
      <c r="G171" s="91"/>
      <c r="H171" s="91"/>
      <c r="I171" s="91"/>
      <c r="J171" s="91"/>
      <c r="K171" s="91"/>
    </row>
    <row r="172" ht="18.75" customHeight="1">
      <c r="A172" s="91"/>
      <c r="B172" s="92"/>
      <c r="C172" s="91"/>
      <c r="D172" s="91"/>
      <c r="E172" s="91"/>
      <c r="F172" s="91"/>
      <c r="G172" s="91"/>
      <c r="H172" s="91"/>
      <c r="I172" s="91"/>
      <c r="J172" s="91"/>
      <c r="K172" s="91"/>
    </row>
    <row r="173" ht="18.75" customHeight="1">
      <c r="A173" s="91"/>
      <c r="B173" s="92"/>
      <c r="C173" s="91"/>
      <c r="D173" s="91"/>
      <c r="E173" s="91"/>
      <c r="F173" s="91"/>
      <c r="G173" s="91"/>
      <c r="H173" s="91"/>
      <c r="I173" s="91"/>
      <c r="J173" s="91"/>
      <c r="K173" s="91"/>
    </row>
    <row r="174" ht="18.75" customHeight="1">
      <c r="A174" s="91"/>
      <c r="B174" s="92"/>
      <c r="C174" s="91"/>
      <c r="D174" s="91"/>
      <c r="E174" s="91"/>
      <c r="F174" s="91"/>
      <c r="G174" s="91"/>
      <c r="H174" s="91"/>
      <c r="I174" s="91"/>
      <c r="J174" s="91"/>
      <c r="K174" s="91"/>
    </row>
    <row r="175" ht="18.75" customHeight="1">
      <c r="A175" s="91"/>
      <c r="B175" s="92"/>
      <c r="C175" s="91"/>
      <c r="D175" s="91"/>
      <c r="E175" s="91"/>
      <c r="F175" s="91"/>
      <c r="G175" s="91"/>
      <c r="H175" s="91"/>
      <c r="I175" s="91"/>
      <c r="J175" s="91"/>
      <c r="K175" s="91"/>
    </row>
    <row r="176" ht="18.75" customHeight="1">
      <c r="A176" s="91"/>
      <c r="B176" s="92"/>
      <c r="C176" s="91"/>
      <c r="D176" s="91"/>
      <c r="E176" s="91"/>
      <c r="F176" s="91"/>
      <c r="G176" s="91"/>
      <c r="H176" s="91"/>
      <c r="I176" s="91"/>
      <c r="J176" s="91"/>
      <c r="K176" s="91"/>
    </row>
    <row r="177" ht="18.75" customHeight="1">
      <c r="A177" s="91"/>
      <c r="B177" s="92"/>
      <c r="C177" s="91"/>
      <c r="D177" s="91"/>
      <c r="E177" s="91"/>
      <c r="F177" s="91"/>
      <c r="G177" s="91"/>
      <c r="H177" s="91"/>
      <c r="I177" s="91"/>
      <c r="J177" s="91"/>
      <c r="K177" s="91"/>
    </row>
    <row r="178" ht="18.75" customHeight="1">
      <c r="A178" s="91"/>
      <c r="B178" s="92"/>
      <c r="C178" s="91"/>
      <c r="D178" s="91"/>
      <c r="E178" s="91"/>
      <c r="F178" s="91"/>
      <c r="G178" s="91"/>
      <c r="H178" s="91"/>
      <c r="I178" s="91"/>
      <c r="J178" s="91"/>
      <c r="K178" s="91"/>
    </row>
    <row r="179" ht="18.75" customHeight="1">
      <c r="A179" s="91"/>
      <c r="B179" s="92"/>
      <c r="C179" s="91"/>
      <c r="D179" s="91"/>
      <c r="E179" s="91"/>
      <c r="F179" s="91"/>
      <c r="G179" s="91"/>
      <c r="H179" s="91"/>
      <c r="I179" s="91"/>
      <c r="J179" s="91"/>
      <c r="K179" s="91"/>
    </row>
    <row r="180" ht="18.75" customHeight="1">
      <c r="A180" s="91"/>
      <c r="B180" s="92"/>
      <c r="C180" s="91"/>
      <c r="D180" s="91"/>
      <c r="E180" s="91"/>
      <c r="F180" s="91"/>
      <c r="G180" s="91"/>
      <c r="H180" s="91"/>
      <c r="I180" s="91"/>
      <c r="J180" s="91"/>
      <c r="K180" s="91"/>
    </row>
    <row r="181" ht="18.75" customHeight="1">
      <c r="A181" s="91"/>
      <c r="B181" s="92"/>
      <c r="C181" s="91"/>
      <c r="D181" s="91"/>
      <c r="E181" s="91"/>
      <c r="F181" s="91"/>
      <c r="G181" s="91"/>
      <c r="H181" s="91"/>
      <c r="I181" s="91"/>
      <c r="J181" s="91"/>
      <c r="K181" s="91"/>
    </row>
    <row r="182" ht="18.75" customHeight="1">
      <c r="A182" s="91"/>
      <c r="B182" s="92"/>
      <c r="C182" s="91"/>
      <c r="D182" s="91"/>
      <c r="E182" s="91"/>
      <c r="F182" s="91"/>
      <c r="G182" s="91"/>
      <c r="H182" s="91"/>
      <c r="I182" s="91"/>
      <c r="J182" s="91"/>
      <c r="K182" s="91"/>
    </row>
    <row r="183" ht="18.75" customHeight="1">
      <c r="A183" s="91"/>
      <c r="B183" s="92"/>
      <c r="C183" s="91"/>
      <c r="D183" s="91"/>
      <c r="E183" s="91"/>
      <c r="F183" s="91"/>
      <c r="G183" s="91"/>
      <c r="H183" s="91"/>
      <c r="I183" s="91"/>
      <c r="J183" s="91"/>
      <c r="K183" s="91"/>
    </row>
    <row r="184" ht="18.75" customHeight="1">
      <c r="A184" s="91"/>
      <c r="B184" s="92"/>
      <c r="C184" s="91"/>
      <c r="D184" s="91"/>
      <c r="E184" s="91"/>
      <c r="F184" s="91"/>
      <c r="G184" s="91"/>
      <c r="H184" s="91"/>
      <c r="I184" s="91"/>
      <c r="J184" s="91"/>
      <c r="K184" s="91"/>
    </row>
    <row r="185" ht="18.75" customHeight="1">
      <c r="A185" s="91"/>
      <c r="B185" s="92"/>
      <c r="C185" s="91"/>
      <c r="D185" s="91"/>
      <c r="E185" s="91"/>
      <c r="F185" s="91"/>
      <c r="G185" s="91"/>
      <c r="H185" s="91"/>
      <c r="I185" s="91"/>
      <c r="J185" s="91"/>
      <c r="K185" s="91"/>
    </row>
    <row r="186" ht="18.75" customHeight="1">
      <c r="A186" s="91"/>
      <c r="B186" s="92"/>
      <c r="C186" s="91"/>
      <c r="D186" s="91"/>
      <c r="E186" s="91"/>
      <c r="F186" s="91"/>
      <c r="G186" s="91"/>
      <c r="H186" s="91"/>
      <c r="I186" s="91"/>
      <c r="J186" s="91"/>
      <c r="K186" s="91"/>
    </row>
    <row r="187" ht="18.75" customHeight="1">
      <c r="A187" s="91"/>
      <c r="B187" s="92"/>
      <c r="C187" s="91"/>
      <c r="D187" s="91"/>
      <c r="E187" s="91"/>
      <c r="F187" s="91"/>
      <c r="G187" s="91"/>
      <c r="H187" s="91"/>
      <c r="I187" s="91"/>
      <c r="J187" s="91"/>
      <c r="K187" s="91"/>
    </row>
    <row r="188" ht="18.75" customHeight="1">
      <c r="A188" s="91"/>
      <c r="B188" s="92"/>
      <c r="C188" s="91"/>
      <c r="D188" s="91"/>
      <c r="E188" s="91"/>
      <c r="F188" s="91"/>
      <c r="G188" s="91"/>
      <c r="H188" s="91"/>
      <c r="I188" s="91"/>
      <c r="J188" s="91"/>
      <c r="K188" s="91"/>
    </row>
    <row r="189" ht="18.75" customHeight="1">
      <c r="A189" s="91"/>
      <c r="B189" s="92"/>
      <c r="C189" s="91"/>
      <c r="D189" s="91"/>
      <c r="E189" s="91"/>
      <c r="F189" s="91"/>
      <c r="G189" s="91"/>
      <c r="H189" s="91"/>
      <c r="I189" s="91"/>
      <c r="J189" s="91"/>
      <c r="K189" s="91"/>
    </row>
    <row r="190" ht="18.75" customHeight="1">
      <c r="A190" s="91"/>
      <c r="B190" s="92"/>
      <c r="C190" s="91"/>
      <c r="D190" s="91"/>
      <c r="E190" s="91"/>
      <c r="F190" s="91"/>
      <c r="G190" s="91"/>
      <c r="H190" s="91"/>
      <c r="I190" s="91"/>
      <c r="J190" s="91"/>
      <c r="K190" s="91"/>
    </row>
    <row r="191" ht="18.75" customHeight="1">
      <c r="A191" s="91"/>
      <c r="B191" s="92"/>
      <c r="C191" s="91"/>
      <c r="D191" s="91"/>
      <c r="E191" s="91"/>
      <c r="F191" s="91"/>
      <c r="G191" s="91"/>
      <c r="H191" s="91"/>
      <c r="I191" s="91"/>
      <c r="J191" s="91"/>
      <c r="K191" s="91"/>
    </row>
    <row r="192" ht="18.75" customHeight="1">
      <c r="A192" s="91"/>
      <c r="B192" s="92"/>
      <c r="C192" s="91"/>
      <c r="D192" s="91"/>
      <c r="E192" s="91"/>
      <c r="F192" s="91"/>
      <c r="G192" s="91"/>
      <c r="H192" s="91"/>
      <c r="I192" s="91"/>
      <c r="J192" s="91"/>
      <c r="K192" s="91"/>
    </row>
    <row r="193" ht="18.75" customHeight="1">
      <c r="A193" s="91"/>
      <c r="B193" s="92"/>
      <c r="C193" s="91"/>
      <c r="D193" s="91"/>
      <c r="E193" s="91"/>
      <c r="F193" s="91"/>
      <c r="G193" s="91"/>
      <c r="H193" s="91"/>
      <c r="I193" s="91"/>
      <c r="J193" s="91"/>
      <c r="K193" s="91"/>
    </row>
    <row r="194" ht="18.75" customHeight="1">
      <c r="A194" s="91"/>
      <c r="B194" s="92"/>
      <c r="C194" s="91"/>
      <c r="D194" s="91"/>
      <c r="E194" s="91"/>
      <c r="F194" s="91"/>
      <c r="G194" s="91"/>
      <c r="H194" s="91"/>
      <c r="I194" s="91"/>
      <c r="J194" s="91"/>
      <c r="K194" s="91"/>
    </row>
    <row r="195" ht="18.75" customHeight="1">
      <c r="A195" s="91"/>
      <c r="B195" s="92"/>
      <c r="C195" s="91"/>
      <c r="D195" s="91"/>
      <c r="E195" s="91"/>
      <c r="F195" s="91"/>
      <c r="G195" s="91"/>
      <c r="H195" s="91"/>
      <c r="I195" s="91"/>
      <c r="J195" s="91"/>
      <c r="K195" s="91"/>
    </row>
    <row r="196" ht="18.75" customHeight="1">
      <c r="A196" s="91"/>
      <c r="B196" s="92"/>
      <c r="C196" s="91"/>
      <c r="D196" s="91"/>
      <c r="E196" s="91"/>
      <c r="F196" s="91"/>
      <c r="G196" s="91"/>
      <c r="H196" s="91"/>
      <c r="I196" s="91"/>
      <c r="J196" s="91"/>
      <c r="K196" s="91"/>
    </row>
    <row r="197" ht="18.75" customHeight="1">
      <c r="A197" s="91"/>
      <c r="B197" s="92"/>
      <c r="C197" s="91"/>
      <c r="D197" s="91"/>
      <c r="E197" s="91"/>
      <c r="F197" s="91"/>
      <c r="G197" s="91"/>
      <c r="H197" s="91"/>
      <c r="I197" s="91"/>
      <c r="J197" s="91"/>
      <c r="K197" s="91"/>
    </row>
    <row r="198" ht="18.75" customHeight="1">
      <c r="A198" s="91"/>
      <c r="B198" s="92"/>
      <c r="C198" s="91"/>
      <c r="D198" s="91"/>
      <c r="E198" s="91"/>
      <c r="F198" s="91"/>
      <c r="G198" s="91"/>
      <c r="H198" s="91"/>
      <c r="I198" s="91"/>
      <c r="J198" s="91"/>
      <c r="K198" s="91"/>
    </row>
    <row r="199" ht="18.75" customHeight="1">
      <c r="A199" s="91"/>
      <c r="B199" s="92"/>
      <c r="C199" s="91"/>
      <c r="D199" s="91"/>
      <c r="E199" s="91"/>
      <c r="F199" s="91"/>
      <c r="G199" s="91"/>
      <c r="H199" s="91"/>
      <c r="I199" s="91"/>
      <c r="J199" s="91"/>
      <c r="K199" s="91"/>
    </row>
    <row r="200" ht="18.75" customHeight="1">
      <c r="A200" s="91"/>
      <c r="B200" s="92"/>
      <c r="C200" s="91"/>
      <c r="D200" s="91"/>
      <c r="E200" s="91"/>
      <c r="F200" s="91"/>
      <c r="G200" s="91"/>
      <c r="H200" s="91"/>
      <c r="I200" s="91"/>
      <c r="J200" s="91"/>
      <c r="K200" s="91"/>
    </row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50:E200">
      <formula1>"1.1,1.2,1.3,2.1,2.2,2.3,2.4,2.5,2.6,2.7,2.8,2.9,2.11,2.12"</formula1>
    </dataValidation>
    <dataValidation type="list" allowBlank="1" showErrorMessage="1" sqref="E8:E49">
      <formula1>"1,1,1,2,2,1,2,11,2,12,2,2,2,3,2,5,2,6,2,7,2,8,2,9,2,4,1,3"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9" t="s">
        <v>20</v>
      </c>
      <c r="F1" s="10"/>
      <c r="G1" s="11"/>
      <c r="H1" s="97" t="s">
        <v>119</v>
      </c>
      <c r="I1" s="13"/>
      <c r="J1" s="14"/>
      <c r="K1" s="11"/>
    </row>
    <row r="2" ht="18.75" customHeight="1">
      <c r="A2" s="36" t="s">
        <v>204</v>
      </c>
      <c r="G2" s="11"/>
      <c r="H2" s="53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22" t="s">
        <v>23</v>
      </c>
      <c r="F3" s="19" t="s">
        <v>24</v>
      </c>
      <c r="G3" s="11"/>
      <c r="H3" s="23">
        <v>1.0</v>
      </c>
      <c r="I3" s="24" t="s">
        <v>29</v>
      </c>
      <c r="J3" s="25">
        <f>SUM(J4:J6)</f>
        <v>100000000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28">
        <v>1.1</v>
      </c>
      <c r="I4" s="33" t="s">
        <v>121</v>
      </c>
      <c r="J4" s="25">
        <f>SUMIF($E$8:$E$54,1.1,$C$8:$C$45)</f>
        <v>100000000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28">
        <v>1.2</v>
      </c>
      <c r="I5" s="33" t="s">
        <v>122</v>
      </c>
      <c r="J5" s="25">
        <f>SUMIF($E$8:$E$54,1.2,$C$8:$C$45)</f>
        <v>0</v>
      </c>
      <c r="K5" s="11"/>
    </row>
    <row r="6" ht="18.75" customHeight="1">
      <c r="A6" s="30"/>
      <c r="B6" s="30"/>
      <c r="C6" s="31"/>
      <c r="D6" s="31"/>
      <c r="E6" s="32"/>
      <c r="F6" s="30"/>
      <c r="G6" s="11"/>
      <c r="H6" s="28">
        <v>1.3</v>
      </c>
      <c r="I6" s="33" t="s">
        <v>34</v>
      </c>
      <c r="J6" s="25">
        <f>SUMIF($E$8:$E$54,1.3,$C$8:$C$45)</f>
        <v>0</v>
      </c>
      <c r="K6" s="11"/>
    </row>
    <row r="7" ht="21.75" customHeight="1">
      <c r="A7" s="36"/>
      <c r="B7" s="37"/>
      <c r="C7" s="42">
        <f t="shared" ref="C7:D7" si="1">SUM(C8:C100)</f>
        <v>100000000</v>
      </c>
      <c r="D7" s="42">
        <f t="shared" si="1"/>
        <v>231694626</v>
      </c>
      <c r="E7" s="39"/>
      <c r="F7" s="40"/>
      <c r="G7" s="40" t="s">
        <v>40</v>
      </c>
      <c r="H7" s="41"/>
      <c r="I7" s="40"/>
      <c r="J7" s="42"/>
      <c r="K7" s="40"/>
    </row>
    <row r="8" ht="18.75" customHeight="1">
      <c r="A8" s="111"/>
      <c r="B8" s="112">
        <v>45905.0</v>
      </c>
      <c r="C8" s="113"/>
      <c r="D8" s="113">
        <v>1.4E7</v>
      </c>
      <c r="E8" s="110">
        <v>2.6</v>
      </c>
      <c r="F8" s="114" t="s">
        <v>205</v>
      </c>
      <c r="G8" s="11"/>
      <c r="H8" s="23">
        <v>2.0</v>
      </c>
      <c r="I8" s="53" t="s">
        <v>45</v>
      </c>
      <c r="J8" s="25">
        <f>SUM(J9:J19)</f>
        <v>231694626</v>
      </c>
      <c r="K8" s="11"/>
    </row>
    <row r="9" ht="18.75" customHeight="1">
      <c r="A9" s="111"/>
      <c r="B9" s="112">
        <v>45905.0</v>
      </c>
      <c r="C9" s="113"/>
      <c r="D9" s="113">
        <v>1400000.0</v>
      </c>
      <c r="E9" s="110">
        <v>2.6</v>
      </c>
      <c r="F9" s="114" t="s">
        <v>206</v>
      </c>
      <c r="G9" s="56"/>
      <c r="H9" s="57">
        <v>2.1</v>
      </c>
      <c r="I9" s="58" t="s">
        <v>49</v>
      </c>
      <c r="J9" s="59">
        <f>SUMIF($E$8:$E$54,2.1,$D$8:$D$45)</f>
        <v>0</v>
      </c>
      <c r="K9" s="11"/>
    </row>
    <row r="10" ht="18.75" customHeight="1">
      <c r="A10" s="55"/>
      <c r="B10" s="83">
        <v>45905.0</v>
      </c>
      <c r="C10" s="107"/>
      <c r="D10" s="107">
        <v>2240740.0</v>
      </c>
      <c r="E10" s="110">
        <v>2.6</v>
      </c>
      <c r="F10" s="58" t="s">
        <v>207</v>
      </c>
      <c r="G10" s="56"/>
      <c r="H10" s="57">
        <v>2.2</v>
      </c>
      <c r="I10" s="58" t="s">
        <v>53</v>
      </c>
      <c r="J10" s="25">
        <f>SUMIF($E$8:$E$54,2.2,$D$8:$D$45)</f>
        <v>86044626</v>
      </c>
      <c r="K10" s="11"/>
    </row>
    <row r="11" ht="18.75" customHeight="1">
      <c r="A11" s="55"/>
      <c r="B11" s="83">
        <v>45905.0</v>
      </c>
      <c r="C11" s="103"/>
      <c r="D11" s="103">
        <v>179260.0</v>
      </c>
      <c r="E11" s="110">
        <v>2.6</v>
      </c>
      <c r="F11" s="58" t="s">
        <v>208</v>
      </c>
      <c r="G11" s="56"/>
      <c r="H11" s="57">
        <v>2.3</v>
      </c>
      <c r="I11" s="58" t="s">
        <v>56</v>
      </c>
      <c r="J11" s="25">
        <f>SUMIF($E$8:$E$54,2.3,$D$8:$D$45)</f>
        <v>3000000</v>
      </c>
      <c r="K11" s="11"/>
    </row>
    <row r="12" ht="18.75" customHeight="1">
      <c r="A12" s="55"/>
      <c r="B12" s="83">
        <v>45905.0</v>
      </c>
      <c r="C12" s="103"/>
      <c r="D12" s="103">
        <v>8.6044626E7</v>
      </c>
      <c r="E12" s="110">
        <v>2.2</v>
      </c>
      <c r="F12" s="58" t="s">
        <v>209</v>
      </c>
      <c r="G12" s="56"/>
      <c r="H12" s="57">
        <v>2.4</v>
      </c>
      <c r="I12" s="58" t="s">
        <v>59</v>
      </c>
      <c r="J12" s="25">
        <f>SUMIF($E$8:$E$54,2.4,$D$8:$D$45)</f>
        <v>4000000</v>
      </c>
      <c r="K12" s="11"/>
    </row>
    <row r="13" ht="18.75" customHeight="1">
      <c r="A13" s="55"/>
      <c r="B13" s="83">
        <v>45909.0</v>
      </c>
      <c r="C13" s="103"/>
      <c r="D13" s="103">
        <v>1000000.0</v>
      </c>
      <c r="E13" s="110">
        <v>2.3</v>
      </c>
      <c r="F13" s="58" t="s">
        <v>210</v>
      </c>
      <c r="G13" s="56"/>
      <c r="H13" s="57">
        <v>2.5</v>
      </c>
      <c r="I13" s="58" t="s">
        <v>64</v>
      </c>
      <c r="J13" s="25">
        <f>SUMIF($E$8:$E$54,2.5,$D$8:$D$45)</f>
        <v>0</v>
      </c>
      <c r="K13" s="11"/>
    </row>
    <row r="14" ht="18.75" customHeight="1">
      <c r="A14" s="55"/>
      <c r="B14" s="83">
        <v>45909.0</v>
      </c>
      <c r="C14" s="103"/>
      <c r="D14" s="103">
        <v>2000000.0</v>
      </c>
      <c r="E14" s="110">
        <v>2.3</v>
      </c>
      <c r="F14" s="105" t="s">
        <v>211</v>
      </c>
      <c r="G14" s="56"/>
      <c r="H14" s="57">
        <v>2.6</v>
      </c>
      <c r="I14" s="58" t="s">
        <v>66</v>
      </c>
      <c r="J14" s="25">
        <f>SUMIF($E$8:$E$54,2.6,$D$8:$D$45)</f>
        <v>17820000</v>
      </c>
      <c r="K14" s="11"/>
    </row>
    <row r="15" ht="18.75" customHeight="1">
      <c r="A15" s="55"/>
      <c r="B15" s="83">
        <v>45929.0</v>
      </c>
      <c r="C15" s="103"/>
      <c r="D15" s="103">
        <v>2520000.0</v>
      </c>
      <c r="E15" s="110">
        <v>2.9</v>
      </c>
      <c r="F15" s="105" t="s">
        <v>212</v>
      </c>
      <c r="G15" s="56"/>
      <c r="H15" s="57">
        <v>2.7</v>
      </c>
      <c r="I15" s="58" t="s">
        <v>69</v>
      </c>
      <c r="J15" s="25">
        <f>SUMIF($E$8:$E$54,2.7,$D$8:$D$45)</f>
        <v>0</v>
      </c>
      <c r="K15" s="11"/>
    </row>
    <row r="16" ht="18.75" customHeight="1">
      <c r="A16" s="55"/>
      <c r="B16" s="83">
        <v>45929.0</v>
      </c>
      <c r="C16" s="103"/>
      <c r="D16" s="103">
        <v>5160000.0</v>
      </c>
      <c r="E16" s="110">
        <v>2.9</v>
      </c>
      <c r="F16" s="105" t="s">
        <v>213</v>
      </c>
      <c r="G16" s="56"/>
      <c r="H16" s="57">
        <v>2.8</v>
      </c>
      <c r="I16" s="58" t="s">
        <v>71</v>
      </c>
      <c r="J16" s="25">
        <f>SUMIF($E$8:$E$54,2.8,$D$8:$D$45)</f>
        <v>13150000</v>
      </c>
      <c r="K16" s="11"/>
    </row>
    <row r="17" ht="18.75" customHeight="1">
      <c r="A17" s="55"/>
      <c r="B17" s="83">
        <v>45929.0</v>
      </c>
      <c r="C17" s="103"/>
      <c r="D17" s="103">
        <v>4000000.0</v>
      </c>
      <c r="E17" s="110">
        <v>2.4</v>
      </c>
      <c r="F17" s="105" t="s">
        <v>214</v>
      </c>
      <c r="G17" s="56"/>
      <c r="H17" s="57">
        <v>2.9</v>
      </c>
      <c r="I17" s="58" t="s">
        <v>74</v>
      </c>
      <c r="J17" s="25">
        <f>SUMIF($E$8:$E$54,2.9,$D$8:$D$45)</f>
        <v>7680000</v>
      </c>
      <c r="K17" s="11"/>
    </row>
    <row r="18" ht="18.75" customHeight="1">
      <c r="A18" s="55"/>
      <c r="B18" s="83">
        <v>45924.0</v>
      </c>
      <c r="C18" s="103">
        <v>1.0E8</v>
      </c>
      <c r="D18" s="103"/>
      <c r="E18" s="110">
        <v>1.1</v>
      </c>
      <c r="F18" s="105" t="s">
        <v>215</v>
      </c>
      <c r="G18" s="56"/>
      <c r="H18" s="57">
        <v>2.11</v>
      </c>
      <c r="I18" s="58" t="s">
        <v>77</v>
      </c>
      <c r="J18" s="25">
        <f>SUMIF($E$8:$E$54,2.11,$D$8:$D$45)</f>
        <v>100000000</v>
      </c>
      <c r="K18" s="11"/>
    </row>
    <row r="19" ht="18.75" customHeight="1">
      <c r="A19" s="55"/>
      <c r="B19" s="83">
        <v>45908.0</v>
      </c>
      <c r="C19" s="103"/>
      <c r="D19" s="103">
        <v>1.315E7</v>
      </c>
      <c r="E19" s="110">
        <v>2.8</v>
      </c>
      <c r="F19" s="105" t="s">
        <v>216</v>
      </c>
      <c r="G19" s="56"/>
      <c r="H19" s="57">
        <v>2.12</v>
      </c>
      <c r="I19" s="58" t="s">
        <v>80</v>
      </c>
      <c r="J19" s="25">
        <f>SUMIF($E$8:$E$54,2.12,$D$8:$D$45)</f>
        <v>0</v>
      </c>
      <c r="K19" s="11"/>
    </row>
    <row r="20" ht="18.75" customHeight="1">
      <c r="A20" s="55"/>
      <c r="B20" s="83">
        <v>45924.0</v>
      </c>
      <c r="C20" s="103"/>
      <c r="D20" s="103">
        <v>1.0E8</v>
      </c>
      <c r="E20" s="110">
        <v>2.11</v>
      </c>
      <c r="F20" s="105" t="s">
        <v>217</v>
      </c>
      <c r="G20" s="56"/>
      <c r="H20" s="73">
        <v>3.0</v>
      </c>
      <c r="I20" s="74" t="s">
        <v>82</v>
      </c>
      <c r="J20" s="75">
        <f>J3-J8</f>
        <v>-131694626</v>
      </c>
      <c r="K20" s="11"/>
    </row>
    <row r="21" ht="18.75" customHeight="1">
      <c r="A21" s="55"/>
      <c r="B21" s="83"/>
      <c r="C21" s="103"/>
      <c r="D21" s="103"/>
      <c r="E21" s="110"/>
      <c r="F21" s="58"/>
      <c r="G21" s="11"/>
      <c r="H21" s="11"/>
      <c r="I21" s="11"/>
      <c r="J21" s="11"/>
      <c r="K21" s="11"/>
    </row>
    <row r="22" ht="18.75" customHeight="1">
      <c r="A22" s="55"/>
      <c r="B22" s="83"/>
      <c r="C22" s="103"/>
      <c r="D22" s="103"/>
      <c r="E22" s="110"/>
      <c r="F22" s="58"/>
      <c r="G22" s="11"/>
      <c r="H22" s="97" t="s">
        <v>132</v>
      </c>
      <c r="I22" s="13"/>
      <c r="J22" s="14"/>
      <c r="K22" s="11"/>
    </row>
    <row r="23" ht="18.75" customHeight="1">
      <c r="A23" s="55"/>
      <c r="B23" s="83"/>
      <c r="C23" s="103"/>
      <c r="D23" s="103"/>
      <c r="E23" s="110"/>
      <c r="F23" s="58"/>
      <c r="G23" s="56"/>
      <c r="H23" s="58"/>
      <c r="I23" s="74" t="s">
        <v>24</v>
      </c>
      <c r="J23" s="57" t="s">
        <v>25</v>
      </c>
      <c r="K23" s="11"/>
    </row>
    <row r="24" ht="18.75" customHeight="1">
      <c r="A24" s="55"/>
      <c r="B24" s="83"/>
      <c r="C24" s="103"/>
      <c r="D24" s="103"/>
      <c r="E24" s="110"/>
      <c r="F24" s="58"/>
      <c r="G24" s="56"/>
      <c r="H24" s="74" t="s">
        <v>86</v>
      </c>
      <c r="I24" s="74" t="s">
        <v>87</v>
      </c>
      <c r="J24" s="80">
        <v>0.0</v>
      </c>
      <c r="K24" s="11"/>
    </row>
    <row r="25" ht="18.75" customHeight="1">
      <c r="A25" s="55"/>
      <c r="B25" s="83"/>
      <c r="C25" s="103"/>
      <c r="D25" s="103"/>
      <c r="E25" s="110"/>
      <c r="F25" s="58"/>
      <c r="G25" s="56"/>
      <c r="H25" s="74" t="s">
        <v>88</v>
      </c>
      <c r="I25" s="74" t="s">
        <v>89</v>
      </c>
      <c r="J25" s="82">
        <f>SUM(J26:J28)</f>
        <v>100000000</v>
      </c>
      <c r="K25" s="11"/>
    </row>
    <row r="26" ht="18.75" customHeight="1">
      <c r="A26" s="55"/>
      <c r="B26" s="83"/>
      <c r="C26" s="103"/>
      <c r="D26" s="103"/>
      <c r="E26" s="110"/>
      <c r="F26" s="58"/>
      <c r="G26" s="56"/>
      <c r="H26" s="58"/>
      <c r="I26" s="58" t="s">
        <v>90</v>
      </c>
      <c r="J26" s="82">
        <f>J3</f>
        <v>100000000</v>
      </c>
      <c r="K26" s="11"/>
    </row>
    <row r="27" ht="18.75" customHeight="1">
      <c r="A27" s="55"/>
      <c r="B27" s="83"/>
      <c r="C27" s="103"/>
      <c r="D27" s="103"/>
      <c r="E27" s="110"/>
      <c r="F27" s="58"/>
      <c r="G27" s="56"/>
      <c r="H27" s="58"/>
      <c r="I27" s="58" t="s">
        <v>91</v>
      </c>
      <c r="J27" s="74"/>
      <c r="K27" s="11"/>
    </row>
    <row r="28" ht="18.75" customHeight="1">
      <c r="A28" s="55"/>
      <c r="B28" s="83"/>
      <c r="C28" s="103"/>
      <c r="D28" s="103"/>
      <c r="E28" s="110"/>
      <c r="F28" s="58"/>
      <c r="G28" s="56"/>
      <c r="H28" s="58"/>
      <c r="I28" s="58" t="s">
        <v>92</v>
      </c>
      <c r="J28" s="74"/>
      <c r="K28" s="11"/>
    </row>
    <row r="29" ht="18.75" customHeight="1">
      <c r="A29" s="55"/>
      <c r="B29" s="83"/>
      <c r="C29" s="103"/>
      <c r="D29" s="103"/>
      <c r="E29" s="110"/>
      <c r="F29" s="58"/>
      <c r="G29" s="56"/>
      <c r="H29" s="74" t="s">
        <v>93</v>
      </c>
      <c r="I29" s="74" t="s">
        <v>94</v>
      </c>
      <c r="J29" s="82">
        <f>SUM(J30:J41)</f>
        <v>231694626</v>
      </c>
      <c r="K29" s="11"/>
    </row>
    <row r="30" ht="18.75" customHeight="1">
      <c r="A30" s="55"/>
      <c r="B30" s="83"/>
      <c r="C30" s="103"/>
      <c r="D30" s="103"/>
      <c r="E30" s="110"/>
      <c r="F30" s="58"/>
      <c r="G30" s="56"/>
      <c r="H30" s="57">
        <v>2.1</v>
      </c>
      <c r="I30" s="58" t="s">
        <v>49</v>
      </c>
      <c r="J30" s="82">
        <f>J9</f>
        <v>0</v>
      </c>
      <c r="K30" s="11"/>
    </row>
    <row r="31" ht="18.75" customHeight="1">
      <c r="A31" s="55"/>
      <c r="B31" s="83"/>
      <c r="C31" s="103"/>
      <c r="D31" s="103"/>
      <c r="E31" s="110"/>
      <c r="F31" s="58"/>
      <c r="G31" s="56"/>
      <c r="H31" s="28">
        <v>1.3</v>
      </c>
      <c r="I31" s="58" t="s">
        <v>96</v>
      </c>
      <c r="J31" s="80"/>
      <c r="K31" s="11"/>
    </row>
    <row r="32" ht="18.75" customHeight="1">
      <c r="A32" s="55"/>
      <c r="B32" s="83"/>
      <c r="C32" s="103"/>
      <c r="D32" s="103"/>
      <c r="E32" s="110"/>
      <c r="F32" s="58"/>
      <c r="G32" s="56"/>
      <c r="H32" s="57">
        <v>2.2</v>
      </c>
      <c r="I32" s="58" t="s">
        <v>53</v>
      </c>
      <c r="J32" s="82">
        <f t="shared" ref="J32:J41" si="2">J10</f>
        <v>86044626</v>
      </c>
      <c r="K32" s="11"/>
    </row>
    <row r="33" ht="18.75" customHeight="1">
      <c r="A33" s="55"/>
      <c r="B33" s="83"/>
      <c r="C33" s="103"/>
      <c r="D33" s="103"/>
      <c r="E33" s="110"/>
      <c r="F33" s="58"/>
      <c r="G33" s="56"/>
      <c r="H33" s="57">
        <v>2.3</v>
      </c>
      <c r="I33" s="58" t="s">
        <v>56</v>
      </c>
      <c r="J33" s="82">
        <f t="shared" si="2"/>
        <v>3000000</v>
      </c>
      <c r="K33" s="11"/>
    </row>
    <row r="34" ht="18.75" customHeight="1">
      <c r="A34" s="55"/>
      <c r="B34" s="83"/>
      <c r="C34" s="103"/>
      <c r="D34" s="103"/>
      <c r="E34" s="110"/>
      <c r="F34" s="58"/>
      <c r="G34" s="56"/>
      <c r="H34" s="57">
        <v>2.4</v>
      </c>
      <c r="I34" s="58" t="s">
        <v>59</v>
      </c>
      <c r="J34" s="82">
        <f t="shared" si="2"/>
        <v>4000000</v>
      </c>
      <c r="K34" s="11"/>
    </row>
    <row r="35" ht="18.75" customHeight="1">
      <c r="A35" s="55"/>
      <c r="B35" s="83"/>
      <c r="C35" s="103"/>
      <c r="D35" s="103"/>
      <c r="E35" s="110"/>
      <c r="F35" s="58"/>
      <c r="G35" s="56"/>
      <c r="H35" s="57">
        <v>2.5</v>
      </c>
      <c r="I35" s="58" t="s">
        <v>64</v>
      </c>
      <c r="J35" s="82">
        <f t="shared" si="2"/>
        <v>0</v>
      </c>
      <c r="K35" s="11"/>
    </row>
    <row r="36" ht="18.75" customHeight="1">
      <c r="A36" s="55"/>
      <c r="B36" s="83"/>
      <c r="C36" s="103"/>
      <c r="D36" s="103"/>
      <c r="E36" s="110"/>
      <c r="F36" s="58"/>
      <c r="G36" s="56"/>
      <c r="H36" s="57">
        <v>2.6</v>
      </c>
      <c r="I36" s="58" t="s">
        <v>66</v>
      </c>
      <c r="J36" s="82">
        <f t="shared" si="2"/>
        <v>17820000</v>
      </c>
      <c r="K36" s="11"/>
    </row>
    <row r="37" ht="18.75" customHeight="1">
      <c r="A37" s="55"/>
      <c r="B37" s="83"/>
      <c r="C37" s="103"/>
      <c r="D37" s="103"/>
      <c r="E37" s="110"/>
      <c r="F37" s="58"/>
      <c r="G37" s="56"/>
      <c r="H37" s="57">
        <v>2.7</v>
      </c>
      <c r="I37" s="58" t="s">
        <v>69</v>
      </c>
      <c r="J37" s="82">
        <f t="shared" si="2"/>
        <v>0</v>
      </c>
      <c r="K37" s="11"/>
    </row>
    <row r="38" ht="18.75" customHeight="1">
      <c r="A38" s="55"/>
      <c r="B38" s="83"/>
      <c r="C38" s="103"/>
      <c r="D38" s="103"/>
      <c r="E38" s="110"/>
      <c r="F38" s="58"/>
      <c r="G38" s="56"/>
      <c r="H38" s="57">
        <v>2.8</v>
      </c>
      <c r="I38" s="58" t="s">
        <v>71</v>
      </c>
      <c r="J38" s="82">
        <f t="shared" si="2"/>
        <v>13150000</v>
      </c>
      <c r="K38" s="11"/>
    </row>
    <row r="39" ht="18.75" customHeight="1">
      <c r="A39" s="55"/>
      <c r="B39" s="83"/>
      <c r="C39" s="103"/>
      <c r="D39" s="103"/>
      <c r="E39" s="110"/>
      <c r="F39" s="58"/>
      <c r="G39" s="56"/>
      <c r="H39" s="57">
        <v>2.9</v>
      </c>
      <c r="I39" s="58" t="s">
        <v>74</v>
      </c>
      <c r="J39" s="82">
        <f t="shared" si="2"/>
        <v>7680000</v>
      </c>
      <c r="K39" s="11"/>
    </row>
    <row r="40" ht="18.75" customHeight="1">
      <c r="A40" s="55"/>
      <c r="B40" s="83"/>
      <c r="C40" s="103"/>
      <c r="D40" s="103"/>
      <c r="E40" s="110"/>
      <c r="F40" s="58"/>
      <c r="G40" s="56"/>
      <c r="H40" s="57">
        <v>2.11</v>
      </c>
      <c r="I40" s="58" t="s">
        <v>77</v>
      </c>
      <c r="J40" s="82">
        <f t="shared" si="2"/>
        <v>100000000</v>
      </c>
      <c r="K40" s="11"/>
    </row>
    <row r="41" ht="18.75" customHeight="1">
      <c r="A41" s="55"/>
      <c r="B41" s="83"/>
      <c r="C41" s="103"/>
      <c r="D41" s="103"/>
      <c r="E41" s="110"/>
      <c r="F41" s="58"/>
      <c r="G41" s="56"/>
      <c r="H41" s="57">
        <v>2.12</v>
      </c>
      <c r="I41" s="58" t="s">
        <v>97</v>
      </c>
      <c r="J41" s="82">
        <f t="shared" si="2"/>
        <v>0</v>
      </c>
      <c r="K41" s="11"/>
    </row>
    <row r="42" ht="18.75" customHeight="1">
      <c r="A42" s="55"/>
      <c r="B42" s="83"/>
      <c r="C42" s="103"/>
      <c r="D42" s="103"/>
      <c r="E42" s="57"/>
      <c r="F42" s="58"/>
      <c r="G42" s="56"/>
      <c r="H42" s="74" t="s">
        <v>98</v>
      </c>
      <c r="I42" s="74" t="s">
        <v>5</v>
      </c>
      <c r="J42" s="25">
        <f>J24+J25-J29</f>
        <v>-131694626</v>
      </c>
      <c r="K42" s="11"/>
    </row>
    <row r="43" ht="18.75" customHeight="1">
      <c r="A43" s="55"/>
      <c r="B43" s="83"/>
      <c r="C43" s="103"/>
      <c r="D43" s="103"/>
      <c r="E43" s="57"/>
      <c r="F43" s="58"/>
      <c r="G43" s="11"/>
      <c r="H43" s="11"/>
      <c r="I43" s="11"/>
      <c r="J43" s="11"/>
      <c r="K43" s="11"/>
    </row>
    <row r="44" ht="18.75" customHeight="1">
      <c r="A44" s="55"/>
      <c r="B44" s="83"/>
      <c r="C44" s="103"/>
      <c r="D44" s="103"/>
      <c r="E44" s="57"/>
      <c r="F44" s="58"/>
      <c r="G44" s="11"/>
      <c r="H44" s="86" t="s">
        <v>99</v>
      </c>
      <c r="I44" s="87"/>
      <c r="J44" s="87"/>
      <c r="K44" s="21"/>
    </row>
    <row r="45" ht="18.75" customHeight="1">
      <c r="A45" s="55"/>
      <c r="B45" s="83"/>
      <c r="C45" s="103"/>
      <c r="D45" s="103"/>
      <c r="E45" s="57"/>
      <c r="F45" s="58"/>
      <c r="G45" s="56"/>
      <c r="H45" s="74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/>
      <c r="B46" s="83"/>
      <c r="C46" s="103"/>
      <c r="D46" s="103"/>
      <c r="E46" s="57"/>
      <c r="F46" s="58"/>
      <c r="G46" s="56"/>
      <c r="H46" s="74" t="s">
        <v>86</v>
      </c>
      <c r="I46" s="74" t="s">
        <v>87</v>
      </c>
      <c r="J46" s="82">
        <f>J42</f>
        <v>-131694626</v>
      </c>
      <c r="K46" s="89"/>
    </row>
    <row r="47" ht="18.75" customHeight="1">
      <c r="A47" s="55"/>
      <c r="B47" s="83"/>
      <c r="C47" s="103"/>
      <c r="D47" s="103"/>
      <c r="E47" s="57"/>
      <c r="F47" s="58"/>
      <c r="G47" s="56"/>
      <c r="H47" s="74" t="s">
        <v>88</v>
      </c>
      <c r="I47" s="74" t="s">
        <v>89</v>
      </c>
      <c r="J47" s="82">
        <f>SUM(J48:J54)</f>
        <v>0</v>
      </c>
      <c r="K47" s="89"/>
    </row>
    <row r="48" ht="18.75" customHeight="1">
      <c r="A48" s="55"/>
      <c r="B48" s="83"/>
      <c r="C48" s="58"/>
      <c r="D48" s="103"/>
      <c r="E48" s="57"/>
      <c r="F48" s="58"/>
      <c r="G48" s="56"/>
      <c r="H48" s="58"/>
      <c r="I48" s="58"/>
      <c r="J48" s="90"/>
      <c r="K48" s="89"/>
    </row>
    <row r="49" ht="18.75" customHeight="1">
      <c r="A49" s="55"/>
      <c r="B49" s="83"/>
      <c r="C49" s="58"/>
      <c r="D49" s="103"/>
      <c r="E49" s="57"/>
      <c r="F49" s="58"/>
      <c r="G49" s="56"/>
      <c r="H49" s="58"/>
      <c r="I49" s="58"/>
      <c r="J49" s="90"/>
      <c r="K49" s="89"/>
    </row>
    <row r="50" ht="18.75" customHeight="1">
      <c r="A50" s="55"/>
      <c r="B50" s="83"/>
      <c r="C50" s="58"/>
      <c r="D50" s="103"/>
      <c r="E50" s="57"/>
      <c r="F50" s="58"/>
      <c r="G50" s="56"/>
      <c r="H50" s="58"/>
      <c r="I50" s="58"/>
      <c r="J50" s="90"/>
      <c r="K50" s="89"/>
    </row>
    <row r="51" ht="18.75" customHeight="1">
      <c r="A51" s="55"/>
      <c r="B51" s="83"/>
      <c r="C51" s="58"/>
      <c r="D51" s="103"/>
      <c r="E51" s="57"/>
      <c r="F51" s="58"/>
      <c r="G51" s="56"/>
      <c r="H51" s="58"/>
      <c r="I51" s="58"/>
      <c r="J51" s="90"/>
      <c r="K51" s="89"/>
    </row>
    <row r="52" ht="18.75" customHeight="1">
      <c r="A52" s="55"/>
      <c r="B52" s="83"/>
      <c r="C52" s="58"/>
      <c r="D52" s="103"/>
      <c r="E52" s="57"/>
      <c r="F52" s="58"/>
      <c r="G52" s="56"/>
      <c r="H52" s="58"/>
      <c r="I52" s="58"/>
      <c r="J52" s="74"/>
      <c r="K52" s="89"/>
    </row>
    <row r="53" ht="18.75" customHeight="1">
      <c r="A53" s="55"/>
      <c r="B53" s="83"/>
      <c r="C53" s="58"/>
      <c r="D53" s="103"/>
      <c r="E53" s="57"/>
      <c r="F53" s="58"/>
      <c r="G53" s="56"/>
      <c r="H53" s="58"/>
      <c r="I53" s="58"/>
      <c r="J53" s="74"/>
      <c r="K53" s="89"/>
    </row>
    <row r="54" ht="18.75" customHeight="1">
      <c r="A54" s="55"/>
      <c r="B54" s="83"/>
      <c r="C54" s="58"/>
      <c r="D54" s="103"/>
      <c r="E54" s="57"/>
      <c r="F54" s="58"/>
      <c r="G54" s="56"/>
      <c r="H54" s="58"/>
      <c r="I54" s="58"/>
      <c r="J54" s="74"/>
      <c r="K54" s="89"/>
    </row>
    <row r="55" ht="18.75" customHeight="1">
      <c r="A55" s="55"/>
      <c r="B55" s="83"/>
      <c r="C55" s="58"/>
      <c r="D55" s="103"/>
      <c r="E55" s="57"/>
      <c r="F55" s="58"/>
      <c r="G55" s="56"/>
      <c r="H55" s="74" t="s">
        <v>93</v>
      </c>
      <c r="I55" s="74" t="s">
        <v>94</v>
      </c>
      <c r="J55" s="90">
        <f>SUM(J56:J65)</f>
        <v>101962219</v>
      </c>
      <c r="K55" s="89"/>
    </row>
    <row r="56" ht="18.75" customHeight="1">
      <c r="A56" s="55"/>
      <c r="B56" s="83"/>
      <c r="C56" s="106"/>
      <c r="D56" s="103"/>
      <c r="E56" s="57"/>
      <c r="F56" s="58"/>
      <c r="G56" s="56"/>
      <c r="H56" s="58"/>
      <c r="I56" s="58" t="s">
        <v>218</v>
      </c>
      <c r="J56" s="90">
        <v>6.605E7</v>
      </c>
      <c r="K56" s="83"/>
    </row>
    <row r="57" ht="18.75" customHeight="1">
      <c r="A57" s="55"/>
      <c r="B57" s="83"/>
      <c r="C57" s="58"/>
      <c r="D57" s="103"/>
      <c r="E57" s="57"/>
      <c r="F57" s="58"/>
      <c r="G57" s="56"/>
      <c r="H57" s="58"/>
      <c r="I57" s="58" t="s">
        <v>219</v>
      </c>
      <c r="J57" s="90">
        <v>1.6652219E7</v>
      </c>
      <c r="K57" s="83"/>
    </row>
    <row r="58" ht="18.75" customHeight="1">
      <c r="A58" s="55"/>
      <c r="B58" s="83"/>
      <c r="C58" s="58"/>
      <c r="D58" s="103"/>
      <c r="E58" s="57"/>
      <c r="F58" s="58"/>
      <c r="G58" s="56"/>
      <c r="H58" s="58"/>
      <c r="I58" s="58" t="s">
        <v>220</v>
      </c>
      <c r="J58" s="90">
        <v>1.35E7</v>
      </c>
      <c r="K58" s="83"/>
    </row>
    <row r="59" ht="18.75" customHeight="1">
      <c r="A59" s="55"/>
      <c r="B59" s="83"/>
      <c r="C59" s="106"/>
      <c r="D59" s="103"/>
      <c r="E59" s="57"/>
      <c r="F59" s="58"/>
      <c r="G59" s="56"/>
      <c r="H59" s="58"/>
      <c r="I59" s="58" t="s">
        <v>221</v>
      </c>
      <c r="J59" s="90">
        <f>1920000*3</f>
        <v>5760000</v>
      </c>
      <c r="K59" s="83"/>
    </row>
    <row r="60" ht="18.75" customHeight="1">
      <c r="A60" s="55"/>
      <c r="B60" s="83"/>
      <c r="C60" s="58"/>
      <c r="D60" s="103"/>
      <c r="E60" s="57"/>
      <c r="F60" s="58"/>
      <c r="G60" s="56"/>
      <c r="H60" s="58"/>
      <c r="I60" s="58"/>
      <c r="J60" s="90"/>
      <c r="K60" s="89"/>
    </row>
    <row r="61" ht="18.75" customHeight="1">
      <c r="A61" s="55"/>
      <c r="B61" s="83"/>
      <c r="C61" s="58"/>
      <c r="D61" s="103"/>
      <c r="E61" s="57"/>
      <c r="F61" s="58"/>
      <c r="G61" s="56"/>
      <c r="H61" s="58"/>
      <c r="I61" s="58"/>
      <c r="J61" s="90"/>
      <c r="K61" s="89"/>
    </row>
    <row r="62" ht="18.75" customHeight="1">
      <c r="A62" s="55"/>
      <c r="B62" s="83"/>
      <c r="C62" s="58"/>
      <c r="D62" s="103"/>
      <c r="E62" s="57"/>
      <c r="F62" s="58"/>
      <c r="G62" s="56"/>
      <c r="H62" s="58"/>
      <c r="I62" s="58"/>
      <c r="J62" s="90"/>
      <c r="K62" s="89"/>
    </row>
    <row r="63" ht="18.75" customHeight="1">
      <c r="A63" s="55"/>
      <c r="B63" s="83"/>
      <c r="C63" s="58"/>
      <c r="D63" s="103"/>
      <c r="E63" s="57"/>
      <c r="F63" s="58"/>
      <c r="G63" s="56"/>
      <c r="H63" s="58"/>
      <c r="I63" s="58"/>
      <c r="J63" s="90"/>
      <c r="K63" s="89"/>
    </row>
    <row r="64" ht="18.75" customHeight="1">
      <c r="A64" s="55"/>
      <c r="B64" s="83"/>
      <c r="C64" s="58"/>
      <c r="D64" s="103"/>
      <c r="E64" s="57"/>
      <c r="F64" s="58"/>
      <c r="G64" s="56"/>
      <c r="H64" s="58"/>
      <c r="I64" s="58"/>
      <c r="J64" s="90"/>
      <c r="K64" s="89"/>
    </row>
    <row r="65" ht="18.75" customHeight="1">
      <c r="A65" s="55"/>
      <c r="B65" s="83"/>
      <c r="C65" s="58"/>
      <c r="D65" s="103"/>
      <c r="E65" s="57"/>
      <c r="F65" s="58"/>
      <c r="G65" s="56"/>
      <c r="H65" s="58"/>
      <c r="I65" s="58"/>
      <c r="J65" s="90"/>
      <c r="K65" s="89"/>
    </row>
    <row r="66" ht="18.75" customHeight="1">
      <c r="A66" s="55"/>
      <c r="B66" s="83"/>
      <c r="C66" s="106"/>
      <c r="D66" s="103"/>
      <c r="E66" s="57"/>
      <c r="F66" s="58"/>
      <c r="G66" s="56"/>
      <c r="H66" s="74" t="s">
        <v>98</v>
      </c>
      <c r="I66" s="74" t="s">
        <v>5</v>
      </c>
      <c r="J66" s="25">
        <f>J46+J47-J55</f>
        <v>-233656845</v>
      </c>
      <c r="K66" s="89"/>
    </row>
    <row r="67" ht="18.75" customHeight="1">
      <c r="A67" s="91"/>
      <c r="B67" s="92"/>
      <c r="C67" s="91"/>
      <c r="D67" s="91"/>
      <c r="E67" s="91"/>
      <c r="F67" s="91"/>
      <c r="G67" s="91"/>
      <c r="H67" s="91"/>
      <c r="I67" s="91"/>
      <c r="J67" s="91"/>
      <c r="K67" s="91"/>
    </row>
    <row r="68" ht="18.75" customHeight="1">
      <c r="A68" s="91"/>
      <c r="B68" s="92"/>
      <c r="C68" s="91"/>
      <c r="D68" s="91"/>
      <c r="E68" s="91"/>
      <c r="F68" s="91"/>
      <c r="G68" s="91"/>
      <c r="H68" s="91"/>
      <c r="I68" s="91"/>
      <c r="J68" s="91"/>
      <c r="K68" s="91"/>
    </row>
    <row r="69" ht="18.75" customHeight="1">
      <c r="A69" s="91"/>
      <c r="B69" s="92"/>
      <c r="C69" s="91"/>
      <c r="D69" s="91"/>
      <c r="E69" s="91"/>
      <c r="F69" s="91"/>
      <c r="G69" s="91"/>
      <c r="H69" s="91"/>
      <c r="I69" s="91"/>
      <c r="J69" s="91"/>
      <c r="K69" s="91"/>
    </row>
    <row r="70" ht="18.75" customHeight="1">
      <c r="A70" s="91"/>
      <c r="B70" s="92"/>
      <c r="C70" s="91"/>
      <c r="D70" s="91"/>
      <c r="E70" s="91"/>
      <c r="F70" s="91"/>
      <c r="G70" s="91"/>
      <c r="H70" s="91"/>
      <c r="I70" s="91"/>
      <c r="J70" s="91"/>
      <c r="K70" s="91"/>
    </row>
    <row r="71" ht="18.75" customHeight="1">
      <c r="A71" s="91"/>
      <c r="B71" s="92"/>
      <c r="C71" s="91"/>
      <c r="D71" s="91"/>
      <c r="E71" s="91"/>
      <c r="F71" s="91"/>
      <c r="G71" s="91"/>
      <c r="H71" s="91"/>
      <c r="I71" s="91"/>
      <c r="J71" s="91"/>
      <c r="K71" s="91"/>
    </row>
    <row r="72" ht="18.75" customHeight="1">
      <c r="A72" s="91"/>
      <c r="B72" s="92"/>
      <c r="C72" s="91"/>
      <c r="D72" s="91"/>
      <c r="E72" s="91"/>
      <c r="F72" s="91"/>
      <c r="G72" s="91"/>
      <c r="H72" s="91"/>
      <c r="I72" s="91"/>
      <c r="J72" s="91"/>
      <c r="K72" s="91"/>
    </row>
    <row r="73" ht="18.75" customHeight="1">
      <c r="A73" s="91"/>
      <c r="B73" s="92"/>
      <c r="C73" s="91"/>
      <c r="D73" s="91"/>
      <c r="E73" s="91"/>
      <c r="F73" s="91"/>
      <c r="G73" s="91"/>
      <c r="H73" s="91"/>
      <c r="I73" s="91"/>
      <c r="J73" s="91"/>
      <c r="K73" s="91"/>
    </row>
    <row r="74" ht="18.75" customHeight="1">
      <c r="A74" s="91"/>
      <c r="B74" s="92"/>
      <c r="C74" s="91"/>
      <c r="D74" s="91"/>
      <c r="E74" s="91"/>
      <c r="F74" s="91"/>
      <c r="G74" s="91"/>
      <c r="H74" s="91"/>
      <c r="I74" s="91"/>
      <c r="J74" s="91"/>
      <c r="K74" s="91"/>
    </row>
    <row r="75" ht="18.75" customHeight="1">
      <c r="A75" s="91"/>
      <c r="B75" s="92"/>
      <c r="C75" s="91"/>
      <c r="D75" s="91"/>
      <c r="E75" s="91"/>
      <c r="F75" s="91"/>
      <c r="G75" s="91"/>
      <c r="H75" s="91"/>
      <c r="I75" s="91"/>
      <c r="J75" s="91"/>
      <c r="K75" s="91"/>
    </row>
    <row r="76" ht="18.75" customHeight="1">
      <c r="A76" s="91"/>
      <c r="B76" s="92"/>
      <c r="C76" s="91"/>
      <c r="D76" s="91"/>
      <c r="E76" s="91"/>
      <c r="F76" s="91"/>
      <c r="G76" s="91"/>
      <c r="H76" s="91"/>
      <c r="I76" s="91"/>
      <c r="J76" s="91"/>
      <c r="K76" s="91"/>
    </row>
    <row r="77" ht="18.75" customHeight="1">
      <c r="A77" s="91"/>
      <c r="B77" s="92"/>
      <c r="C77" s="91"/>
      <c r="D77" s="91"/>
      <c r="E77" s="91"/>
      <c r="F77" s="91"/>
      <c r="G77" s="91"/>
      <c r="H77" s="91"/>
      <c r="I77" s="91"/>
      <c r="J77" s="91"/>
      <c r="K77" s="91"/>
    </row>
    <row r="78" ht="18.75" customHeight="1">
      <c r="A78" s="91"/>
      <c r="B78" s="92"/>
      <c r="C78" s="91"/>
      <c r="D78" s="91"/>
      <c r="E78" s="91"/>
      <c r="F78" s="91"/>
      <c r="G78" s="91"/>
      <c r="H78" s="91"/>
      <c r="I78" s="91"/>
      <c r="J78" s="91"/>
      <c r="K78" s="91"/>
    </row>
    <row r="79" ht="18.75" customHeight="1">
      <c r="A79" s="91"/>
      <c r="B79" s="92"/>
      <c r="C79" s="91"/>
      <c r="D79" s="91"/>
      <c r="E79" s="91"/>
      <c r="F79" s="91"/>
      <c r="G79" s="91"/>
      <c r="H79" s="91"/>
      <c r="I79" s="91"/>
      <c r="J79" s="91"/>
      <c r="K79" s="91"/>
    </row>
    <row r="80" ht="18.75" customHeight="1">
      <c r="A80" s="91"/>
      <c r="B80" s="92"/>
      <c r="C80" s="91"/>
      <c r="D80" s="91"/>
      <c r="E80" s="91"/>
      <c r="F80" s="91"/>
      <c r="G80" s="91"/>
      <c r="H80" s="91"/>
      <c r="I80" s="91"/>
      <c r="J80" s="91"/>
      <c r="K80" s="91"/>
    </row>
    <row r="81" ht="18.75" customHeight="1">
      <c r="A81" s="91"/>
      <c r="B81" s="92"/>
      <c r="C81" s="91"/>
      <c r="D81" s="91"/>
      <c r="E81" s="91"/>
      <c r="F81" s="91"/>
      <c r="G81" s="91"/>
      <c r="H81" s="91"/>
      <c r="I81" s="91"/>
      <c r="J81" s="91"/>
      <c r="K81" s="91"/>
    </row>
    <row r="82" ht="18.75" customHeight="1">
      <c r="A82" s="91"/>
      <c r="B82" s="92"/>
      <c r="C82" s="91"/>
      <c r="D82" s="91"/>
      <c r="E82" s="91"/>
      <c r="F82" s="91"/>
      <c r="G82" s="91"/>
      <c r="H82" s="91"/>
      <c r="I82" s="91"/>
      <c r="J82" s="91"/>
      <c r="K82" s="91"/>
    </row>
    <row r="83" ht="18.75" customHeight="1">
      <c r="A83" s="91"/>
      <c r="B83" s="92"/>
      <c r="C83" s="91"/>
      <c r="D83" s="91"/>
      <c r="E83" s="91"/>
      <c r="F83" s="91"/>
      <c r="G83" s="91"/>
      <c r="H83" s="91"/>
      <c r="I83" s="91"/>
      <c r="J83" s="91"/>
      <c r="K83" s="91"/>
    </row>
    <row r="84" ht="18.75" customHeight="1">
      <c r="A84" s="91"/>
      <c r="B84" s="92"/>
      <c r="C84" s="91"/>
      <c r="D84" s="91"/>
      <c r="E84" s="91"/>
      <c r="F84" s="91"/>
      <c r="G84" s="91"/>
      <c r="H84" s="91"/>
      <c r="I84" s="91"/>
      <c r="J84" s="91"/>
      <c r="K84" s="91"/>
    </row>
    <row r="85" ht="18.75" customHeight="1">
      <c r="A85" s="91"/>
      <c r="B85" s="92"/>
      <c r="C85" s="91"/>
      <c r="D85" s="91"/>
      <c r="E85" s="91"/>
      <c r="F85" s="91"/>
      <c r="G85" s="91"/>
      <c r="H85" s="91"/>
      <c r="I85" s="91"/>
      <c r="J85" s="91"/>
      <c r="K85" s="91"/>
    </row>
    <row r="86" ht="18.75" customHeight="1">
      <c r="A86" s="91"/>
      <c r="B86" s="92"/>
      <c r="C86" s="91"/>
      <c r="D86" s="91"/>
      <c r="E86" s="91"/>
      <c r="F86" s="91"/>
      <c r="G86" s="91"/>
      <c r="H86" s="91"/>
      <c r="I86" s="91"/>
      <c r="J86" s="91"/>
      <c r="K86" s="91"/>
    </row>
    <row r="87" ht="18.75" customHeight="1">
      <c r="A87" s="91"/>
      <c r="B87" s="92"/>
      <c r="C87" s="91"/>
      <c r="D87" s="91"/>
      <c r="E87" s="91"/>
      <c r="F87" s="91"/>
      <c r="G87" s="91"/>
      <c r="H87" s="91"/>
      <c r="I87" s="91"/>
      <c r="J87" s="91"/>
      <c r="K87" s="91"/>
    </row>
    <row r="88" ht="18.75" customHeight="1">
      <c r="A88" s="91"/>
      <c r="B88" s="92"/>
      <c r="C88" s="91"/>
      <c r="D88" s="91"/>
      <c r="E88" s="91"/>
      <c r="F88" s="91"/>
      <c r="G88" s="91"/>
      <c r="H88" s="91"/>
      <c r="I88" s="91"/>
      <c r="J88" s="91"/>
      <c r="K88" s="91"/>
    </row>
    <row r="89" ht="18.75" customHeight="1">
      <c r="A89" s="91"/>
      <c r="B89" s="92"/>
      <c r="C89" s="91"/>
      <c r="D89" s="91"/>
      <c r="E89" s="91"/>
      <c r="F89" s="91"/>
      <c r="G89" s="91"/>
      <c r="H89" s="91"/>
      <c r="I89" s="91"/>
      <c r="J89" s="91"/>
      <c r="K89" s="91"/>
    </row>
    <row r="90" ht="18.75" customHeight="1">
      <c r="A90" s="91"/>
      <c r="B90" s="92"/>
      <c r="C90" s="91"/>
      <c r="D90" s="91"/>
      <c r="E90" s="91"/>
      <c r="F90" s="91"/>
      <c r="G90" s="91"/>
      <c r="H90" s="91"/>
      <c r="I90" s="91"/>
      <c r="J90" s="91"/>
      <c r="K90" s="91"/>
    </row>
    <row r="91" ht="18.75" customHeight="1">
      <c r="A91" s="91"/>
      <c r="B91" s="92"/>
      <c r="C91" s="91"/>
      <c r="D91" s="91"/>
      <c r="E91" s="91"/>
      <c r="F91" s="91"/>
      <c r="G91" s="91"/>
      <c r="H91" s="91"/>
      <c r="I91" s="91"/>
      <c r="J91" s="91"/>
      <c r="K91" s="91"/>
    </row>
    <row r="92" ht="18.75" customHeight="1">
      <c r="A92" s="91"/>
      <c r="B92" s="92"/>
      <c r="C92" s="91"/>
      <c r="D92" s="91"/>
      <c r="E92" s="91"/>
      <c r="F92" s="91"/>
      <c r="G92" s="91"/>
      <c r="H92" s="91"/>
      <c r="I92" s="91"/>
      <c r="J92" s="91"/>
      <c r="K92" s="91"/>
    </row>
    <row r="93" ht="18.75" customHeight="1">
      <c r="A93" s="91"/>
      <c r="B93" s="92"/>
      <c r="C93" s="91"/>
      <c r="D93" s="91"/>
      <c r="E93" s="91"/>
      <c r="F93" s="91"/>
      <c r="G93" s="91"/>
      <c r="H93" s="91"/>
      <c r="I93" s="91"/>
      <c r="J93" s="91"/>
      <c r="K93" s="91"/>
    </row>
    <row r="94" ht="18.75" customHeight="1">
      <c r="A94" s="91"/>
      <c r="B94" s="92"/>
      <c r="C94" s="91"/>
      <c r="D94" s="91"/>
      <c r="E94" s="91"/>
      <c r="F94" s="91"/>
      <c r="G94" s="91"/>
      <c r="H94" s="91"/>
      <c r="I94" s="91"/>
      <c r="J94" s="91"/>
      <c r="K94" s="91"/>
    </row>
    <row r="95" ht="18.75" customHeight="1">
      <c r="A95" s="91"/>
      <c r="B95" s="92"/>
      <c r="C95" s="91"/>
      <c r="D95" s="91"/>
      <c r="E95" s="91"/>
      <c r="F95" s="91"/>
      <c r="G95" s="91"/>
      <c r="H95" s="91"/>
      <c r="I95" s="91"/>
      <c r="J95" s="91"/>
      <c r="K95" s="91"/>
    </row>
    <row r="96" ht="18.75" customHeight="1">
      <c r="A96" s="91"/>
      <c r="B96" s="92"/>
      <c r="C96" s="91"/>
      <c r="D96" s="91"/>
      <c r="E96" s="91"/>
      <c r="F96" s="91"/>
      <c r="G96" s="91"/>
      <c r="H96" s="91"/>
      <c r="I96" s="91"/>
      <c r="J96" s="91"/>
      <c r="K96" s="91"/>
    </row>
    <row r="97" ht="18.75" customHeight="1">
      <c r="A97" s="91"/>
      <c r="B97" s="92"/>
      <c r="C97" s="91"/>
      <c r="D97" s="91"/>
      <c r="E97" s="91"/>
      <c r="F97" s="91"/>
      <c r="G97" s="91"/>
      <c r="H97" s="91"/>
      <c r="I97" s="91"/>
      <c r="J97" s="91"/>
      <c r="K97" s="91"/>
    </row>
    <row r="98" ht="18.75" customHeight="1">
      <c r="A98" s="91"/>
      <c r="B98" s="92"/>
      <c r="C98" s="91"/>
      <c r="D98" s="91"/>
      <c r="E98" s="91"/>
      <c r="F98" s="91"/>
      <c r="G98" s="91"/>
      <c r="H98" s="91"/>
      <c r="I98" s="91"/>
      <c r="J98" s="91"/>
      <c r="K98" s="91"/>
    </row>
    <row r="99" ht="18.75" customHeight="1">
      <c r="A99" s="91"/>
      <c r="B99" s="92"/>
      <c r="C99" s="91"/>
      <c r="D99" s="91"/>
      <c r="E99" s="91"/>
      <c r="F99" s="91"/>
      <c r="G99" s="91"/>
      <c r="H99" s="91"/>
      <c r="I99" s="91"/>
      <c r="J99" s="91"/>
      <c r="K99" s="91"/>
    </row>
    <row r="100" ht="18.75" customHeight="1">
      <c r="A100" s="91"/>
      <c r="B100" s="92"/>
      <c r="C100" s="91"/>
      <c r="D100" s="91"/>
      <c r="E100" s="91"/>
      <c r="F100" s="91"/>
      <c r="G100" s="91"/>
      <c r="H100" s="91"/>
      <c r="I100" s="91"/>
      <c r="J100" s="91"/>
      <c r="K100" s="91"/>
    </row>
    <row r="101" ht="18.75" customHeight="1">
      <c r="A101" s="91"/>
      <c r="B101" s="92"/>
      <c r="C101" s="91"/>
      <c r="D101" s="91"/>
      <c r="E101" s="91"/>
      <c r="F101" s="91"/>
      <c r="G101" s="91"/>
      <c r="H101" s="91"/>
      <c r="I101" s="91"/>
      <c r="J101" s="91"/>
      <c r="K101" s="91"/>
    </row>
    <row r="102" ht="18.75" customHeight="1">
      <c r="A102" s="91"/>
      <c r="B102" s="92"/>
      <c r="C102" s="91"/>
      <c r="D102" s="91"/>
      <c r="E102" s="91"/>
      <c r="F102" s="91"/>
      <c r="G102" s="91"/>
      <c r="H102" s="91"/>
      <c r="I102" s="91"/>
      <c r="J102" s="91"/>
      <c r="K102" s="91"/>
    </row>
    <row r="103" ht="18.75" customHeight="1">
      <c r="A103" s="91"/>
      <c r="B103" s="92"/>
      <c r="C103" s="91"/>
      <c r="D103" s="91"/>
      <c r="E103" s="91"/>
      <c r="F103" s="91"/>
      <c r="G103" s="91"/>
      <c r="H103" s="91"/>
      <c r="I103" s="91"/>
      <c r="J103" s="91"/>
      <c r="K103" s="91"/>
    </row>
    <row r="104" ht="18.75" customHeight="1">
      <c r="A104" s="91"/>
      <c r="B104" s="92"/>
      <c r="C104" s="91"/>
      <c r="D104" s="91"/>
      <c r="E104" s="91"/>
      <c r="F104" s="91"/>
      <c r="G104" s="91"/>
      <c r="H104" s="91"/>
      <c r="I104" s="91"/>
      <c r="J104" s="91"/>
      <c r="K104" s="91"/>
    </row>
    <row r="105" ht="18.75" customHeight="1">
      <c r="A105" s="91"/>
      <c r="B105" s="92"/>
      <c r="C105" s="91"/>
      <c r="D105" s="91"/>
      <c r="E105" s="91"/>
      <c r="F105" s="91"/>
      <c r="G105" s="91"/>
      <c r="H105" s="91"/>
      <c r="I105" s="91"/>
      <c r="J105" s="91"/>
      <c r="K105" s="91"/>
    </row>
    <row r="106" ht="18.75" customHeight="1">
      <c r="A106" s="91"/>
      <c r="B106" s="92"/>
      <c r="C106" s="91"/>
      <c r="D106" s="91"/>
      <c r="E106" s="91"/>
      <c r="F106" s="91"/>
      <c r="G106" s="91"/>
      <c r="H106" s="91"/>
      <c r="I106" s="91"/>
      <c r="J106" s="91"/>
      <c r="K106" s="91"/>
    </row>
    <row r="107" ht="18.75" customHeight="1">
      <c r="A107" s="91"/>
      <c r="B107" s="92"/>
      <c r="C107" s="91"/>
      <c r="D107" s="91"/>
      <c r="E107" s="91"/>
      <c r="F107" s="91"/>
      <c r="G107" s="91"/>
      <c r="H107" s="91"/>
      <c r="I107" s="91"/>
      <c r="J107" s="91"/>
      <c r="K107" s="91"/>
    </row>
    <row r="108" ht="18.75" customHeight="1">
      <c r="A108" s="91"/>
      <c r="B108" s="92"/>
      <c r="C108" s="91"/>
      <c r="D108" s="91"/>
      <c r="E108" s="91"/>
      <c r="F108" s="91"/>
      <c r="G108" s="91"/>
      <c r="H108" s="91"/>
      <c r="I108" s="91"/>
      <c r="J108" s="91"/>
      <c r="K108" s="91"/>
    </row>
    <row r="109" ht="18.75" customHeight="1">
      <c r="A109" s="91"/>
      <c r="B109" s="92"/>
      <c r="C109" s="91"/>
      <c r="D109" s="91"/>
      <c r="E109" s="91"/>
      <c r="F109" s="91"/>
      <c r="G109" s="91"/>
      <c r="H109" s="91"/>
      <c r="I109" s="91"/>
      <c r="J109" s="91"/>
      <c r="K109" s="91"/>
    </row>
    <row r="110" ht="18.75" customHeight="1">
      <c r="A110" s="91"/>
      <c r="B110" s="92"/>
      <c r="C110" s="91"/>
      <c r="D110" s="91"/>
      <c r="E110" s="91"/>
      <c r="F110" s="91"/>
      <c r="G110" s="91"/>
      <c r="H110" s="91"/>
      <c r="I110" s="91"/>
      <c r="J110" s="91"/>
      <c r="K110" s="91"/>
    </row>
    <row r="111" ht="18.75" customHeight="1">
      <c r="A111" s="91"/>
      <c r="B111" s="92"/>
      <c r="C111" s="91"/>
      <c r="D111" s="91"/>
      <c r="E111" s="91"/>
      <c r="F111" s="91"/>
      <c r="G111" s="91"/>
      <c r="H111" s="91"/>
      <c r="I111" s="91"/>
      <c r="J111" s="91"/>
      <c r="K111" s="91"/>
    </row>
    <row r="112" ht="18.75" customHeight="1">
      <c r="A112" s="91"/>
      <c r="B112" s="92"/>
      <c r="C112" s="91"/>
      <c r="D112" s="91"/>
      <c r="E112" s="91"/>
      <c r="F112" s="91"/>
      <c r="G112" s="91"/>
      <c r="H112" s="91"/>
      <c r="I112" s="91"/>
      <c r="J112" s="91"/>
      <c r="K112" s="91"/>
    </row>
    <row r="113" ht="18.75" customHeight="1">
      <c r="A113" s="91"/>
      <c r="B113" s="92"/>
      <c r="C113" s="91"/>
      <c r="D113" s="91"/>
      <c r="E113" s="91"/>
      <c r="F113" s="91"/>
      <c r="G113" s="91"/>
      <c r="H113" s="91"/>
      <c r="I113" s="91"/>
      <c r="J113" s="91"/>
      <c r="K113" s="91"/>
    </row>
    <row r="114" ht="18.75" customHeight="1">
      <c r="A114" s="91"/>
      <c r="B114" s="92"/>
      <c r="C114" s="91"/>
      <c r="D114" s="91"/>
      <c r="E114" s="91"/>
      <c r="F114" s="91"/>
      <c r="G114" s="91"/>
      <c r="H114" s="91"/>
      <c r="I114" s="91"/>
      <c r="J114" s="91"/>
      <c r="K114" s="91"/>
    </row>
    <row r="115" ht="18.75" customHeight="1">
      <c r="A115" s="91"/>
      <c r="B115" s="92"/>
      <c r="C115" s="91"/>
      <c r="D115" s="91"/>
      <c r="E115" s="91"/>
      <c r="F115" s="91"/>
      <c r="G115" s="91"/>
      <c r="H115" s="91"/>
      <c r="I115" s="91"/>
      <c r="J115" s="91"/>
      <c r="K115" s="91"/>
    </row>
    <row r="116" ht="18.75" customHeight="1">
      <c r="A116" s="91"/>
      <c r="B116" s="92"/>
      <c r="C116" s="91"/>
      <c r="D116" s="91"/>
      <c r="E116" s="91"/>
      <c r="F116" s="91"/>
      <c r="G116" s="91"/>
      <c r="H116" s="91"/>
      <c r="I116" s="91"/>
      <c r="J116" s="91"/>
      <c r="K116" s="91"/>
    </row>
    <row r="117" ht="18.75" customHeight="1">
      <c r="A117" s="91"/>
      <c r="B117" s="92"/>
      <c r="C117" s="91"/>
      <c r="D117" s="91"/>
      <c r="E117" s="91"/>
      <c r="F117" s="91"/>
      <c r="G117" s="91"/>
      <c r="H117" s="91"/>
      <c r="I117" s="91"/>
      <c r="J117" s="91"/>
      <c r="K117" s="91"/>
    </row>
    <row r="118" ht="18.75" customHeight="1">
      <c r="A118" s="91"/>
      <c r="B118" s="92"/>
      <c r="C118" s="91"/>
      <c r="D118" s="91"/>
      <c r="E118" s="91"/>
      <c r="F118" s="91"/>
      <c r="G118" s="91"/>
      <c r="H118" s="91"/>
      <c r="I118" s="91"/>
      <c r="J118" s="91"/>
      <c r="K118" s="91"/>
    </row>
    <row r="119" ht="18.75" customHeight="1">
      <c r="A119" s="91"/>
      <c r="B119" s="92"/>
      <c r="C119" s="91"/>
      <c r="D119" s="91"/>
      <c r="E119" s="91"/>
      <c r="F119" s="91"/>
      <c r="G119" s="91"/>
      <c r="H119" s="91"/>
      <c r="I119" s="91"/>
      <c r="J119" s="91"/>
      <c r="K119" s="91"/>
    </row>
    <row r="120" ht="18.75" customHeight="1">
      <c r="A120" s="91"/>
      <c r="B120" s="92"/>
      <c r="C120" s="91"/>
      <c r="D120" s="91"/>
      <c r="E120" s="91"/>
      <c r="F120" s="91"/>
      <c r="G120" s="91"/>
      <c r="H120" s="91"/>
      <c r="I120" s="91"/>
      <c r="J120" s="91"/>
      <c r="K120" s="91"/>
    </row>
    <row r="121" ht="18.75" customHeight="1">
      <c r="A121" s="91"/>
      <c r="B121" s="92"/>
      <c r="C121" s="91"/>
      <c r="D121" s="91"/>
      <c r="E121" s="91"/>
      <c r="F121" s="91"/>
      <c r="G121" s="91"/>
      <c r="H121" s="91"/>
      <c r="I121" s="91"/>
      <c r="J121" s="91"/>
      <c r="K121" s="91"/>
    </row>
    <row r="122" ht="18.75" customHeight="1">
      <c r="A122" s="91"/>
      <c r="B122" s="92"/>
      <c r="C122" s="91"/>
      <c r="D122" s="91"/>
      <c r="E122" s="91"/>
      <c r="F122" s="91"/>
      <c r="G122" s="91"/>
      <c r="H122" s="91"/>
      <c r="I122" s="91"/>
      <c r="J122" s="91"/>
      <c r="K122" s="91"/>
    </row>
    <row r="123" ht="18.75" customHeight="1">
      <c r="A123" s="91"/>
      <c r="B123" s="92"/>
      <c r="C123" s="91"/>
      <c r="D123" s="91"/>
      <c r="E123" s="91"/>
      <c r="F123" s="91"/>
      <c r="G123" s="91"/>
      <c r="H123" s="91"/>
      <c r="I123" s="91"/>
      <c r="J123" s="91"/>
      <c r="K123" s="91"/>
    </row>
    <row r="124" ht="18.75" customHeight="1">
      <c r="A124" s="91"/>
      <c r="B124" s="92"/>
      <c r="C124" s="91"/>
      <c r="D124" s="91"/>
      <c r="E124" s="91"/>
      <c r="F124" s="91"/>
      <c r="G124" s="91"/>
      <c r="H124" s="91"/>
      <c r="I124" s="91"/>
      <c r="J124" s="91"/>
      <c r="K124" s="91"/>
    </row>
    <row r="125" ht="18.75" customHeight="1">
      <c r="A125" s="91"/>
      <c r="B125" s="92"/>
      <c r="C125" s="91"/>
      <c r="D125" s="91"/>
      <c r="E125" s="91"/>
      <c r="F125" s="91"/>
      <c r="G125" s="91"/>
      <c r="H125" s="91"/>
      <c r="I125" s="91"/>
      <c r="J125" s="91"/>
      <c r="K125" s="91"/>
    </row>
    <row r="126" ht="18.75" customHeight="1">
      <c r="A126" s="91"/>
      <c r="B126" s="92"/>
      <c r="C126" s="91"/>
      <c r="D126" s="91"/>
      <c r="E126" s="91"/>
      <c r="F126" s="91"/>
      <c r="G126" s="91"/>
      <c r="H126" s="91"/>
      <c r="I126" s="91"/>
      <c r="J126" s="91"/>
      <c r="K126" s="91"/>
    </row>
    <row r="127" ht="18.75" customHeight="1">
      <c r="A127" s="91"/>
      <c r="B127" s="92"/>
      <c r="C127" s="91"/>
      <c r="D127" s="91"/>
      <c r="E127" s="91"/>
      <c r="F127" s="91"/>
      <c r="G127" s="91"/>
      <c r="H127" s="91"/>
      <c r="I127" s="91"/>
      <c r="J127" s="91"/>
      <c r="K127" s="91"/>
    </row>
    <row r="128" ht="18.75" customHeight="1">
      <c r="A128" s="91"/>
      <c r="B128" s="92"/>
      <c r="C128" s="91"/>
      <c r="D128" s="91"/>
      <c r="E128" s="91"/>
      <c r="F128" s="91"/>
      <c r="G128" s="91"/>
      <c r="H128" s="91"/>
      <c r="I128" s="91"/>
      <c r="J128" s="91"/>
      <c r="K128" s="91"/>
    </row>
    <row r="129" ht="18.75" customHeight="1">
      <c r="A129" s="91"/>
      <c r="B129" s="92"/>
      <c r="C129" s="91"/>
      <c r="D129" s="91"/>
      <c r="E129" s="91"/>
      <c r="F129" s="91"/>
      <c r="G129" s="91"/>
      <c r="H129" s="91"/>
      <c r="I129" s="91"/>
      <c r="J129" s="91"/>
      <c r="K129" s="91"/>
    </row>
    <row r="130" ht="18.75" customHeight="1">
      <c r="A130" s="91"/>
      <c r="B130" s="92"/>
      <c r="C130" s="91"/>
      <c r="D130" s="91"/>
      <c r="E130" s="91"/>
      <c r="F130" s="91"/>
      <c r="G130" s="91"/>
      <c r="H130" s="91"/>
      <c r="I130" s="91"/>
      <c r="J130" s="91"/>
      <c r="K130" s="91"/>
    </row>
    <row r="131" ht="18.75" customHeight="1">
      <c r="A131" s="91"/>
      <c r="B131" s="92"/>
      <c r="C131" s="91"/>
      <c r="D131" s="91"/>
      <c r="E131" s="91"/>
      <c r="F131" s="91"/>
      <c r="G131" s="91"/>
      <c r="H131" s="91"/>
      <c r="I131" s="91"/>
      <c r="J131" s="91"/>
      <c r="K131" s="91"/>
    </row>
    <row r="132" ht="18.75" customHeight="1">
      <c r="A132" s="91"/>
      <c r="B132" s="92"/>
      <c r="C132" s="91"/>
      <c r="D132" s="91"/>
      <c r="E132" s="91"/>
      <c r="F132" s="91"/>
      <c r="G132" s="91"/>
      <c r="H132" s="91"/>
      <c r="I132" s="91"/>
      <c r="J132" s="91"/>
      <c r="K132" s="91"/>
    </row>
    <row r="133" ht="18.75" customHeight="1">
      <c r="A133" s="91"/>
      <c r="B133" s="92"/>
      <c r="C133" s="91"/>
      <c r="D133" s="91"/>
      <c r="E133" s="91"/>
      <c r="F133" s="91"/>
      <c r="G133" s="91"/>
      <c r="H133" s="91"/>
      <c r="I133" s="91"/>
      <c r="J133" s="91"/>
      <c r="K133" s="91"/>
    </row>
    <row r="134" ht="18.75" customHeight="1">
      <c r="A134" s="91"/>
      <c r="B134" s="92"/>
      <c r="C134" s="91"/>
      <c r="D134" s="91"/>
      <c r="E134" s="91"/>
      <c r="F134" s="91"/>
      <c r="G134" s="91"/>
      <c r="H134" s="91"/>
      <c r="I134" s="91"/>
      <c r="J134" s="91"/>
      <c r="K134" s="91"/>
    </row>
    <row r="135" ht="18.75" customHeight="1">
      <c r="A135" s="91"/>
      <c r="B135" s="92"/>
      <c r="C135" s="91"/>
      <c r="D135" s="91"/>
      <c r="E135" s="91"/>
      <c r="F135" s="91"/>
      <c r="G135" s="91"/>
      <c r="H135" s="91"/>
      <c r="I135" s="91"/>
      <c r="J135" s="91"/>
      <c r="K135" s="91"/>
    </row>
    <row r="136" ht="18.75" customHeight="1">
      <c r="A136" s="91"/>
      <c r="B136" s="92"/>
      <c r="C136" s="91"/>
      <c r="D136" s="91"/>
      <c r="E136" s="91"/>
      <c r="F136" s="91"/>
      <c r="G136" s="91"/>
      <c r="H136" s="91"/>
      <c r="I136" s="91"/>
      <c r="J136" s="91"/>
      <c r="K136" s="91"/>
    </row>
    <row r="137" ht="18.75" customHeight="1">
      <c r="A137" s="91"/>
      <c r="B137" s="92"/>
      <c r="C137" s="91"/>
      <c r="D137" s="91"/>
      <c r="E137" s="91"/>
      <c r="F137" s="91"/>
      <c r="G137" s="91"/>
      <c r="H137" s="91"/>
      <c r="I137" s="91"/>
      <c r="J137" s="91"/>
      <c r="K137" s="91"/>
    </row>
    <row r="138" ht="18.75" customHeight="1">
      <c r="A138" s="91"/>
      <c r="B138" s="92"/>
      <c r="C138" s="91"/>
      <c r="D138" s="91"/>
      <c r="E138" s="91"/>
      <c r="F138" s="91"/>
      <c r="G138" s="91"/>
      <c r="H138" s="91"/>
      <c r="I138" s="91"/>
      <c r="J138" s="91"/>
      <c r="K138" s="91"/>
    </row>
    <row r="139" ht="18.75" customHeight="1">
      <c r="A139" s="91"/>
      <c r="B139" s="92"/>
      <c r="C139" s="91"/>
      <c r="D139" s="91"/>
      <c r="E139" s="91"/>
      <c r="F139" s="91"/>
      <c r="G139" s="91"/>
      <c r="H139" s="91"/>
      <c r="I139" s="91"/>
      <c r="J139" s="91"/>
      <c r="K139" s="91"/>
    </row>
    <row r="140" ht="18.75" customHeight="1">
      <c r="A140" s="91"/>
      <c r="B140" s="92"/>
      <c r="C140" s="91"/>
      <c r="D140" s="91"/>
      <c r="E140" s="91"/>
      <c r="F140" s="91"/>
      <c r="G140" s="91"/>
      <c r="H140" s="91"/>
      <c r="I140" s="91"/>
      <c r="J140" s="91"/>
      <c r="K140" s="91"/>
    </row>
    <row r="141" ht="18.75" customHeight="1">
      <c r="A141" s="91"/>
      <c r="B141" s="92"/>
      <c r="C141" s="91"/>
      <c r="D141" s="91"/>
      <c r="E141" s="91"/>
      <c r="F141" s="91"/>
      <c r="G141" s="91"/>
      <c r="H141" s="91"/>
      <c r="I141" s="91"/>
      <c r="J141" s="91"/>
      <c r="K141" s="91"/>
    </row>
    <row r="142" ht="18.75" customHeight="1">
      <c r="A142" s="91"/>
      <c r="B142" s="92"/>
      <c r="C142" s="91"/>
      <c r="D142" s="91"/>
      <c r="E142" s="91"/>
      <c r="F142" s="91"/>
      <c r="G142" s="91"/>
      <c r="H142" s="91"/>
      <c r="I142" s="91"/>
      <c r="J142" s="91"/>
      <c r="K142" s="91"/>
    </row>
    <row r="143" ht="18.75" customHeight="1">
      <c r="A143" s="91"/>
      <c r="B143" s="92"/>
      <c r="C143" s="91"/>
      <c r="D143" s="91"/>
      <c r="E143" s="91"/>
      <c r="F143" s="91"/>
      <c r="G143" s="91"/>
      <c r="H143" s="91"/>
      <c r="I143" s="91"/>
      <c r="J143" s="91"/>
      <c r="K143" s="91"/>
    </row>
    <row r="144" ht="18.75" customHeight="1">
      <c r="A144" s="91"/>
      <c r="B144" s="92"/>
      <c r="C144" s="91"/>
      <c r="D144" s="91"/>
      <c r="E144" s="91"/>
      <c r="F144" s="91"/>
      <c r="G144" s="91"/>
      <c r="H144" s="91"/>
      <c r="I144" s="91"/>
      <c r="J144" s="91"/>
      <c r="K144" s="91"/>
    </row>
    <row r="145" ht="18.75" customHeight="1">
      <c r="A145" s="91"/>
      <c r="B145" s="92"/>
      <c r="C145" s="91"/>
      <c r="D145" s="91"/>
      <c r="E145" s="91"/>
      <c r="F145" s="91"/>
      <c r="G145" s="91"/>
      <c r="H145" s="91"/>
      <c r="I145" s="91"/>
      <c r="J145" s="91"/>
      <c r="K145" s="91"/>
    </row>
    <row r="146" ht="18.75" customHeight="1">
      <c r="A146" s="91"/>
      <c r="B146" s="92"/>
      <c r="C146" s="91"/>
      <c r="D146" s="91"/>
      <c r="E146" s="91"/>
      <c r="F146" s="91"/>
      <c r="G146" s="91"/>
      <c r="H146" s="91"/>
      <c r="I146" s="91"/>
      <c r="J146" s="91"/>
      <c r="K146" s="91"/>
    </row>
    <row r="147" ht="18.75" customHeight="1">
      <c r="A147" s="91"/>
      <c r="B147" s="92"/>
      <c r="C147" s="91"/>
      <c r="D147" s="91"/>
      <c r="E147" s="91"/>
      <c r="F147" s="91"/>
      <c r="G147" s="91"/>
      <c r="H147" s="91"/>
      <c r="I147" s="91"/>
      <c r="J147" s="91"/>
      <c r="K147" s="91"/>
    </row>
    <row r="148" ht="18.75" customHeight="1">
      <c r="A148" s="91"/>
      <c r="B148" s="92"/>
      <c r="C148" s="91"/>
      <c r="D148" s="91"/>
      <c r="E148" s="91"/>
      <c r="F148" s="91"/>
      <c r="G148" s="91"/>
      <c r="H148" s="91"/>
      <c r="I148" s="91"/>
      <c r="J148" s="91"/>
      <c r="K148" s="91"/>
    </row>
    <row r="149" ht="18.75" customHeight="1">
      <c r="A149" s="91"/>
      <c r="B149" s="92"/>
      <c r="C149" s="91"/>
      <c r="D149" s="91"/>
      <c r="E149" s="91"/>
      <c r="F149" s="91"/>
      <c r="G149" s="91"/>
      <c r="H149" s="91"/>
      <c r="I149" s="91"/>
      <c r="J149" s="91"/>
      <c r="K149" s="91"/>
    </row>
    <row r="150" ht="18.75" customHeight="1">
      <c r="A150" s="91"/>
      <c r="B150" s="92"/>
      <c r="C150" s="91"/>
      <c r="D150" s="91"/>
      <c r="E150" s="91"/>
      <c r="F150" s="91"/>
      <c r="G150" s="91"/>
      <c r="H150" s="91"/>
      <c r="I150" s="91"/>
      <c r="J150" s="91"/>
      <c r="K150" s="91"/>
    </row>
    <row r="151" ht="18.75" customHeight="1">
      <c r="A151" s="91"/>
      <c r="B151" s="92"/>
      <c r="C151" s="91"/>
      <c r="D151" s="91"/>
      <c r="E151" s="91"/>
      <c r="F151" s="91"/>
      <c r="G151" s="91"/>
      <c r="H151" s="91"/>
      <c r="I151" s="91"/>
      <c r="J151" s="91"/>
      <c r="K151" s="91"/>
    </row>
    <row r="152" ht="18.75" customHeight="1">
      <c r="A152" s="91"/>
      <c r="B152" s="92"/>
      <c r="C152" s="91"/>
      <c r="D152" s="91"/>
      <c r="E152" s="91"/>
      <c r="F152" s="91"/>
      <c r="G152" s="91"/>
      <c r="H152" s="91"/>
      <c r="I152" s="91"/>
      <c r="J152" s="91"/>
      <c r="K152" s="91"/>
    </row>
    <row r="153" ht="18.75" customHeight="1">
      <c r="A153" s="91"/>
      <c r="B153" s="92"/>
      <c r="C153" s="91"/>
      <c r="D153" s="91"/>
      <c r="E153" s="91"/>
      <c r="F153" s="91"/>
      <c r="G153" s="91"/>
      <c r="H153" s="91"/>
      <c r="I153" s="91"/>
      <c r="J153" s="91"/>
      <c r="K153" s="91"/>
    </row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H4:H6 H9:H19 H30:H41 E42:E153">
      <formula1>"1.1,1.2,1.3,2.1,2.2,2.3,2.4,2.5,2.6,2.7,2.8,2.9,2.11,2.12"</formula1>
    </dataValidation>
    <dataValidation type="list" allowBlank="1" showErrorMessage="1" sqref="E8:E41">
      <formula1>"1,1,1,2,2,1,2,11,2,12,2,2,2,3,2,5,2,6,2,7,2,8,2,9,2,4,1,3"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47.0"/>
    <col customWidth="1" min="7" max="7" width="7.0"/>
    <col customWidth="1" min="8" max="8" width="14.0"/>
    <col customWidth="1" min="9" max="9" width="46.0"/>
    <col customWidth="1" min="10" max="10" width="16.0"/>
    <col customWidth="1" min="11" max="26" width="14.0"/>
  </cols>
  <sheetData>
    <row r="1" ht="18.75" customHeight="1">
      <c r="A1" s="9" t="s">
        <v>20</v>
      </c>
      <c r="F1" s="10"/>
      <c r="G1" s="11"/>
      <c r="H1" s="115" t="s">
        <v>119</v>
      </c>
      <c r="I1" s="13"/>
      <c r="J1" s="14"/>
      <c r="K1" s="11"/>
    </row>
    <row r="2" ht="18.75" customHeight="1">
      <c r="A2" s="36" t="s">
        <v>222</v>
      </c>
      <c r="G2" s="11"/>
      <c r="H2" s="116" t="s">
        <v>23</v>
      </c>
      <c r="I2" s="17" t="s">
        <v>24</v>
      </c>
      <c r="J2" s="18" t="s">
        <v>25</v>
      </c>
      <c r="K2" s="11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117" t="s">
        <v>23</v>
      </c>
      <c r="F3" s="19" t="s">
        <v>24</v>
      </c>
      <c r="G3" s="11"/>
      <c r="H3" s="118" t="s">
        <v>223</v>
      </c>
      <c r="I3" s="24" t="s">
        <v>29</v>
      </c>
      <c r="J3" s="25">
        <f>SUM(J4:J6)</f>
        <v>472747966</v>
      </c>
      <c r="K3" s="11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119" t="s">
        <v>224</v>
      </c>
      <c r="I4" s="33" t="s">
        <v>121</v>
      </c>
      <c r="J4" s="25">
        <f>SUMIF($E$8:$E$54,1.1,$C$8:$C$45)</f>
        <v>0</v>
      </c>
      <c r="K4" s="11"/>
    </row>
    <row r="5" ht="18.75" customHeight="1">
      <c r="A5" s="26"/>
      <c r="B5" s="26"/>
      <c r="C5" s="30"/>
      <c r="D5" s="30"/>
      <c r="E5" s="27"/>
      <c r="F5" s="26"/>
      <c r="G5" s="11"/>
      <c r="H5" s="119" t="s">
        <v>225</v>
      </c>
      <c r="I5" s="33" t="s">
        <v>122</v>
      </c>
      <c r="J5" s="25">
        <f>SUMIF($E$8:$E$54,1.2,$C$8:$C$45)</f>
        <v>472747966</v>
      </c>
      <c r="K5" s="11"/>
    </row>
    <row r="6" ht="18.75" customHeight="1">
      <c r="A6" s="30"/>
      <c r="B6" s="30"/>
      <c r="C6" s="31"/>
      <c r="D6" s="31"/>
      <c r="E6" s="32"/>
      <c r="F6" s="30"/>
      <c r="G6" s="11"/>
      <c r="H6" s="119" t="s">
        <v>226</v>
      </c>
      <c r="I6" s="33" t="s">
        <v>34</v>
      </c>
      <c r="J6" s="25">
        <f>SUMIF($E$8:$E$54,1.3,$C$8:$C$45)</f>
        <v>0</v>
      </c>
      <c r="K6" s="11"/>
    </row>
    <row r="7" ht="21.75" customHeight="1">
      <c r="A7" s="36"/>
      <c r="B7" s="37"/>
      <c r="C7" s="42">
        <f t="shared" ref="C7:D7" si="1">SUM(C8:C100)</f>
        <v>472747966</v>
      </c>
      <c r="D7" s="42">
        <f t="shared" si="1"/>
        <v>359524900</v>
      </c>
      <c r="E7" s="39"/>
      <c r="F7" s="40"/>
      <c r="G7" s="40" t="s">
        <v>40</v>
      </c>
      <c r="H7" s="41"/>
      <c r="I7" s="40"/>
      <c r="J7" s="42"/>
      <c r="K7" s="40"/>
    </row>
    <row r="8" ht="18.75" customHeight="1">
      <c r="A8" s="111"/>
      <c r="B8" s="112">
        <v>45938.0</v>
      </c>
      <c r="C8" s="113"/>
      <c r="D8" s="113">
        <v>1.6652E7</v>
      </c>
      <c r="E8" s="120" t="s">
        <v>47</v>
      </c>
      <c r="F8" s="114" t="s">
        <v>227</v>
      </c>
      <c r="G8" s="11"/>
      <c r="H8" s="118" t="s">
        <v>228</v>
      </c>
      <c r="I8" s="53" t="s">
        <v>45</v>
      </c>
      <c r="J8" s="25">
        <f>SUM(J9:J19)</f>
        <v>359524900</v>
      </c>
      <c r="K8" s="11"/>
    </row>
    <row r="9" ht="18.75" customHeight="1">
      <c r="A9" s="55"/>
      <c r="B9" s="112">
        <v>45938.0</v>
      </c>
      <c r="C9" s="107"/>
      <c r="D9" s="107">
        <v>1.31E7</v>
      </c>
      <c r="E9" s="121" t="s">
        <v>127</v>
      </c>
      <c r="F9" s="58" t="s">
        <v>229</v>
      </c>
      <c r="G9" s="56"/>
      <c r="H9" s="121" t="s">
        <v>230</v>
      </c>
      <c r="I9" s="58" t="s">
        <v>49</v>
      </c>
      <c r="J9" s="59">
        <f>SUMIF($E$8:$E$54,2.1,$D$8:$D$45)</f>
        <v>0</v>
      </c>
      <c r="K9" s="11"/>
    </row>
    <row r="10" ht="18.75" customHeight="1">
      <c r="A10" s="55"/>
      <c r="B10" s="112">
        <v>45951.0</v>
      </c>
      <c r="C10" s="103"/>
      <c r="D10" s="103">
        <v>1297000.0</v>
      </c>
      <c r="E10" s="121" t="s">
        <v>123</v>
      </c>
      <c r="F10" s="58" t="s">
        <v>125</v>
      </c>
      <c r="G10" s="56"/>
      <c r="H10" s="121" t="s">
        <v>231</v>
      </c>
      <c r="I10" s="58" t="s">
        <v>53</v>
      </c>
      <c r="J10" s="25">
        <f>SUMIF($E$8:$E$54,2.2,$D$8:$D$45)</f>
        <v>78763000</v>
      </c>
      <c r="K10" s="11"/>
    </row>
    <row r="11" ht="18.75" customHeight="1">
      <c r="A11" s="55"/>
      <c r="B11" s="112">
        <v>45952.0</v>
      </c>
      <c r="C11" s="103"/>
      <c r="D11" s="103">
        <v>4212900.0</v>
      </c>
      <c r="E11" s="121" t="s">
        <v>232</v>
      </c>
      <c r="F11" s="58" t="s">
        <v>233</v>
      </c>
      <c r="G11" s="56"/>
      <c r="H11" s="121" t="s">
        <v>234</v>
      </c>
      <c r="I11" s="58" t="s">
        <v>56</v>
      </c>
      <c r="J11" s="25">
        <f>SUMIF($E$8:$E$54,2.3,$D$8:$D$45)</f>
        <v>245500000</v>
      </c>
      <c r="K11" s="11"/>
    </row>
    <row r="12" ht="18.75" customHeight="1">
      <c r="A12" s="55"/>
      <c r="B12" s="112">
        <v>45933.0</v>
      </c>
      <c r="C12" s="103"/>
      <c r="D12" s="103">
        <v>6.605E7</v>
      </c>
      <c r="E12" s="121" t="s">
        <v>62</v>
      </c>
      <c r="F12" s="58" t="s">
        <v>235</v>
      </c>
      <c r="G12" s="56"/>
      <c r="H12" s="121" t="s">
        <v>236</v>
      </c>
      <c r="I12" s="58" t="s">
        <v>59</v>
      </c>
      <c r="J12" s="25">
        <f>SUMIF($E$8:$E$54,2.4,$D$8:$D$45)</f>
        <v>4212900</v>
      </c>
      <c r="K12" s="11"/>
    </row>
    <row r="13" ht="18.75" customHeight="1">
      <c r="A13" s="55"/>
      <c r="B13" s="112">
        <v>45954.0</v>
      </c>
      <c r="C13" s="103"/>
      <c r="D13" s="103">
        <v>4713000.0</v>
      </c>
      <c r="E13" s="121" t="s">
        <v>62</v>
      </c>
      <c r="F13" s="58" t="s">
        <v>237</v>
      </c>
      <c r="G13" s="56"/>
      <c r="H13" s="121" t="s">
        <v>238</v>
      </c>
      <c r="I13" s="58" t="s">
        <v>64</v>
      </c>
      <c r="J13" s="25">
        <f>SUMIF($E$8:$E$54,2.5,$D$8:$D$45)</f>
        <v>0</v>
      </c>
      <c r="K13" s="11"/>
    </row>
    <row r="14" ht="18.75" customHeight="1">
      <c r="A14" s="55"/>
      <c r="B14" s="112">
        <v>45946.0</v>
      </c>
      <c r="C14" s="103"/>
      <c r="D14" s="103">
        <v>1500000.0</v>
      </c>
      <c r="E14" s="122" t="s">
        <v>67</v>
      </c>
      <c r="F14" s="105" t="s">
        <v>239</v>
      </c>
      <c r="G14" s="56"/>
      <c r="H14" s="121" t="s">
        <v>240</v>
      </c>
      <c r="I14" s="58" t="s">
        <v>66</v>
      </c>
      <c r="J14" s="25">
        <f>SUMIF($E$8:$E$54,2.6,$D$8:$D$45)</f>
        <v>16652000</v>
      </c>
      <c r="K14" s="11"/>
    </row>
    <row r="15" ht="18.75" customHeight="1">
      <c r="A15" s="55"/>
      <c r="B15" s="112">
        <v>45956.0</v>
      </c>
      <c r="C15" s="103"/>
      <c r="D15" s="103">
        <v>1.0E7</v>
      </c>
      <c r="E15" s="122" t="s">
        <v>67</v>
      </c>
      <c r="F15" s="105" t="s">
        <v>241</v>
      </c>
      <c r="G15" s="56"/>
      <c r="H15" s="121" t="s">
        <v>242</v>
      </c>
      <c r="I15" s="58" t="s">
        <v>69</v>
      </c>
      <c r="J15" s="25">
        <f>SUMIF($E$8:$E$54,2.7,$D$8:$D$45)</f>
        <v>1297000</v>
      </c>
      <c r="K15" s="11"/>
    </row>
    <row r="16" ht="18.75" customHeight="1">
      <c r="A16" s="55"/>
      <c r="B16" s="112">
        <v>45957.0</v>
      </c>
      <c r="C16" s="103"/>
      <c r="D16" s="103">
        <v>2.0E7</v>
      </c>
      <c r="E16" s="122" t="s">
        <v>67</v>
      </c>
      <c r="F16" s="105" t="s">
        <v>241</v>
      </c>
      <c r="G16" s="56"/>
      <c r="H16" s="121" t="s">
        <v>243</v>
      </c>
      <c r="I16" s="58" t="s">
        <v>71</v>
      </c>
      <c r="J16" s="25">
        <f>SUMIF($E$8:$E$54,2.8,$D$8:$D$45)</f>
        <v>13100000</v>
      </c>
      <c r="K16" s="11"/>
    </row>
    <row r="17" ht="18.75" customHeight="1">
      <c r="A17" s="55"/>
      <c r="B17" s="112">
        <v>45957.0</v>
      </c>
      <c r="C17" s="103"/>
      <c r="D17" s="103">
        <v>8000000.0</v>
      </c>
      <c r="E17" s="122" t="s">
        <v>62</v>
      </c>
      <c r="F17" s="105" t="s">
        <v>244</v>
      </c>
      <c r="G17" s="56"/>
      <c r="H17" s="121" t="s">
        <v>245</v>
      </c>
      <c r="I17" s="58" t="s">
        <v>74</v>
      </c>
      <c r="J17" s="25">
        <f>SUMIF($E$8:$E$54,2.9,$D$8:$D$45)</f>
        <v>0</v>
      </c>
      <c r="K17" s="11"/>
    </row>
    <row r="18" ht="18.75" customHeight="1">
      <c r="A18" s="55"/>
      <c r="B18" s="112">
        <v>45959.0</v>
      </c>
      <c r="C18" s="103"/>
      <c r="D18" s="103">
        <v>800000.0</v>
      </c>
      <c r="E18" s="122" t="s">
        <v>67</v>
      </c>
      <c r="F18" s="105" t="s">
        <v>246</v>
      </c>
      <c r="G18" s="56"/>
      <c r="H18" s="121" t="s">
        <v>247</v>
      </c>
      <c r="I18" s="58" t="s">
        <v>77</v>
      </c>
      <c r="J18" s="25">
        <f>SUMIF($E$8:$E$54,2.11,$D$8:$D$45)</f>
        <v>0</v>
      </c>
      <c r="K18" s="11"/>
    </row>
    <row r="19" ht="18.75" customHeight="1">
      <c r="A19" s="55"/>
      <c r="B19" s="112">
        <v>45960.0</v>
      </c>
      <c r="C19" s="103"/>
      <c r="D19" s="103">
        <v>3.0E7</v>
      </c>
      <c r="E19" s="122" t="s">
        <v>67</v>
      </c>
      <c r="F19" s="105" t="s">
        <v>241</v>
      </c>
      <c r="G19" s="56"/>
      <c r="H19" s="121" t="s">
        <v>248</v>
      </c>
      <c r="I19" s="58" t="s">
        <v>80</v>
      </c>
      <c r="J19" s="25">
        <f>SUMIF($E$8:$E$54,2.12,$D$8:$D$45)</f>
        <v>0</v>
      </c>
      <c r="K19" s="11"/>
    </row>
    <row r="20" ht="18.75" customHeight="1">
      <c r="A20" s="55"/>
      <c r="B20" s="112">
        <v>45960.0</v>
      </c>
      <c r="C20" s="103"/>
      <c r="D20" s="103">
        <v>200000.0</v>
      </c>
      <c r="E20" s="122" t="s">
        <v>67</v>
      </c>
      <c r="F20" s="105" t="s">
        <v>241</v>
      </c>
      <c r="G20" s="56"/>
      <c r="H20" s="123" t="s">
        <v>249</v>
      </c>
      <c r="I20" s="74" t="s">
        <v>82</v>
      </c>
      <c r="J20" s="75">
        <f>J3-J8</f>
        <v>113223066</v>
      </c>
      <c r="K20" s="11"/>
    </row>
    <row r="21" ht="18.75" customHeight="1">
      <c r="A21" s="55"/>
      <c r="B21" s="112">
        <v>45954.0</v>
      </c>
      <c r="C21" s="103">
        <v>8.25E7</v>
      </c>
      <c r="D21" s="103"/>
      <c r="E21" s="121" t="s">
        <v>111</v>
      </c>
      <c r="F21" s="58" t="s">
        <v>250</v>
      </c>
      <c r="G21" s="11"/>
      <c r="H21" s="124"/>
      <c r="I21" s="11"/>
      <c r="J21" s="11"/>
      <c r="K21" s="11"/>
    </row>
    <row r="22" ht="18.75" customHeight="1">
      <c r="A22" s="55"/>
      <c r="B22" s="112">
        <v>45954.0</v>
      </c>
      <c r="C22" s="103">
        <v>8.25E7</v>
      </c>
      <c r="D22" s="103"/>
      <c r="E22" s="121" t="s">
        <v>111</v>
      </c>
      <c r="F22" s="58" t="s">
        <v>251</v>
      </c>
      <c r="G22" s="11"/>
      <c r="H22" s="115" t="s">
        <v>132</v>
      </c>
      <c r="I22" s="13"/>
      <c r="J22" s="14"/>
      <c r="K22" s="11"/>
    </row>
    <row r="23" ht="18.75" customHeight="1">
      <c r="A23" s="55"/>
      <c r="B23" s="112">
        <v>45940.0</v>
      </c>
      <c r="C23" s="103">
        <v>8.25E7</v>
      </c>
      <c r="D23" s="103"/>
      <c r="E23" s="121" t="s">
        <v>111</v>
      </c>
      <c r="F23" s="58" t="s">
        <v>252</v>
      </c>
      <c r="G23" s="56"/>
      <c r="H23" s="125"/>
      <c r="I23" s="74" t="s">
        <v>24</v>
      </c>
      <c r="J23" s="57" t="s">
        <v>25</v>
      </c>
      <c r="K23" s="11"/>
    </row>
    <row r="24" ht="18.75" customHeight="1">
      <c r="A24" s="55"/>
      <c r="B24" s="112">
        <v>45943.0</v>
      </c>
      <c r="C24" s="103">
        <v>8.25E7</v>
      </c>
      <c r="D24" s="103"/>
      <c r="E24" s="121" t="s">
        <v>111</v>
      </c>
      <c r="F24" s="58" t="s">
        <v>253</v>
      </c>
      <c r="G24" s="56"/>
      <c r="H24" s="126" t="s">
        <v>86</v>
      </c>
      <c r="I24" s="74" t="s">
        <v>87</v>
      </c>
      <c r="J24" s="80">
        <v>0.0</v>
      </c>
      <c r="K24" s="11"/>
    </row>
    <row r="25" ht="18.75" customHeight="1">
      <c r="A25" s="55"/>
      <c r="B25" s="83">
        <v>45939.0</v>
      </c>
      <c r="C25" s="103">
        <v>1.2E8</v>
      </c>
      <c r="D25" s="103"/>
      <c r="E25" s="121" t="s">
        <v>111</v>
      </c>
      <c r="F25" s="58" t="s">
        <v>254</v>
      </c>
      <c r="G25" s="56"/>
      <c r="H25" s="126" t="s">
        <v>88</v>
      </c>
      <c r="I25" s="74" t="s">
        <v>89</v>
      </c>
      <c r="J25" s="82">
        <f>SUM(J26:J28)</f>
        <v>472747966</v>
      </c>
      <c r="K25" s="11"/>
    </row>
    <row r="26" ht="18.75" customHeight="1">
      <c r="A26" s="55"/>
      <c r="B26" s="83">
        <v>45950.0</v>
      </c>
      <c r="C26" s="103">
        <v>2747966.0</v>
      </c>
      <c r="D26" s="103"/>
      <c r="E26" s="121" t="s">
        <v>111</v>
      </c>
      <c r="F26" s="58" t="s">
        <v>255</v>
      </c>
      <c r="G26" s="56"/>
      <c r="H26" s="125"/>
      <c r="I26" s="58" t="s">
        <v>90</v>
      </c>
      <c r="J26" s="82">
        <f>J3</f>
        <v>472747966</v>
      </c>
      <c r="K26" s="11"/>
    </row>
    <row r="27" ht="18.75" customHeight="1">
      <c r="A27" s="55"/>
      <c r="B27" s="83">
        <v>45948.0</v>
      </c>
      <c r="C27" s="103">
        <v>2.0E7</v>
      </c>
      <c r="D27" s="103"/>
      <c r="E27" s="121" t="s">
        <v>111</v>
      </c>
      <c r="F27" s="58" t="s">
        <v>256</v>
      </c>
      <c r="G27" s="56"/>
      <c r="H27" s="125"/>
      <c r="I27" s="58" t="s">
        <v>91</v>
      </c>
      <c r="J27" s="74"/>
      <c r="K27" s="11"/>
    </row>
    <row r="28" ht="18.75" customHeight="1">
      <c r="A28" s="55"/>
      <c r="B28" s="83">
        <v>45938.0</v>
      </c>
      <c r="C28" s="103"/>
      <c r="D28" s="103">
        <v>2000000.0</v>
      </c>
      <c r="E28" s="122" t="s">
        <v>67</v>
      </c>
      <c r="F28" s="105" t="s">
        <v>241</v>
      </c>
      <c r="G28" s="56"/>
      <c r="H28" s="125"/>
      <c r="I28" s="58" t="s">
        <v>92</v>
      </c>
      <c r="J28" s="74"/>
      <c r="K28" s="11"/>
    </row>
    <row r="29" ht="18.75" customHeight="1">
      <c r="A29" s="55"/>
      <c r="B29" s="83">
        <v>45939.0</v>
      </c>
      <c r="C29" s="103"/>
      <c r="D29" s="103">
        <v>2000000.0</v>
      </c>
      <c r="E29" s="122" t="s">
        <v>67</v>
      </c>
      <c r="F29" s="105" t="s">
        <v>241</v>
      </c>
      <c r="G29" s="56"/>
      <c r="H29" s="126" t="s">
        <v>93</v>
      </c>
      <c r="I29" s="74" t="s">
        <v>94</v>
      </c>
      <c r="J29" s="82">
        <f>SUM(J30:J41)</f>
        <v>359524900</v>
      </c>
      <c r="K29" s="11"/>
    </row>
    <row r="30" ht="18.75" customHeight="1">
      <c r="A30" s="55"/>
      <c r="B30" s="83">
        <v>45939.0</v>
      </c>
      <c r="C30" s="103"/>
      <c r="D30" s="103">
        <v>2000000.0</v>
      </c>
      <c r="E30" s="122" t="s">
        <v>67</v>
      </c>
      <c r="F30" s="105" t="s">
        <v>241</v>
      </c>
      <c r="G30" s="56"/>
      <c r="H30" s="121" t="s">
        <v>230</v>
      </c>
      <c r="I30" s="58" t="s">
        <v>49</v>
      </c>
      <c r="J30" s="82">
        <f>J9</f>
        <v>0</v>
      </c>
      <c r="K30" s="11"/>
    </row>
    <row r="31" ht="18.75" customHeight="1">
      <c r="A31" s="55"/>
      <c r="B31" s="83">
        <v>45939.0</v>
      </c>
      <c r="C31" s="103"/>
      <c r="D31" s="103">
        <v>2000000.0</v>
      </c>
      <c r="E31" s="122" t="s">
        <v>67</v>
      </c>
      <c r="F31" s="105" t="s">
        <v>241</v>
      </c>
      <c r="G31" s="56"/>
      <c r="H31" s="119" t="s">
        <v>226</v>
      </c>
      <c r="I31" s="58" t="s">
        <v>96</v>
      </c>
      <c r="J31" s="80"/>
      <c r="K31" s="11"/>
    </row>
    <row r="32" ht="18.75" customHeight="1">
      <c r="A32" s="55"/>
      <c r="B32" s="83">
        <v>45940.0</v>
      </c>
      <c r="C32" s="103"/>
      <c r="D32" s="103">
        <v>5000000.0</v>
      </c>
      <c r="E32" s="122" t="s">
        <v>67</v>
      </c>
      <c r="F32" s="105" t="s">
        <v>241</v>
      </c>
      <c r="G32" s="56"/>
      <c r="H32" s="121" t="s">
        <v>231</v>
      </c>
      <c r="I32" s="58" t="s">
        <v>53</v>
      </c>
      <c r="J32" s="82">
        <f t="shared" ref="J32:J41" si="2">J10</f>
        <v>78763000</v>
      </c>
      <c r="K32" s="11"/>
    </row>
    <row r="33" ht="18.75" customHeight="1">
      <c r="A33" s="55"/>
      <c r="B33" s="83">
        <v>45943.0</v>
      </c>
      <c r="C33" s="103"/>
      <c r="D33" s="103">
        <v>1.0E7</v>
      </c>
      <c r="E33" s="122" t="s">
        <v>67</v>
      </c>
      <c r="F33" s="105" t="s">
        <v>241</v>
      </c>
      <c r="G33" s="56"/>
      <c r="H33" s="121" t="s">
        <v>234</v>
      </c>
      <c r="I33" s="58" t="s">
        <v>56</v>
      </c>
      <c r="J33" s="82">
        <f t="shared" si="2"/>
        <v>245500000</v>
      </c>
      <c r="K33" s="11"/>
    </row>
    <row r="34" ht="18.75" customHeight="1">
      <c r="A34" s="55"/>
      <c r="B34" s="83">
        <v>45944.0</v>
      </c>
      <c r="C34" s="103"/>
      <c r="D34" s="103">
        <v>1.0E7</v>
      </c>
      <c r="E34" s="122" t="s">
        <v>67</v>
      </c>
      <c r="F34" s="105" t="s">
        <v>241</v>
      </c>
      <c r="G34" s="56"/>
      <c r="H34" s="121" t="s">
        <v>236</v>
      </c>
      <c r="I34" s="58" t="s">
        <v>59</v>
      </c>
      <c r="J34" s="82">
        <f t="shared" si="2"/>
        <v>4212900</v>
      </c>
      <c r="K34" s="11"/>
    </row>
    <row r="35" ht="18.75" customHeight="1">
      <c r="A35" s="55"/>
      <c r="B35" s="83">
        <v>45948.0</v>
      </c>
      <c r="C35" s="103"/>
      <c r="D35" s="103">
        <v>1.0E7</v>
      </c>
      <c r="E35" s="122" t="s">
        <v>67</v>
      </c>
      <c r="F35" s="105" t="s">
        <v>241</v>
      </c>
      <c r="G35" s="56"/>
      <c r="H35" s="121" t="s">
        <v>238</v>
      </c>
      <c r="I35" s="58" t="s">
        <v>64</v>
      </c>
      <c r="J35" s="82">
        <f t="shared" si="2"/>
        <v>0</v>
      </c>
      <c r="K35" s="11"/>
    </row>
    <row r="36" ht="18.75" customHeight="1">
      <c r="A36" s="55"/>
      <c r="B36" s="83">
        <v>45950.0</v>
      </c>
      <c r="C36" s="103"/>
      <c r="D36" s="103">
        <v>1.0E7</v>
      </c>
      <c r="E36" s="122" t="s">
        <v>67</v>
      </c>
      <c r="F36" s="105" t="s">
        <v>241</v>
      </c>
      <c r="G36" s="56"/>
      <c r="H36" s="121" t="s">
        <v>240</v>
      </c>
      <c r="I36" s="58" t="s">
        <v>66</v>
      </c>
      <c r="J36" s="82">
        <f t="shared" si="2"/>
        <v>16652000</v>
      </c>
      <c r="K36" s="11"/>
    </row>
    <row r="37" ht="18.75" customHeight="1">
      <c r="A37" s="55"/>
      <c r="B37" s="83">
        <v>45950.0</v>
      </c>
      <c r="C37" s="103"/>
      <c r="D37" s="103">
        <v>1.0E7</v>
      </c>
      <c r="E37" s="122" t="s">
        <v>67</v>
      </c>
      <c r="F37" s="105" t="s">
        <v>241</v>
      </c>
      <c r="G37" s="56"/>
      <c r="H37" s="121" t="s">
        <v>242</v>
      </c>
      <c r="I37" s="58" t="s">
        <v>69</v>
      </c>
      <c r="J37" s="82">
        <f t="shared" si="2"/>
        <v>1297000</v>
      </c>
      <c r="K37" s="11"/>
    </row>
    <row r="38" ht="18.75" customHeight="1">
      <c r="A38" s="55"/>
      <c r="B38" s="83">
        <v>45950.0</v>
      </c>
      <c r="C38" s="103"/>
      <c r="D38" s="103">
        <v>1.0E7</v>
      </c>
      <c r="E38" s="122" t="s">
        <v>67</v>
      </c>
      <c r="F38" s="105" t="s">
        <v>241</v>
      </c>
      <c r="G38" s="56"/>
      <c r="H38" s="121" t="s">
        <v>243</v>
      </c>
      <c r="I38" s="58" t="s">
        <v>71</v>
      </c>
      <c r="J38" s="82">
        <f t="shared" si="2"/>
        <v>13100000</v>
      </c>
      <c r="K38" s="11"/>
    </row>
    <row r="39" ht="18.75" customHeight="1">
      <c r="A39" s="55"/>
      <c r="B39" s="83">
        <v>45951.0</v>
      </c>
      <c r="C39" s="103"/>
      <c r="D39" s="103">
        <v>1.0E7</v>
      </c>
      <c r="E39" s="122" t="s">
        <v>67</v>
      </c>
      <c r="F39" s="105" t="s">
        <v>241</v>
      </c>
      <c r="G39" s="56"/>
      <c r="H39" s="121" t="s">
        <v>245</v>
      </c>
      <c r="I39" s="58" t="s">
        <v>74</v>
      </c>
      <c r="J39" s="82">
        <f t="shared" si="2"/>
        <v>0</v>
      </c>
      <c r="K39" s="11"/>
    </row>
    <row r="40" ht="18.75" customHeight="1">
      <c r="A40" s="55"/>
      <c r="B40" s="83">
        <v>45952.0</v>
      </c>
      <c r="C40" s="103"/>
      <c r="D40" s="103">
        <v>1.0E7</v>
      </c>
      <c r="E40" s="122" t="s">
        <v>67</v>
      </c>
      <c r="F40" s="105" t="s">
        <v>241</v>
      </c>
      <c r="G40" s="56"/>
      <c r="H40" s="121" t="s">
        <v>247</v>
      </c>
      <c r="I40" s="58" t="s">
        <v>77</v>
      </c>
      <c r="J40" s="82">
        <f t="shared" si="2"/>
        <v>0</v>
      </c>
      <c r="K40" s="11"/>
    </row>
    <row r="41" ht="18.75" customHeight="1">
      <c r="A41" s="55"/>
      <c r="B41" s="83">
        <v>45954.0</v>
      </c>
      <c r="C41" s="103"/>
      <c r="D41" s="103">
        <v>2.0E7</v>
      </c>
      <c r="E41" s="122" t="s">
        <v>67</v>
      </c>
      <c r="F41" s="105" t="s">
        <v>241</v>
      </c>
      <c r="G41" s="56"/>
      <c r="H41" s="121" t="s">
        <v>248</v>
      </c>
      <c r="I41" s="58" t="s">
        <v>97</v>
      </c>
      <c r="J41" s="82">
        <f t="shared" si="2"/>
        <v>0</v>
      </c>
      <c r="K41" s="11"/>
    </row>
    <row r="42" ht="18.75" customHeight="1">
      <c r="A42" s="55"/>
      <c r="B42" s="83">
        <v>45954.0</v>
      </c>
      <c r="C42" s="103"/>
      <c r="D42" s="103">
        <v>2.0E7</v>
      </c>
      <c r="E42" s="122" t="s">
        <v>67</v>
      </c>
      <c r="F42" s="105" t="s">
        <v>241</v>
      </c>
      <c r="G42" s="56"/>
      <c r="H42" s="126" t="s">
        <v>98</v>
      </c>
      <c r="I42" s="74" t="s">
        <v>5</v>
      </c>
      <c r="J42" s="25">
        <f>J24+J25-J29</f>
        <v>113223066</v>
      </c>
      <c r="K42" s="11"/>
    </row>
    <row r="43" ht="18.75" customHeight="1">
      <c r="A43" s="55"/>
      <c r="B43" s="83">
        <v>45956.0</v>
      </c>
      <c r="C43" s="103"/>
      <c r="D43" s="103">
        <v>1.0E7</v>
      </c>
      <c r="E43" s="122" t="s">
        <v>67</v>
      </c>
      <c r="F43" s="105" t="s">
        <v>241</v>
      </c>
      <c r="G43" s="11"/>
      <c r="H43" s="124"/>
      <c r="I43" s="11"/>
      <c r="J43" s="11"/>
      <c r="K43" s="11"/>
    </row>
    <row r="44" ht="18.75" customHeight="1">
      <c r="A44" s="55"/>
      <c r="B44" s="83">
        <v>45957.0</v>
      </c>
      <c r="C44" s="103"/>
      <c r="D44" s="103">
        <v>2.0E7</v>
      </c>
      <c r="E44" s="122" t="s">
        <v>67</v>
      </c>
      <c r="F44" s="105" t="s">
        <v>241</v>
      </c>
      <c r="G44" s="11"/>
      <c r="H44" s="127" t="s">
        <v>99</v>
      </c>
      <c r="I44" s="87"/>
      <c r="J44" s="87"/>
      <c r="K44" s="21"/>
    </row>
    <row r="45" ht="18.75" customHeight="1">
      <c r="A45" s="55"/>
      <c r="B45" s="83">
        <v>45960.0</v>
      </c>
      <c r="C45" s="103"/>
      <c r="D45" s="103">
        <v>2.0E7</v>
      </c>
      <c r="E45" s="122" t="s">
        <v>67</v>
      </c>
      <c r="F45" s="105" t="s">
        <v>241</v>
      </c>
      <c r="G45" s="56"/>
      <c r="H45" s="126" t="s">
        <v>23</v>
      </c>
      <c r="I45" s="74" t="s">
        <v>24</v>
      </c>
      <c r="J45" s="57" t="s">
        <v>25</v>
      </c>
      <c r="K45" s="88" t="s">
        <v>100</v>
      </c>
    </row>
    <row r="46" ht="18.75" customHeight="1">
      <c r="A46" s="55"/>
      <c r="B46" s="83"/>
      <c r="C46" s="103"/>
      <c r="D46" s="103"/>
      <c r="E46" s="122" t="s">
        <v>67</v>
      </c>
      <c r="F46" s="105" t="s">
        <v>241</v>
      </c>
      <c r="G46" s="56"/>
      <c r="H46" s="126" t="s">
        <v>86</v>
      </c>
      <c r="I46" s="74" t="s">
        <v>87</v>
      </c>
      <c r="J46" s="82">
        <f>J42</f>
        <v>113223066</v>
      </c>
      <c r="K46" s="89"/>
    </row>
    <row r="47" ht="18.75" customHeight="1">
      <c r="A47" s="55"/>
      <c r="B47" s="83"/>
      <c r="C47" s="103"/>
      <c r="D47" s="103"/>
      <c r="E47" s="121"/>
      <c r="F47" s="58"/>
      <c r="G47" s="56"/>
      <c r="H47" s="126" t="s">
        <v>88</v>
      </c>
      <c r="I47" s="74" t="s">
        <v>89</v>
      </c>
      <c r="J47" s="82">
        <f>SUM(J48:J54)</f>
        <v>270000000</v>
      </c>
      <c r="K47" s="89"/>
    </row>
    <row r="48" ht="18.75" customHeight="1">
      <c r="A48" s="55"/>
      <c r="B48" s="83"/>
      <c r="C48" s="58"/>
      <c r="D48" s="103"/>
      <c r="E48" s="121"/>
      <c r="F48" s="58"/>
      <c r="G48" s="56"/>
      <c r="H48" s="125"/>
      <c r="I48" s="58" t="s">
        <v>257</v>
      </c>
      <c r="J48" s="90">
        <v>5.0E7</v>
      </c>
      <c r="K48" s="89"/>
    </row>
    <row r="49" ht="18.75" customHeight="1">
      <c r="A49" s="55"/>
      <c r="B49" s="83"/>
      <c r="C49" s="58"/>
      <c r="D49" s="103"/>
      <c r="E49" s="121"/>
      <c r="F49" s="58"/>
      <c r="G49" s="56"/>
      <c r="H49" s="125"/>
      <c r="I49" s="58" t="s">
        <v>258</v>
      </c>
      <c r="J49" s="90">
        <v>1.1E8</v>
      </c>
      <c r="K49" s="89"/>
    </row>
    <row r="50" ht="18.75" customHeight="1">
      <c r="A50" s="55"/>
      <c r="B50" s="83"/>
      <c r="C50" s="58"/>
      <c r="D50" s="103"/>
      <c r="E50" s="121"/>
      <c r="F50" s="58"/>
      <c r="G50" s="56"/>
      <c r="H50" s="125"/>
      <c r="I50" s="58" t="s">
        <v>259</v>
      </c>
      <c r="J50" s="90">
        <v>1.1E8</v>
      </c>
      <c r="K50" s="89"/>
    </row>
    <row r="51" ht="18.75" customHeight="1">
      <c r="A51" s="55"/>
      <c r="B51" s="83"/>
      <c r="C51" s="58"/>
      <c r="D51" s="103"/>
      <c r="E51" s="121"/>
      <c r="F51" s="58"/>
      <c r="G51" s="56"/>
      <c r="H51" s="125"/>
      <c r="I51" s="58"/>
      <c r="J51" s="90"/>
      <c r="K51" s="89"/>
    </row>
    <row r="52" ht="18.75" customHeight="1">
      <c r="A52" s="55"/>
      <c r="B52" s="83"/>
      <c r="C52" s="58"/>
      <c r="D52" s="103"/>
      <c r="E52" s="121"/>
      <c r="F52" s="58"/>
      <c r="G52" s="56"/>
      <c r="H52" s="125"/>
      <c r="I52" s="58"/>
      <c r="J52" s="74"/>
      <c r="K52" s="89"/>
    </row>
    <row r="53" ht="18.75" customHeight="1">
      <c r="A53" s="55"/>
      <c r="B53" s="83"/>
      <c r="C53" s="58"/>
      <c r="D53" s="103"/>
      <c r="E53" s="121"/>
      <c r="F53" s="58"/>
      <c r="G53" s="56"/>
      <c r="H53" s="125"/>
      <c r="I53" s="58"/>
      <c r="J53" s="74"/>
      <c r="K53" s="89"/>
    </row>
    <row r="54" ht="18.75" customHeight="1">
      <c r="A54" s="55"/>
      <c r="B54" s="83"/>
      <c r="C54" s="58"/>
      <c r="D54" s="103"/>
      <c r="E54" s="121"/>
      <c r="F54" s="58"/>
      <c r="G54" s="56"/>
      <c r="H54" s="125"/>
      <c r="I54" s="58"/>
      <c r="J54" s="74"/>
      <c r="K54" s="89"/>
    </row>
    <row r="55" ht="18.75" customHeight="1">
      <c r="A55" s="55"/>
      <c r="B55" s="83"/>
      <c r="C55" s="58"/>
      <c r="D55" s="103"/>
      <c r="E55" s="121"/>
      <c r="F55" s="58"/>
      <c r="G55" s="56"/>
      <c r="H55" s="126" t="s">
        <v>93</v>
      </c>
      <c r="I55" s="74" t="s">
        <v>94</v>
      </c>
      <c r="J55" s="90">
        <f>SUM(J56:J65)</f>
        <v>80024000</v>
      </c>
      <c r="K55" s="89"/>
    </row>
    <row r="56" ht="18.75" customHeight="1">
      <c r="A56" s="55"/>
      <c r="B56" s="83"/>
      <c r="C56" s="106"/>
      <c r="D56" s="103"/>
      <c r="E56" s="121"/>
      <c r="F56" s="58"/>
      <c r="G56" s="56"/>
      <c r="H56" s="125"/>
      <c r="I56" s="58" t="s">
        <v>260</v>
      </c>
      <c r="J56" s="90">
        <f>3000000+15000000+30000000+1000000+1500000</f>
        <v>50500000</v>
      </c>
      <c r="K56" s="83">
        <v>45966.0</v>
      </c>
    </row>
    <row r="57" ht="18.75" customHeight="1">
      <c r="A57" s="55"/>
      <c r="B57" s="83"/>
      <c r="C57" s="58"/>
      <c r="D57" s="103"/>
      <c r="E57" s="121"/>
      <c r="F57" s="58"/>
      <c r="G57" s="56"/>
      <c r="H57" s="125"/>
      <c r="I57" s="58" t="s">
        <v>261</v>
      </c>
      <c r="J57" s="90">
        <v>5600000.0</v>
      </c>
      <c r="K57" s="83">
        <v>45966.0</v>
      </c>
    </row>
    <row r="58" ht="18.75" customHeight="1">
      <c r="A58" s="55"/>
      <c r="B58" s="83"/>
      <c r="C58" s="58"/>
      <c r="D58" s="103"/>
      <c r="E58" s="121"/>
      <c r="F58" s="58"/>
      <c r="G58" s="56"/>
      <c r="H58" s="125"/>
      <c r="I58" s="58" t="s">
        <v>262</v>
      </c>
      <c r="J58" s="90"/>
      <c r="K58" s="83"/>
    </row>
    <row r="59" ht="18.75" customHeight="1">
      <c r="A59" s="55"/>
      <c r="B59" s="83"/>
      <c r="C59" s="106"/>
      <c r="D59" s="103"/>
      <c r="E59" s="121"/>
      <c r="F59" s="58"/>
      <c r="G59" s="56"/>
      <c r="H59" s="125"/>
      <c r="I59" s="58" t="s">
        <v>263</v>
      </c>
      <c r="J59" s="90">
        <v>1.1124E7</v>
      </c>
      <c r="K59" s="83">
        <v>45966.0</v>
      </c>
    </row>
    <row r="60" ht="18.75" customHeight="1">
      <c r="A60" s="55"/>
      <c r="B60" s="83"/>
      <c r="C60" s="58"/>
      <c r="D60" s="103"/>
      <c r="E60" s="121"/>
      <c r="F60" s="58"/>
      <c r="G60" s="56"/>
      <c r="H60" s="125"/>
      <c r="I60" s="58" t="s">
        <v>264</v>
      </c>
      <c r="J60" s="90">
        <v>1.28E7</v>
      </c>
      <c r="K60" s="83">
        <v>45966.0</v>
      </c>
    </row>
    <row r="61" ht="18.75" customHeight="1">
      <c r="A61" s="55"/>
      <c r="B61" s="83"/>
      <c r="C61" s="58"/>
      <c r="D61" s="103"/>
      <c r="E61" s="121"/>
      <c r="F61" s="58"/>
      <c r="G61" s="56"/>
      <c r="H61" s="125"/>
      <c r="I61" s="58"/>
      <c r="J61" s="90"/>
      <c r="K61" s="89"/>
    </row>
    <row r="62" ht="18.75" customHeight="1">
      <c r="A62" s="55"/>
      <c r="B62" s="83"/>
      <c r="C62" s="58"/>
      <c r="D62" s="103"/>
      <c r="E62" s="121"/>
      <c r="F62" s="58"/>
      <c r="G62" s="56"/>
      <c r="H62" s="125"/>
      <c r="I62" s="58"/>
      <c r="J62" s="90"/>
      <c r="K62" s="89"/>
    </row>
    <row r="63" ht="18.75" customHeight="1">
      <c r="A63" s="55"/>
      <c r="B63" s="83"/>
      <c r="C63" s="58"/>
      <c r="D63" s="103"/>
      <c r="E63" s="121"/>
      <c r="F63" s="58"/>
      <c r="G63" s="56"/>
      <c r="H63" s="125"/>
      <c r="I63" s="58"/>
      <c r="J63" s="90"/>
      <c r="K63" s="89"/>
    </row>
    <row r="64" ht="18.75" customHeight="1">
      <c r="A64" s="55"/>
      <c r="B64" s="83"/>
      <c r="C64" s="58"/>
      <c r="D64" s="103"/>
      <c r="E64" s="121"/>
      <c r="F64" s="58"/>
      <c r="G64" s="56"/>
      <c r="H64" s="125"/>
      <c r="I64" s="58"/>
      <c r="J64" s="90"/>
      <c r="K64" s="89"/>
    </row>
    <row r="65" ht="18.75" customHeight="1">
      <c r="A65" s="55"/>
      <c r="B65" s="83"/>
      <c r="C65" s="58"/>
      <c r="D65" s="103"/>
      <c r="E65" s="121"/>
      <c r="F65" s="58"/>
      <c r="G65" s="56"/>
      <c r="H65" s="125"/>
      <c r="I65" s="58"/>
      <c r="J65" s="90"/>
      <c r="K65" s="89"/>
    </row>
    <row r="66" ht="18.75" customHeight="1">
      <c r="A66" s="55"/>
      <c r="B66" s="83"/>
      <c r="C66" s="106"/>
      <c r="D66" s="103"/>
      <c r="E66" s="121"/>
      <c r="F66" s="58"/>
      <c r="G66" s="56"/>
      <c r="H66" s="126" t="s">
        <v>98</v>
      </c>
      <c r="I66" s="74" t="s">
        <v>5</v>
      </c>
      <c r="J66" s="25">
        <f>J46+J47-J55</f>
        <v>303199066</v>
      </c>
      <c r="K66" s="89"/>
    </row>
    <row r="67" ht="18.75" customHeight="1">
      <c r="A67" s="91"/>
      <c r="B67" s="92"/>
      <c r="C67" s="91"/>
      <c r="D67" s="103"/>
      <c r="E67" s="128"/>
      <c r="F67" s="91"/>
      <c r="G67" s="91"/>
      <c r="H67" s="128"/>
      <c r="I67" s="91"/>
      <c r="J67" s="91"/>
      <c r="K67" s="91"/>
    </row>
    <row r="68" ht="18.75" customHeight="1">
      <c r="A68" s="91"/>
      <c r="B68" s="92"/>
      <c r="C68" s="91"/>
      <c r="D68" s="103"/>
      <c r="E68" s="128"/>
      <c r="F68" s="91"/>
      <c r="G68" s="91"/>
      <c r="H68" s="128"/>
      <c r="I68" s="91"/>
      <c r="J68" s="91"/>
      <c r="K68" s="91"/>
    </row>
    <row r="69" ht="18.75" customHeight="1">
      <c r="A69" s="91"/>
      <c r="B69" s="92"/>
      <c r="C69" s="91"/>
      <c r="D69" s="103"/>
      <c r="E69" s="128"/>
      <c r="F69" s="91"/>
      <c r="G69" s="91"/>
      <c r="H69" s="128"/>
      <c r="I69" s="91"/>
      <c r="J69" s="91"/>
      <c r="K69" s="91"/>
    </row>
    <row r="70" ht="18.75" customHeight="1">
      <c r="A70" s="91"/>
      <c r="B70" s="92"/>
      <c r="C70" s="91"/>
      <c r="D70" s="103"/>
      <c r="E70" s="128"/>
      <c r="F70" s="91"/>
      <c r="G70" s="91"/>
      <c r="H70" s="128"/>
      <c r="I70" s="91"/>
      <c r="J70" s="91"/>
      <c r="K70" s="91"/>
    </row>
    <row r="71" ht="18.75" customHeight="1">
      <c r="A71" s="91"/>
      <c r="B71" s="92"/>
      <c r="C71" s="91"/>
      <c r="D71" s="103"/>
      <c r="E71" s="128"/>
      <c r="F71" s="91"/>
      <c r="G71" s="91"/>
      <c r="H71" s="128"/>
      <c r="I71" s="91"/>
      <c r="J71" s="91"/>
      <c r="K71" s="91"/>
    </row>
    <row r="72" ht="18.75" customHeight="1">
      <c r="A72" s="91"/>
      <c r="B72" s="92"/>
      <c r="C72" s="91"/>
      <c r="D72" s="103"/>
      <c r="E72" s="128"/>
      <c r="F72" s="91"/>
      <c r="G72" s="91"/>
      <c r="H72" s="128"/>
      <c r="I72" s="91"/>
      <c r="J72" s="91"/>
      <c r="K72" s="91"/>
    </row>
    <row r="73" ht="18.75" customHeight="1">
      <c r="A73" s="91"/>
      <c r="B73" s="92"/>
      <c r="C73" s="91"/>
      <c r="D73" s="103"/>
      <c r="E73" s="128"/>
      <c r="F73" s="91"/>
      <c r="G73" s="91"/>
      <c r="H73" s="128"/>
      <c r="I73" s="91"/>
      <c r="J73" s="91"/>
      <c r="K73" s="91"/>
    </row>
    <row r="74" ht="18.75" customHeight="1">
      <c r="A74" s="91"/>
      <c r="B74" s="92"/>
      <c r="C74" s="91"/>
      <c r="D74" s="103"/>
      <c r="E74" s="128"/>
      <c r="F74" s="91"/>
      <c r="G74" s="91"/>
      <c r="H74" s="128"/>
      <c r="I74" s="91"/>
      <c r="J74" s="91"/>
      <c r="K74" s="91"/>
    </row>
    <row r="75" ht="18.75" customHeight="1">
      <c r="A75" s="91"/>
      <c r="B75" s="92"/>
      <c r="C75" s="91"/>
      <c r="D75" s="103"/>
      <c r="E75" s="128"/>
      <c r="F75" s="91"/>
      <c r="G75" s="91"/>
      <c r="H75" s="128"/>
      <c r="I75" s="91"/>
      <c r="J75" s="91"/>
      <c r="K75" s="91"/>
    </row>
    <row r="76" ht="18.75" customHeight="1">
      <c r="A76" s="91"/>
      <c r="B76" s="92"/>
      <c r="C76" s="91"/>
      <c r="D76" s="103"/>
      <c r="E76" s="128"/>
      <c r="F76" s="91"/>
      <c r="G76" s="91"/>
      <c r="H76" s="128"/>
      <c r="I76" s="91"/>
      <c r="J76" s="91"/>
      <c r="K76" s="91"/>
    </row>
    <row r="77" ht="18.75" customHeight="1">
      <c r="A77" s="91"/>
      <c r="B77" s="92"/>
      <c r="C77" s="91"/>
      <c r="D77" s="103"/>
      <c r="E77" s="128"/>
      <c r="F77" s="91"/>
      <c r="G77" s="91"/>
      <c r="H77" s="128"/>
      <c r="I77" s="91"/>
      <c r="J77" s="91"/>
      <c r="K77" s="91"/>
    </row>
    <row r="78" ht="18.75" customHeight="1">
      <c r="A78" s="91"/>
      <c r="B78" s="92"/>
      <c r="C78" s="91"/>
      <c r="D78" s="103"/>
      <c r="E78" s="128"/>
      <c r="F78" s="91"/>
      <c r="G78" s="91"/>
      <c r="H78" s="128"/>
      <c r="I78" s="91"/>
      <c r="J78" s="91"/>
      <c r="K78" s="91"/>
    </row>
    <row r="79" ht="18.75" customHeight="1">
      <c r="A79" s="91"/>
      <c r="B79" s="92"/>
      <c r="C79" s="91"/>
      <c r="D79" s="103"/>
      <c r="E79" s="128"/>
      <c r="F79" s="91"/>
      <c r="G79" s="91"/>
      <c r="H79" s="128"/>
      <c r="I79" s="91"/>
      <c r="J79" s="91"/>
      <c r="K79" s="91"/>
    </row>
    <row r="80" ht="18.75" customHeight="1">
      <c r="A80" s="91"/>
      <c r="B80" s="92"/>
      <c r="C80" s="91"/>
      <c r="D80" s="103"/>
      <c r="E80" s="128"/>
      <c r="F80" s="91"/>
      <c r="G80" s="91"/>
      <c r="H80" s="128"/>
      <c r="I80" s="91"/>
      <c r="J80" s="91"/>
      <c r="K80" s="91"/>
    </row>
    <row r="81" ht="18.75" customHeight="1">
      <c r="A81" s="91"/>
      <c r="B81" s="92"/>
      <c r="C81" s="91"/>
      <c r="D81" s="103"/>
      <c r="E81" s="128"/>
      <c r="F81" s="91"/>
      <c r="G81" s="91"/>
      <c r="H81" s="128"/>
      <c r="I81" s="91"/>
      <c r="J81" s="91"/>
      <c r="K81" s="91"/>
    </row>
    <row r="82" ht="18.75" customHeight="1">
      <c r="A82" s="91"/>
      <c r="B82" s="92"/>
      <c r="C82" s="91"/>
      <c r="D82" s="103"/>
      <c r="E82" s="128"/>
      <c r="F82" s="91"/>
      <c r="G82" s="91"/>
      <c r="H82" s="128"/>
      <c r="I82" s="91"/>
      <c r="J82" s="91"/>
      <c r="K82" s="91"/>
    </row>
    <row r="83" ht="18.75" customHeight="1">
      <c r="A83" s="91"/>
      <c r="B83" s="92"/>
      <c r="C83" s="91"/>
      <c r="D83" s="103"/>
      <c r="E83" s="128"/>
      <c r="F83" s="91"/>
      <c r="G83" s="91"/>
      <c r="H83" s="128"/>
      <c r="I83" s="91"/>
      <c r="J83" s="91"/>
      <c r="K83" s="91"/>
    </row>
    <row r="84" ht="18.75" customHeight="1">
      <c r="A84" s="91"/>
      <c r="B84" s="92"/>
      <c r="C84" s="91"/>
      <c r="D84" s="103"/>
      <c r="E84" s="128"/>
      <c r="F84" s="91"/>
      <c r="G84" s="91"/>
      <c r="H84" s="128"/>
      <c r="I84" s="91"/>
      <c r="J84" s="91"/>
      <c r="K84" s="91"/>
    </row>
    <row r="85" ht="18.75" customHeight="1">
      <c r="A85" s="91"/>
      <c r="B85" s="92"/>
      <c r="C85" s="91"/>
      <c r="D85" s="103"/>
      <c r="E85" s="128"/>
      <c r="F85" s="91"/>
      <c r="G85" s="91"/>
      <c r="H85" s="128"/>
      <c r="I85" s="91"/>
      <c r="J85" s="91"/>
      <c r="K85" s="91"/>
    </row>
    <row r="86" ht="18.75" customHeight="1">
      <c r="A86" s="91"/>
      <c r="B86" s="92"/>
      <c r="C86" s="91"/>
      <c r="D86" s="103"/>
      <c r="E86" s="128"/>
      <c r="F86" s="91"/>
      <c r="G86" s="91"/>
      <c r="H86" s="128"/>
      <c r="I86" s="91"/>
      <c r="J86" s="91"/>
      <c r="K86" s="91"/>
    </row>
    <row r="87" ht="18.75" customHeight="1">
      <c r="A87" s="91"/>
      <c r="B87" s="92"/>
      <c r="C87" s="91"/>
      <c r="D87" s="103"/>
      <c r="E87" s="128"/>
      <c r="F87" s="91"/>
      <c r="G87" s="91"/>
      <c r="H87" s="128"/>
      <c r="I87" s="91"/>
      <c r="J87" s="91"/>
      <c r="K87" s="91"/>
    </row>
    <row r="88" ht="18.75" customHeight="1">
      <c r="A88" s="91"/>
      <c r="B88" s="92"/>
      <c r="C88" s="91"/>
      <c r="D88" s="103"/>
      <c r="E88" s="128"/>
      <c r="F88" s="91"/>
      <c r="G88" s="91"/>
      <c r="H88" s="128"/>
      <c r="I88" s="91"/>
      <c r="J88" s="91"/>
      <c r="K88" s="91"/>
    </row>
    <row r="89" ht="18.75" customHeight="1">
      <c r="A89" s="91"/>
      <c r="B89" s="92"/>
      <c r="C89" s="91"/>
      <c r="D89" s="103"/>
      <c r="E89" s="128"/>
      <c r="F89" s="91"/>
      <c r="G89" s="91"/>
      <c r="H89" s="128"/>
      <c r="I89" s="91"/>
      <c r="J89" s="91"/>
      <c r="K89" s="91"/>
    </row>
    <row r="90" ht="18.75" customHeight="1">
      <c r="A90" s="91"/>
      <c r="B90" s="92"/>
      <c r="C90" s="91"/>
      <c r="D90" s="103"/>
      <c r="E90" s="128"/>
      <c r="F90" s="91"/>
      <c r="G90" s="91"/>
      <c r="H90" s="128"/>
      <c r="I90" s="91"/>
      <c r="J90" s="91"/>
      <c r="K90" s="91"/>
    </row>
    <row r="91" ht="18.75" customHeight="1">
      <c r="A91" s="91"/>
      <c r="B91" s="92"/>
      <c r="C91" s="91"/>
      <c r="D91" s="103"/>
      <c r="E91" s="128"/>
      <c r="F91" s="91"/>
      <c r="G91" s="91"/>
      <c r="H91" s="128"/>
      <c r="I91" s="91"/>
      <c r="J91" s="91"/>
      <c r="K91" s="91"/>
    </row>
    <row r="92" ht="18.75" customHeight="1">
      <c r="A92" s="91"/>
      <c r="B92" s="92"/>
      <c r="C92" s="91"/>
      <c r="D92" s="103"/>
      <c r="E92" s="128"/>
      <c r="F92" s="91"/>
      <c r="G92" s="91"/>
      <c r="H92" s="128"/>
      <c r="I92" s="91"/>
      <c r="J92" s="91"/>
      <c r="K92" s="91"/>
    </row>
    <row r="93" ht="18.75" customHeight="1">
      <c r="A93" s="91"/>
      <c r="B93" s="92"/>
      <c r="C93" s="91"/>
      <c r="D93" s="103"/>
      <c r="E93" s="128"/>
      <c r="F93" s="91"/>
      <c r="G93" s="91"/>
      <c r="H93" s="128"/>
      <c r="I93" s="91"/>
      <c r="J93" s="91"/>
      <c r="K93" s="91"/>
    </row>
    <row r="94" ht="18.75" customHeight="1">
      <c r="A94" s="91"/>
      <c r="B94" s="92"/>
      <c r="C94" s="91"/>
      <c r="D94" s="103"/>
      <c r="E94" s="128"/>
      <c r="F94" s="91"/>
      <c r="G94" s="91"/>
      <c r="H94" s="128"/>
      <c r="I94" s="91"/>
      <c r="J94" s="91"/>
      <c r="K94" s="91"/>
    </row>
    <row r="95" ht="18.75" customHeight="1">
      <c r="A95" s="91"/>
      <c r="B95" s="92"/>
      <c r="C95" s="91"/>
      <c r="D95" s="103"/>
      <c r="E95" s="128"/>
      <c r="F95" s="91"/>
      <c r="G95" s="91"/>
      <c r="H95" s="128"/>
      <c r="I95" s="91"/>
      <c r="J95" s="91"/>
      <c r="K95" s="91"/>
    </row>
    <row r="96" ht="18.75" customHeight="1">
      <c r="A96" s="91"/>
      <c r="B96" s="92"/>
      <c r="C96" s="91"/>
      <c r="D96" s="91"/>
      <c r="E96" s="128"/>
      <c r="F96" s="91"/>
      <c r="G96" s="91"/>
      <c r="H96" s="128"/>
      <c r="I96" s="91"/>
      <c r="J96" s="91"/>
      <c r="K96" s="91"/>
    </row>
    <row r="97" ht="18.75" customHeight="1">
      <c r="A97" s="91"/>
      <c r="B97" s="92"/>
      <c r="C97" s="91"/>
      <c r="D97" s="91"/>
      <c r="E97" s="128"/>
      <c r="F97" s="91"/>
      <c r="G97" s="91"/>
      <c r="H97" s="128"/>
      <c r="I97" s="91"/>
      <c r="J97" s="91"/>
      <c r="K97" s="91"/>
    </row>
    <row r="98" ht="18.75" customHeight="1">
      <c r="A98" s="91"/>
      <c r="B98" s="92"/>
      <c r="C98" s="91"/>
      <c r="D98" s="91"/>
      <c r="E98" s="128"/>
      <c r="F98" s="91"/>
      <c r="G98" s="91"/>
      <c r="H98" s="128"/>
      <c r="I98" s="91"/>
      <c r="J98" s="91"/>
      <c r="K98" s="91"/>
    </row>
    <row r="99" ht="18.75" customHeight="1">
      <c r="A99" s="91"/>
      <c r="B99" s="92"/>
      <c r="C99" s="91"/>
      <c r="D99" s="91"/>
      <c r="E99" s="128"/>
      <c r="F99" s="91"/>
      <c r="G99" s="91"/>
      <c r="H99" s="128"/>
      <c r="I99" s="91"/>
      <c r="J99" s="91"/>
      <c r="K99" s="91"/>
    </row>
    <row r="100" ht="18.75" customHeight="1">
      <c r="A100" s="91"/>
      <c r="B100" s="92"/>
      <c r="C100" s="91"/>
      <c r="D100" s="91"/>
      <c r="E100" s="128"/>
      <c r="F100" s="91"/>
      <c r="G100" s="91"/>
      <c r="H100" s="128"/>
      <c r="I100" s="91"/>
      <c r="J100" s="91"/>
      <c r="K100" s="91"/>
    </row>
    <row r="101" ht="18.75" customHeight="1">
      <c r="A101" s="91"/>
      <c r="B101" s="92"/>
      <c r="C101" s="91"/>
      <c r="D101" s="91"/>
      <c r="E101" s="128"/>
      <c r="F101" s="91"/>
      <c r="G101" s="91"/>
      <c r="H101" s="128"/>
      <c r="I101" s="91"/>
      <c r="J101" s="91"/>
      <c r="K101" s="91"/>
    </row>
    <row r="102" ht="18.75" customHeight="1">
      <c r="A102" s="91"/>
      <c r="B102" s="92"/>
      <c r="C102" s="91"/>
      <c r="D102" s="91"/>
      <c r="E102" s="128"/>
      <c r="F102" s="91"/>
      <c r="G102" s="91"/>
      <c r="H102" s="128"/>
      <c r="I102" s="91"/>
      <c r="J102" s="91"/>
      <c r="K102" s="91"/>
    </row>
    <row r="103" ht="18.75" customHeight="1">
      <c r="A103" s="91"/>
      <c r="B103" s="92"/>
      <c r="C103" s="91"/>
      <c r="D103" s="91"/>
      <c r="E103" s="128"/>
      <c r="F103" s="91"/>
      <c r="G103" s="91"/>
      <c r="H103" s="128"/>
      <c r="I103" s="91"/>
      <c r="J103" s="91"/>
      <c r="K103" s="91"/>
    </row>
    <row r="104" ht="18.75" customHeight="1">
      <c r="A104" s="91"/>
      <c r="B104" s="92"/>
      <c r="C104" s="91"/>
      <c r="D104" s="91"/>
      <c r="E104" s="128"/>
      <c r="F104" s="91"/>
      <c r="G104" s="91"/>
      <c r="H104" s="128"/>
      <c r="I104" s="91"/>
      <c r="J104" s="91"/>
      <c r="K104" s="91"/>
    </row>
    <row r="105" ht="18.75" customHeight="1">
      <c r="A105" s="91"/>
      <c r="B105" s="92"/>
      <c r="C105" s="91"/>
      <c r="D105" s="91"/>
      <c r="E105" s="128"/>
      <c r="F105" s="91"/>
      <c r="G105" s="91"/>
      <c r="H105" s="128"/>
      <c r="I105" s="91"/>
      <c r="J105" s="91"/>
      <c r="K105" s="91"/>
    </row>
    <row r="106" ht="18.75" customHeight="1">
      <c r="A106" s="91"/>
      <c r="B106" s="92"/>
      <c r="C106" s="91"/>
      <c r="D106" s="91"/>
      <c r="E106" s="128"/>
      <c r="F106" s="91"/>
      <c r="G106" s="91"/>
      <c r="H106" s="128"/>
      <c r="I106" s="91"/>
      <c r="J106" s="91"/>
      <c r="K106" s="91"/>
    </row>
    <row r="107" ht="18.75" customHeight="1">
      <c r="A107" s="91"/>
      <c r="B107" s="92"/>
      <c r="C107" s="91"/>
      <c r="D107" s="91"/>
      <c r="E107" s="128"/>
      <c r="F107" s="91"/>
      <c r="G107" s="91"/>
      <c r="H107" s="128"/>
      <c r="I107" s="91"/>
      <c r="J107" s="91"/>
      <c r="K107" s="91"/>
    </row>
    <row r="108" ht="18.75" customHeight="1">
      <c r="A108" s="91"/>
      <c r="B108" s="92"/>
      <c r="C108" s="91"/>
      <c r="D108" s="91"/>
      <c r="E108" s="128"/>
      <c r="F108" s="91"/>
      <c r="G108" s="91"/>
      <c r="H108" s="128"/>
      <c r="I108" s="91"/>
      <c r="J108" s="91"/>
      <c r="K108" s="91"/>
    </row>
    <row r="109" ht="18.75" customHeight="1">
      <c r="A109" s="91"/>
      <c r="B109" s="92"/>
      <c r="C109" s="91"/>
      <c r="D109" s="91"/>
      <c r="E109" s="128"/>
      <c r="F109" s="91"/>
      <c r="G109" s="91"/>
      <c r="H109" s="128"/>
      <c r="I109" s="91"/>
      <c r="J109" s="91"/>
      <c r="K109" s="91"/>
    </row>
    <row r="110" ht="18.75" customHeight="1">
      <c r="A110" s="91"/>
      <c r="B110" s="92"/>
      <c r="C110" s="91"/>
      <c r="D110" s="91"/>
      <c r="E110" s="128"/>
      <c r="F110" s="91"/>
      <c r="G110" s="91"/>
      <c r="H110" s="128"/>
      <c r="I110" s="91"/>
      <c r="J110" s="91"/>
      <c r="K110" s="91"/>
    </row>
    <row r="111" ht="18.75" customHeight="1">
      <c r="A111" s="91"/>
      <c r="B111" s="92"/>
      <c r="C111" s="91"/>
      <c r="D111" s="91"/>
      <c r="E111" s="128"/>
      <c r="F111" s="91"/>
      <c r="G111" s="91"/>
      <c r="H111" s="128"/>
      <c r="I111" s="91"/>
      <c r="J111" s="91"/>
      <c r="K111" s="91"/>
    </row>
    <row r="112" ht="18.75" customHeight="1">
      <c r="A112" s="91"/>
      <c r="B112" s="92"/>
      <c r="C112" s="91"/>
      <c r="D112" s="91"/>
      <c r="E112" s="128"/>
      <c r="F112" s="91"/>
      <c r="G112" s="91"/>
      <c r="H112" s="128"/>
      <c r="I112" s="91"/>
      <c r="J112" s="91"/>
      <c r="K112" s="91"/>
    </row>
    <row r="113" ht="18.75" customHeight="1">
      <c r="A113" s="91"/>
      <c r="B113" s="92"/>
      <c r="C113" s="91"/>
      <c r="D113" s="91"/>
      <c r="E113" s="128"/>
      <c r="F113" s="91"/>
      <c r="G113" s="91"/>
      <c r="H113" s="128"/>
      <c r="I113" s="91"/>
      <c r="J113" s="91"/>
      <c r="K113" s="91"/>
    </row>
    <row r="114" ht="18.75" customHeight="1">
      <c r="A114" s="91"/>
      <c r="B114" s="92"/>
      <c r="C114" s="91"/>
      <c r="D114" s="91"/>
      <c r="E114" s="128"/>
      <c r="F114" s="91"/>
      <c r="G114" s="91"/>
      <c r="H114" s="128"/>
      <c r="I114" s="91"/>
      <c r="J114" s="91"/>
      <c r="K114" s="91"/>
    </row>
    <row r="115" ht="18.75" customHeight="1">
      <c r="A115" s="91"/>
      <c r="B115" s="92"/>
      <c r="C115" s="91"/>
      <c r="D115" s="91"/>
      <c r="E115" s="128"/>
      <c r="F115" s="91"/>
      <c r="G115" s="91"/>
      <c r="H115" s="128"/>
      <c r="I115" s="91"/>
      <c r="J115" s="91"/>
      <c r="K115" s="91"/>
    </row>
    <row r="116" ht="18.75" customHeight="1">
      <c r="A116" s="91"/>
      <c r="B116" s="92"/>
      <c r="C116" s="91"/>
      <c r="D116" s="91"/>
      <c r="E116" s="128"/>
      <c r="F116" s="91"/>
      <c r="G116" s="91"/>
      <c r="H116" s="128"/>
      <c r="I116" s="91"/>
      <c r="J116" s="91"/>
      <c r="K116" s="91"/>
    </row>
    <row r="117" ht="18.75" customHeight="1">
      <c r="A117" s="91"/>
      <c r="B117" s="92"/>
      <c r="C117" s="91"/>
      <c r="D117" s="91"/>
      <c r="E117" s="128"/>
      <c r="F117" s="91"/>
      <c r="G117" s="91"/>
      <c r="H117" s="128"/>
      <c r="I117" s="91"/>
      <c r="J117" s="91"/>
      <c r="K117" s="91"/>
    </row>
    <row r="118" ht="18.75" customHeight="1">
      <c r="A118" s="91"/>
      <c r="B118" s="92"/>
      <c r="C118" s="91"/>
      <c r="D118" s="91"/>
      <c r="E118" s="128"/>
      <c r="F118" s="91"/>
      <c r="G118" s="91"/>
      <c r="H118" s="128"/>
      <c r="I118" s="91"/>
      <c r="J118" s="91"/>
      <c r="K118" s="91"/>
    </row>
    <row r="119" ht="18.75" customHeight="1">
      <c r="A119" s="91"/>
      <c r="B119" s="92"/>
      <c r="C119" s="91"/>
      <c r="D119" s="91"/>
      <c r="E119" s="128"/>
      <c r="F119" s="91"/>
      <c r="G119" s="91"/>
      <c r="H119" s="128"/>
      <c r="I119" s="91"/>
      <c r="J119" s="91"/>
      <c r="K119" s="91"/>
    </row>
    <row r="120" ht="18.75" customHeight="1">
      <c r="A120" s="91"/>
      <c r="B120" s="92"/>
      <c r="C120" s="91"/>
      <c r="D120" s="91"/>
      <c r="E120" s="128"/>
      <c r="F120" s="91"/>
      <c r="G120" s="91"/>
      <c r="H120" s="128"/>
      <c r="I120" s="91"/>
      <c r="J120" s="91"/>
      <c r="K120" s="91"/>
    </row>
    <row r="121" ht="18.75" customHeight="1">
      <c r="A121" s="91"/>
      <c r="B121" s="92"/>
      <c r="C121" s="91"/>
      <c r="D121" s="91"/>
      <c r="E121" s="128"/>
      <c r="F121" s="91"/>
      <c r="G121" s="91"/>
      <c r="H121" s="128"/>
      <c r="I121" s="91"/>
      <c r="J121" s="91"/>
      <c r="K121" s="91"/>
    </row>
    <row r="122" ht="18.75" customHeight="1">
      <c r="A122" s="91"/>
      <c r="B122" s="92"/>
      <c r="C122" s="91"/>
      <c r="D122" s="91"/>
      <c r="E122" s="128"/>
      <c r="F122" s="91"/>
      <c r="G122" s="91"/>
      <c r="H122" s="128"/>
      <c r="I122" s="91"/>
      <c r="J122" s="91"/>
      <c r="K122" s="91"/>
    </row>
    <row r="123" ht="18.75" customHeight="1">
      <c r="A123" s="91"/>
      <c r="B123" s="92"/>
      <c r="C123" s="91"/>
      <c r="D123" s="91"/>
      <c r="E123" s="128"/>
      <c r="F123" s="91"/>
      <c r="G123" s="91"/>
      <c r="H123" s="128"/>
      <c r="I123" s="91"/>
      <c r="J123" s="91"/>
      <c r="K123" s="91"/>
    </row>
    <row r="124" ht="18.75" customHeight="1">
      <c r="A124" s="91"/>
      <c r="B124" s="92"/>
      <c r="C124" s="91"/>
      <c r="D124" s="91"/>
      <c r="E124" s="128"/>
      <c r="F124" s="91"/>
      <c r="G124" s="91"/>
      <c r="H124" s="128"/>
      <c r="I124" s="91"/>
      <c r="J124" s="91"/>
      <c r="K124" s="91"/>
    </row>
    <row r="125" ht="18.75" customHeight="1">
      <c r="A125" s="91"/>
      <c r="B125" s="92"/>
      <c r="C125" s="91"/>
      <c r="D125" s="91"/>
      <c r="E125" s="128"/>
      <c r="F125" s="91"/>
      <c r="G125" s="91"/>
      <c r="H125" s="128"/>
      <c r="I125" s="91"/>
      <c r="J125" s="91"/>
      <c r="K125" s="91"/>
    </row>
    <row r="126" ht="18.75" customHeight="1">
      <c r="A126" s="91"/>
      <c r="B126" s="92"/>
      <c r="C126" s="91"/>
      <c r="D126" s="91"/>
      <c r="E126" s="128"/>
      <c r="F126" s="91"/>
      <c r="G126" s="91"/>
      <c r="H126" s="128"/>
      <c r="I126" s="91"/>
      <c r="J126" s="91"/>
      <c r="K126" s="91"/>
    </row>
    <row r="127" ht="18.75" customHeight="1">
      <c r="A127" s="91"/>
      <c r="B127" s="92"/>
      <c r="C127" s="91"/>
      <c r="D127" s="91"/>
      <c r="E127" s="128"/>
      <c r="F127" s="91"/>
      <c r="G127" s="91"/>
      <c r="H127" s="128"/>
      <c r="I127" s="91"/>
      <c r="J127" s="91"/>
      <c r="K127" s="91"/>
    </row>
    <row r="128" ht="18.75" customHeight="1">
      <c r="A128" s="91"/>
      <c r="B128" s="92"/>
      <c r="C128" s="91"/>
      <c r="D128" s="91"/>
      <c r="E128" s="128"/>
      <c r="F128" s="91"/>
      <c r="G128" s="91"/>
      <c r="H128" s="128"/>
      <c r="I128" s="91"/>
      <c r="J128" s="91"/>
      <c r="K128" s="91"/>
    </row>
    <row r="129" ht="18.75" customHeight="1">
      <c r="A129" s="91"/>
      <c r="B129" s="92"/>
      <c r="C129" s="91"/>
      <c r="D129" s="91"/>
      <c r="E129" s="128"/>
      <c r="F129" s="91"/>
      <c r="G129" s="91"/>
      <c r="H129" s="128"/>
      <c r="I129" s="91"/>
      <c r="J129" s="91"/>
      <c r="K129" s="91"/>
    </row>
    <row r="130" ht="18.75" customHeight="1">
      <c r="A130" s="91"/>
      <c r="B130" s="92"/>
      <c r="C130" s="91"/>
      <c r="D130" s="91"/>
      <c r="E130" s="128"/>
      <c r="F130" s="91"/>
      <c r="G130" s="91"/>
      <c r="H130" s="128"/>
      <c r="I130" s="91"/>
      <c r="J130" s="91"/>
      <c r="K130" s="91"/>
    </row>
    <row r="131" ht="18.75" customHeight="1">
      <c r="A131" s="91"/>
      <c r="B131" s="92"/>
      <c r="C131" s="91"/>
      <c r="D131" s="91"/>
      <c r="E131" s="128"/>
      <c r="F131" s="91"/>
      <c r="G131" s="91"/>
      <c r="H131" s="128"/>
      <c r="I131" s="91"/>
      <c r="J131" s="91"/>
      <c r="K131" s="91"/>
    </row>
    <row r="132" ht="18.75" customHeight="1">
      <c r="A132" s="91"/>
      <c r="B132" s="92"/>
      <c r="C132" s="91"/>
      <c r="D132" s="91"/>
      <c r="E132" s="128"/>
      <c r="F132" s="91"/>
      <c r="G132" s="91"/>
      <c r="H132" s="128"/>
      <c r="I132" s="91"/>
      <c r="J132" s="91"/>
      <c r="K132" s="91"/>
    </row>
    <row r="133" ht="18.75" customHeight="1">
      <c r="A133" s="91"/>
      <c r="B133" s="92"/>
      <c r="C133" s="91"/>
      <c r="D133" s="91"/>
      <c r="E133" s="128"/>
      <c r="F133" s="91"/>
      <c r="G133" s="91"/>
      <c r="H133" s="128"/>
      <c r="I133" s="91"/>
      <c r="J133" s="91"/>
      <c r="K133" s="91"/>
    </row>
    <row r="134" ht="18.75" customHeight="1">
      <c r="A134" s="91"/>
      <c r="B134" s="92"/>
      <c r="C134" s="91"/>
      <c r="D134" s="91"/>
      <c r="E134" s="128"/>
      <c r="F134" s="91"/>
      <c r="G134" s="91"/>
      <c r="H134" s="128"/>
      <c r="I134" s="91"/>
      <c r="J134" s="91"/>
      <c r="K134" s="91"/>
    </row>
    <row r="135" ht="18.75" customHeight="1">
      <c r="A135" s="91"/>
      <c r="B135" s="92"/>
      <c r="C135" s="91"/>
      <c r="D135" s="91"/>
      <c r="E135" s="128"/>
      <c r="F135" s="91"/>
      <c r="G135" s="91"/>
      <c r="H135" s="128"/>
      <c r="I135" s="91"/>
      <c r="J135" s="91"/>
      <c r="K135" s="91"/>
    </row>
    <row r="136" ht="18.75" customHeight="1">
      <c r="A136" s="91"/>
      <c r="B136" s="92"/>
      <c r="C136" s="91"/>
      <c r="D136" s="91"/>
      <c r="E136" s="128"/>
      <c r="F136" s="91"/>
      <c r="G136" s="91"/>
      <c r="H136" s="128"/>
      <c r="I136" s="91"/>
      <c r="J136" s="91"/>
      <c r="K136" s="91"/>
    </row>
    <row r="137" ht="18.75" customHeight="1">
      <c r="A137" s="91"/>
      <c r="B137" s="92"/>
      <c r="C137" s="91"/>
      <c r="D137" s="91"/>
      <c r="E137" s="128"/>
      <c r="F137" s="91"/>
      <c r="G137" s="91"/>
      <c r="H137" s="128"/>
      <c r="I137" s="91"/>
      <c r="J137" s="91"/>
      <c r="K137" s="91"/>
    </row>
    <row r="138" ht="18.75" customHeight="1">
      <c r="A138" s="91"/>
      <c r="B138" s="92"/>
      <c r="C138" s="91"/>
      <c r="D138" s="91"/>
      <c r="E138" s="128"/>
      <c r="F138" s="91"/>
      <c r="G138" s="91"/>
      <c r="H138" s="128"/>
      <c r="I138" s="91"/>
      <c r="J138" s="91"/>
      <c r="K138" s="91"/>
    </row>
    <row r="139" ht="18.75" customHeight="1">
      <c r="A139" s="91"/>
      <c r="B139" s="92"/>
      <c r="C139" s="91"/>
      <c r="D139" s="91"/>
      <c r="E139" s="128"/>
      <c r="F139" s="91"/>
      <c r="G139" s="91"/>
      <c r="H139" s="128"/>
      <c r="I139" s="91"/>
      <c r="J139" s="91"/>
      <c r="K139" s="91"/>
    </row>
    <row r="140" ht="18.75" customHeight="1">
      <c r="A140" s="91"/>
      <c r="B140" s="92"/>
      <c r="C140" s="91"/>
      <c r="D140" s="91"/>
      <c r="E140" s="128"/>
      <c r="F140" s="91"/>
      <c r="G140" s="91"/>
      <c r="H140" s="128"/>
      <c r="I140" s="91"/>
      <c r="J140" s="91"/>
      <c r="K140" s="91"/>
    </row>
    <row r="141" ht="18.75" customHeight="1">
      <c r="A141" s="91"/>
      <c r="B141" s="92"/>
      <c r="C141" s="91"/>
      <c r="D141" s="91"/>
      <c r="E141" s="128"/>
      <c r="F141" s="91"/>
      <c r="G141" s="91"/>
      <c r="H141" s="128"/>
      <c r="I141" s="91"/>
      <c r="J141" s="91"/>
      <c r="K141" s="91"/>
    </row>
    <row r="142" ht="18.75" customHeight="1">
      <c r="A142" s="91"/>
      <c r="B142" s="92"/>
      <c r="C142" s="91"/>
      <c r="D142" s="91"/>
      <c r="E142" s="128"/>
      <c r="F142" s="91"/>
      <c r="G142" s="91"/>
      <c r="H142" s="128"/>
      <c r="I142" s="91"/>
      <c r="J142" s="91"/>
      <c r="K142" s="91"/>
    </row>
    <row r="143" ht="18.75" customHeight="1">
      <c r="A143" s="91"/>
      <c r="B143" s="92"/>
      <c r="C143" s="91"/>
      <c r="D143" s="91"/>
      <c r="E143" s="128"/>
      <c r="F143" s="91"/>
      <c r="G143" s="91"/>
      <c r="H143" s="128"/>
      <c r="I143" s="91"/>
      <c r="J143" s="91"/>
      <c r="K143" s="91"/>
    </row>
    <row r="144" ht="18.75" customHeight="1">
      <c r="A144" s="91"/>
      <c r="B144" s="92"/>
      <c r="C144" s="91"/>
      <c r="D144" s="91"/>
      <c r="E144" s="128"/>
      <c r="F144" s="91"/>
      <c r="G144" s="91"/>
      <c r="H144" s="128"/>
      <c r="I144" s="91"/>
      <c r="J144" s="91"/>
      <c r="K144" s="91"/>
    </row>
    <row r="145" ht="18.75" customHeight="1">
      <c r="A145" s="91"/>
      <c r="B145" s="92"/>
      <c r="C145" s="91"/>
      <c r="D145" s="91"/>
      <c r="E145" s="128"/>
      <c r="F145" s="91"/>
      <c r="G145" s="91"/>
      <c r="H145" s="128"/>
      <c r="I145" s="91"/>
      <c r="J145" s="91"/>
      <c r="K145" s="91"/>
    </row>
    <row r="146" ht="18.75" customHeight="1">
      <c r="A146" s="91"/>
      <c r="B146" s="92"/>
      <c r="C146" s="91"/>
      <c r="D146" s="91"/>
      <c r="E146" s="128"/>
      <c r="F146" s="91"/>
      <c r="G146" s="91"/>
      <c r="H146" s="128"/>
      <c r="I146" s="91"/>
      <c r="J146" s="91"/>
      <c r="K146" s="91"/>
    </row>
    <row r="147" ht="18.75" customHeight="1">
      <c r="A147" s="91"/>
      <c r="B147" s="92"/>
      <c r="C147" s="91"/>
      <c r="D147" s="91"/>
      <c r="E147" s="128"/>
      <c r="F147" s="91"/>
      <c r="G147" s="91"/>
      <c r="H147" s="128"/>
      <c r="I147" s="91"/>
      <c r="J147" s="91"/>
      <c r="K147" s="91"/>
    </row>
    <row r="148" ht="18.75" customHeight="1">
      <c r="A148" s="91"/>
      <c r="B148" s="92"/>
      <c r="C148" s="91"/>
      <c r="D148" s="91"/>
      <c r="E148" s="128"/>
      <c r="F148" s="91"/>
      <c r="G148" s="91"/>
      <c r="H148" s="128"/>
      <c r="I148" s="91"/>
      <c r="J148" s="91"/>
      <c r="K148" s="91"/>
    </row>
    <row r="149" ht="18.75" customHeight="1">
      <c r="A149" s="91"/>
      <c r="B149" s="92"/>
      <c r="C149" s="91"/>
      <c r="D149" s="91"/>
      <c r="E149" s="128"/>
      <c r="F149" s="91"/>
      <c r="G149" s="91"/>
      <c r="H149" s="128"/>
      <c r="I149" s="91"/>
      <c r="J149" s="91"/>
      <c r="K149" s="91"/>
    </row>
    <row r="150" ht="18.75" customHeight="1">
      <c r="A150" s="91"/>
      <c r="B150" s="92"/>
      <c r="C150" s="91"/>
      <c r="D150" s="91"/>
      <c r="E150" s="128"/>
      <c r="F150" s="91"/>
      <c r="G150" s="91"/>
      <c r="H150" s="128"/>
      <c r="I150" s="91"/>
      <c r="J150" s="91"/>
      <c r="K150" s="91"/>
    </row>
    <row r="151" ht="18.75" customHeight="1">
      <c r="A151" s="91"/>
      <c r="B151" s="92"/>
      <c r="C151" s="91"/>
      <c r="D151" s="91"/>
      <c r="E151" s="128"/>
      <c r="F151" s="91"/>
      <c r="G151" s="91"/>
      <c r="H151" s="128"/>
      <c r="I151" s="91"/>
      <c r="J151" s="91"/>
      <c r="K151" s="91"/>
    </row>
    <row r="152" ht="18.75" customHeight="1">
      <c r="A152" s="91"/>
      <c r="B152" s="92"/>
      <c r="C152" s="91"/>
      <c r="D152" s="91"/>
      <c r="E152" s="128"/>
      <c r="F152" s="91"/>
      <c r="G152" s="91"/>
      <c r="H152" s="128"/>
      <c r="I152" s="91"/>
      <c r="J152" s="91"/>
      <c r="K152" s="91"/>
    </row>
    <row r="153" ht="18.75" customHeight="1">
      <c r="A153" s="91"/>
      <c r="B153" s="92"/>
      <c r="C153" s="91"/>
      <c r="D153" s="91"/>
      <c r="E153" s="128"/>
      <c r="F153" s="91"/>
      <c r="G153" s="91"/>
      <c r="H153" s="128"/>
      <c r="I153" s="91"/>
      <c r="J153" s="91"/>
      <c r="K153" s="91"/>
    </row>
    <row r="154" ht="18.75" customHeight="1">
      <c r="A154" s="91"/>
      <c r="B154" s="92"/>
      <c r="C154" s="91"/>
      <c r="D154" s="91"/>
      <c r="E154" s="128"/>
      <c r="F154" s="91"/>
      <c r="G154" s="91"/>
      <c r="H154" s="128"/>
      <c r="I154" s="91"/>
      <c r="J154" s="91"/>
      <c r="K154" s="91"/>
    </row>
    <row r="155" ht="18.75" customHeight="1">
      <c r="A155" s="91"/>
      <c r="B155" s="92"/>
      <c r="C155" s="91"/>
      <c r="D155" s="91"/>
      <c r="E155" s="128"/>
      <c r="F155" s="91"/>
      <c r="G155" s="91"/>
      <c r="H155" s="128"/>
      <c r="I155" s="91"/>
      <c r="J155" s="91"/>
      <c r="K155" s="91"/>
    </row>
    <row r="156" ht="18.75" customHeight="1">
      <c r="A156" s="91"/>
      <c r="B156" s="92"/>
      <c r="C156" s="91"/>
      <c r="D156" s="91"/>
      <c r="E156" s="128"/>
      <c r="F156" s="91"/>
      <c r="G156" s="91"/>
      <c r="H156" s="128"/>
      <c r="I156" s="91"/>
      <c r="J156" s="91"/>
      <c r="K156" s="91"/>
    </row>
    <row r="157" ht="18.75" customHeight="1">
      <c r="A157" s="91"/>
      <c r="B157" s="92"/>
      <c r="C157" s="91"/>
      <c r="D157" s="91"/>
      <c r="E157" s="128"/>
      <c r="F157" s="91"/>
      <c r="G157" s="91"/>
      <c r="H157" s="128"/>
      <c r="I157" s="91"/>
      <c r="J157" s="91"/>
      <c r="K157" s="91"/>
    </row>
    <row r="158" ht="18.75" customHeight="1">
      <c r="A158" s="91"/>
      <c r="B158" s="92"/>
      <c r="C158" s="91"/>
      <c r="D158" s="91"/>
      <c r="E158" s="128"/>
      <c r="F158" s="91"/>
      <c r="G158" s="91"/>
      <c r="H158" s="128"/>
      <c r="I158" s="91"/>
      <c r="J158" s="91"/>
      <c r="K158" s="91"/>
    </row>
    <row r="159" ht="18.75" customHeight="1">
      <c r="A159" s="91"/>
      <c r="B159" s="92"/>
      <c r="C159" s="91"/>
      <c r="D159" s="91"/>
      <c r="E159" s="128"/>
      <c r="F159" s="91"/>
      <c r="G159" s="91"/>
      <c r="H159" s="128"/>
      <c r="I159" s="91"/>
      <c r="J159" s="91"/>
      <c r="K159" s="91"/>
    </row>
    <row r="160" ht="18.75" customHeight="1">
      <c r="A160" s="91"/>
      <c r="B160" s="92"/>
      <c r="C160" s="91"/>
      <c r="D160" s="91"/>
      <c r="E160" s="128"/>
      <c r="F160" s="91"/>
      <c r="G160" s="91"/>
      <c r="H160" s="128"/>
      <c r="I160" s="91"/>
      <c r="J160" s="91"/>
      <c r="K160" s="91"/>
    </row>
    <row r="161" ht="18.75" customHeight="1">
      <c r="A161" s="91"/>
      <c r="B161" s="92"/>
      <c r="C161" s="91"/>
      <c r="D161" s="91"/>
      <c r="E161" s="128"/>
      <c r="F161" s="91"/>
      <c r="G161" s="91"/>
      <c r="H161" s="128"/>
      <c r="I161" s="91"/>
      <c r="J161" s="91"/>
      <c r="K161" s="91"/>
    </row>
    <row r="162" ht="18.75" customHeight="1">
      <c r="A162" s="91"/>
      <c r="B162" s="92"/>
      <c r="C162" s="91"/>
      <c r="D162" s="91"/>
      <c r="E162" s="128"/>
      <c r="F162" s="91"/>
      <c r="G162" s="91"/>
      <c r="H162" s="128"/>
      <c r="I162" s="91"/>
      <c r="J162" s="91"/>
      <c r="K162" s="91"/>
    </row>
    <row r="163" ht="18.75" customHeight="1">
      <c r="A163" s="91"/>
      <c r="B163" s="92"/>
      <c r="C163" s="91"/>
      <c r="D163" s="91"/>
      <c r="E163" s="128"/>
      <c r="F163" s="91"/>
      <c r="G163" s="91"/>
      <c r="H163" s="128"/>
      <c r="I163" s="91"/>
      <c r="J163" s="91"/>
      <c r="K163" s="91"/>
    </row>
    <row r="164" ht="18.75" customHeight="1">
      <c r="A164" s="91"/>
      <c r="B164" s="92"/>
      <c r="C164" s="91"/>
      <c r="D164" s="91"/>
      <c r="E164" s="128"/>
      <c r="F164" s="91"/>
      <c r="G164" s="91"/>
      <c r="H164" s="128"/>
      <c r="I164" s="91"/>
      <c r="J164" s="91"/>
      <c r="K164" s="91"/>
    </row>
    <row r="165" ht="18.75" customHeight="1">
      <c r="A165" s="91"/>
      <c r="B165" s="92"/>
      <c r="C165" s="91"/>
      <c r="D165" s="91"/>
      <c r="E165" s="128"/>
      <c r="F165" s="91"/>
      <c r="G165" s="91"/>
      <c r="H165" s="128"/>
      <c r="I165" s="91"/>
      <c r="J165" s="91"/>
      <c r="K165" s="91"/>
    </row>
    <row r="166" ht="18.75" customHeight="1">
      <c r="A166" s="91"/>
      <c r="B166" s="92"/>
      <c r="C166" s="91"/>
      <c r="D166" s="91"/>
      <c r="E166" s="128"/>
      <c r="F166" s="91"/>
      <c r="G166" s="91"/>
      <c r="H166" s="128"/>
      <c r="I166" s="91"/>
      <c r="J166" s="91"/>
      <c r="K166" s="91"/>
    </row>
    <row r="167" ht="18.75" customHeight="1">
      <c r="A167" s="91"/>
      <c r="B167" s="92"/>
      <c r="C167" s="91"/>
      <c r="D167" s="91"/>
      <c r="E167" s="128"/>
      <c r="F167" s="91"/>
      <c r="G167" s="91"/>
      <c r="H167" s="128"/>
      <c r="I167" s="91"/>
      <c r="J167" s="91"/>
      <c r="K167" s="91"/>
    </row>
    <row r="168" ht="18.75" customHeight="1">
      <c r="A168" s="91"/>
      <c r="B168" s="92"/>
      <c r="C168" s="91"/>
      <c r="D168" s="91"/>
      <c r="E168" s="128"/>
      <c r="F168" s="91"/>
      <c r="G168" s="91"/>
      <c r="H168" s="128"/>
      <c r="I168" s="91"/>
      <c r="J168" s="91"/>
      <c r="K168" s="91"/>
    </row>
    <row r="169" ht="18.75" customHeight="1">
      <c r="A169" s="91"/>
      <c r="B169" s="92"/>
      <c r="C169" s="91"/>
      <c r="D169" s="91"/>
      <c r="E169" s="128"/>
      <c r="F169" s="91"/>
      <c r="G169" s="91"/>
      <c r="H169" s="128"/>
      <c r="I169" s="91"/>
      <c r="J169" s="91"/>
      <c r="K169" s="91"/>
    </row>
    <row r="170" ht="18.75" customHeight="1">
      <c r="A170" s="91"/>
      <c r="B170" s="92"/>
      <c r="C170" s="91"/>
      <c r="D170" s="91"/>
      <c r="E170" s="128"/>
      <c r="F170" s="91"/>
      <c r="G170" s="91"/>
      <c r="H170" s="128"/>
      <c r="I170" s="91"/>
      <c r="J170" s="91"/>
      <c r="K170" s="91"/>
    </row>
    <row r="171" ht="18.75" customHeight="1">
      <c r="A171" s="91"/>
      <c r="B171" s="92"/>
      <c r="C171" s="91"/>
      <c r="D171" s="91"/>
      <c r="E171" s="128"/>
      <c r="F171" s="91"/>
      <c r="G171" s="91"/>
      <c r="H171" s="128"/>
      <c r="I171" s="91"/>
      <c r="J171" s="91"/>
      <c r="K171" s="91"/>
    </row>
    <row r="172" ht="18.75" customHeight="1">
      <c r="A172" s="91"/>
      <c r="B172" s="92"/>
      <c r="C172" s="91"/>
      <c r="D172" s="91"/>
      <c r="E172" s="128"/>
      <c r="F172" s="91"/>
      <c r="G172" s="91"/>
      <c r="H172" s="128"/>
      <c r="I172" s="91"/>
      <c r="J172" s="91"/>
      <c r="K172" s="91"/>
    </row>
    <row r="173" ht="18.75" customHeight="1">
      <c r="A173" s="91"/>
      <c r="B173" s="92"/>
      <c r="C173" s="91"/>
      <c r="D173" s="91"/>
      <c r="E173" s="128"/>
      <c r="F173" s="91"/>
      <c r="G173" s="91"/>
      <c r="H173" s="128"/>
      <c r="I173" s="91"/>
      <c r="J173" s="91"/>
      <c r="K173" s="91"/>
    </row>
    <row r="174" ht="18.75" customHeight="1">
      <c r="A174" s="91"/>
      <c r="B174" s="92"/>
      <c r="C174" s="91"/>
      <c r="D174" s="91"/>
      <c r="E174" s="128"/>
      <c r="F174" s="91"/>
      <c r="G174" s="91"/>
      <c r="H174" s="128"/>
      <c r="I174" s="91"/>
      <c r="J174" s="91"/>
      <c r="K174" s="91"/>
    </row>
    <row r="175" ht="18.75" customHeight="1">
      <c r="A175" s="91"/>
      <c r="B175" s="92"/>
      <c r="C175" s="91"/>
      <c r="D175" s="91"/>
      <c r="E175" s="128"/>
      <c r="F175" s="91"/>
      <c r="G175" s="91"/>
      <c r="H175" s="128"/>
      <c r="I175" s="91"/>
      <c r="J175" s="91"/>
      <c r="K175" s="91"/>
    </row>
    <row r="176" ht="18.75" customHeight="1">
      <c r="A176" s="91"/>
      <c r="B176" s="92"/>
      <c r="C176" s="91"/>
      <c r="D176" s="91"/>
      <c r="E176" s="128"/>
      <c r="F176" s="91"/>
      <c r="G176" s="91"/>
      <c r="H176" s="128"/>
      <c r="I176" s="91"/>
      <c r="J176" s="91"/>
      <c r="K176" s="91"/>
    </row>
    <row r="177" ht="18.75" customHeight="1">
      <c r="A177" s="91"/>
      <c r="B177" s="92"/>
      <c r="C177" s="91"/>
      <c r="D177" s="91"/>
      <c r="E177" s="128"/>
      <c r="F177" s="91"/>
      <c r="G177" s="91"/>
      <c r="H177" s="128"/>
      <c r="I177" s="91"/>
      <c r="J177" s="91"/>
      <c r="K177" s="91"/>
    </row>
    <row r="178" ht="18.75" customHeight="1">
      <c r="A178" s="91"/>
      <c r="B178" s="92"/>
      <c r="C178" s="91"/>
      <c r="D178" s="91"/>
      <c r="E178" s="128"/>
      <c r="F178" s="91"/>
      <c r="G178" s="91"/>
      <c r="H178" s="128"/>
      <c r="I178" s="91"/>
      <c r="J178" s="91"/>
      <c r="K178" s="91"/>
    </row>
    <row r="179" ht="18.75" customHeight="1">
      <c r="A179" s="91"/>
      <c r="B179" s="92"/>
      <c r="C179" s="91"/>
      <c r="D179" s="91"/>
      <c r="E179" s="128"/>
      <c r="F179" s="91"/>
      <c r="G179" s="91"/>
      <c r="H179" s="128"/>
      <c r="I179" s="91"/>
      <c r="J179" s="91"/>
      <c r="K179" s="91"/>
    </row>
    <row r="180" ht="18.75" customHeight="1">
      <c r="A180" s="91"/>
      <c r="B180" s="92"/>
      <c r="C180" s="91"/>
      <c r="D180" s="91"/>
      <c r="E180" s="128"/>
      <c r="F180" s="91"/>
      <c r="G180" s="91"/>
      <c r="H180" s="128"/>
      <c r="I180" s="91"/>
      <c r="J180" s="91"/>
      <c r="K180" s="91"/>
    </row>
    <row r="181" ht="18.75" customHeight="1">
      <c r="A181" s="91"/>
      <c r="B181" s="92"/>
      <c r="C181" s="91"/>
      <c r="D181" s="91"/>
      <c r="E181" s="128"/>
      <c r="F181" s="91"/>
      <c r="G181" s="91"/>
      <c r="H181" s="128"/>
      <c r="I181" s="91"/>
      <c r="J181" s="91"/>
      <c r="K181" s="91"/>
    </row>
    <row r="182" ht="18.75" customHeight="1">
      <c r="A182" s="91"/>
      <c r="B182" s="92"/>
      <c r="C182" s="91"/>
      <c r="D182" s="91"/>
      <c r="E182" s="128"/>
      <c r="F182" s="91"/>
      <c r="G182" s="91"/>
      <c r="H182" s="128"/>
      <c r="I182" s="91"/>
      <c r="J182" s="91"/>
      <c r="K182" s="91"/>
    </row>
    <row r="183" ht="18.75" customHeight="1">
      <c r="A183" s="91"/>
      <c r="B183" s="92"/>
      <c r="C183" s="91"/>
      <c r="D183" s="91"/>
      <c r="E183" s="128"/>
      <c r="F183" s="91"/>
      <c r="G183" s="91"/>
      <c r="H183" s="128"/>
      <c r="I183" s="91"/>
      <c r="J183" s="91"/>
      <c r="K183" s="91"/>
    </row>
    <row r="184" ht="18.75" customHeight="1">
      <c r="A184" s="91"/>
      <c r="B184" s="92"/>
      <c r="C184" s="91"/>
      <c r="D184" s="91"/>
      <c r="E184" s="128"/>
      <c r="F184" s="91"/>
      <c r="G184" s="91"/>
      <c r="H184" s="128"/>
      <c r="I184" s="91"/>
      <c r="J184" s="91"/>
      <c r="K184" s="91"/>
    </row>
    <row r="185" ht="18.75" customHeight="1">
      <c r="A185" s="91"/>
      <c r="B185" s="92"/>
      <c r="C185" s="91"/>
      <c r="D185" s="91"/>
      <c r="E185" s="128"/>
      <c r="F185" s="91"/>
      <c r="G185" s="91"/>
      <c r="H185" s="128"/>
      <c r="I185" s="91"/>
      <c r="J185" s="91"/>
      <c r="K185" s="91"/>
    </row>
    <row r="186" ht="18.75" customHeight="1">
      <c r="A186" s="91"/>
      <c r="B186" s="92"/>
      <c r="C186" s="91"/>
      <c r="D186" s="91"/>
      <c r="E186" s="128"/>
      <c r="F186" s="91"/>
      <c r="G186" s="91"/>
      <c r="H186" s="128"/>
      <c r="I186" s="91"/>
      <c r="J186" s="91"/>
      <c r="K186" s="91"/>
    </row>
    <row r="187" ht="18.75" customHeight="1">
      <c r="A187" s="91"/>
      <c r="B187" s="92"/>
      <c r="C187" s="91"/>
      <c r="D187" s="91"/>
      <c r="E187" s="128"/>
      <c r="F187" s="91"/>
      <c r="G187" s="91"/>
      <c r="H187" s="128"/>
      <c r="I187" s="91"/>
      <c r="J187" s="91"/>
      <c r="K187" s="91"/>
    </row>
    <row r="188" ht="18.75" customHeight="1">
      <c r="A188" s="91"/>
      <c r="B188" s="92"/>
      <c r="C188" s="91"/>
      <c r="D188" s="91"/>
      <c r="E188" s="128"/>
      <c r="F188" s="91"/>
      <c r="G188" s="91"/>
      <c r="H188" s="128"/>
      <c r="I188" s="91"/>
      <c r="J188" s="91"/>
      <c r="K188" s="91"/>
    </row>
    <row r="189" ht="18.75" customHeight="1">
      <c r="A189" s="91"/>
      <c r="B189" s="92"/>
      <c r="C189" s="91"/>
      <c r="D189" s="91"/>
      <c r="E189" s="128"/>
      <c r="F189" s="91"/>
      <c r="G189" s="91"/>
      <c r="H189" s="128"/>
      <c r="I189" s="91"/>
      <c r="J189" s="91"/>
      <c r="K189" s="91"/>
    </row>
    <row r="190" ht="18.75" customHeight="1">
      <c r="A190" s="91"/>
      <c r="B190" s="92"/>
      <c r="C190" s="91"/>
      <c r="D190" s="91"/>
      <c r="E190" s="128"/>
      <c r="F190" s="91"/>
      <c r="G190" s="91"/>
      <c r="H190" s="128"/>
      <c r="I190" s="91"/>
      <c r="J190" s="91"/>
      <c r="K190" s="91"/>
    </row>
    <row r="191" ht="18.75" customHeight="1">
      <c r="A191" s="91"/>
      <c r="B191" s="92"/>
      <c r="C191" s="91"/>
      <c r="D191" s="91"/>
      <c r="E191" s="128"/>
      <c r="F191" s="91"/>
      <c r="G191" s="91"/>
      <c r="H191" s="128"/>
      <c r="I191" s="91"/>
      <c r="J191" s="91"/>
      <c r="K191" s="91"/>
    </row>
    <row r="192" ht="18.75" customHeight="1">
      <c r="A192" s="91"/>
      <c r="B192" s="92"/>
      <c r="C192" s="91"/>
      <c r="D192" s="91"/>
      <c r="E192" s="128"/>
      <c r="F192" s="91"/>
      <c r="G192" s="91"/>
      <c r="H192" s="128"/>
      <c r="I192" s="91"/>
      <c r="J192" s="91"/>
      <c r="K192" s="91"/>
    </row>
    <row r="193" ht="18.75" customHeight="1">
      <c r="A193" s="91"/>
      <c r="B193" s="92"/>
      <c r="C193" s="91"/>
      <c r="D193" s="91"/>
      <c r="E193" s="128"/>
      <c r="F193" s="91"/>
      <c r="G193" s="91"/>
      <c r="H193" s="128"/>
      <c r="I193" s="91"/>
      <c r="J193" s="91"/>
      <c r="K193" s="91"/>
    </row>
    <row r="194" ht="18.75" customHeight="1">
      <c r="A194" s="91"/>
      <c r="B194" s="92"/>
      <c r="C194" s="91"/>
      <c r="D194" s="91"/>
      <c r="E194" s="128"/>
      <c r="F194" s="91"/>
      <c r="G194" s="91"/>
      <c r="H194" s="128"/>
      <c r="I194" s="91"/>
      <c r="J194" s="91"/>
      <c r="K194" s="91"/>
    </row>
    <row r="195" ht="18.75" customHeight="1">
      <c r="A195" s="91"/>
      <c r="B195" s="92"/>
      <c r="C195" s="91"/>
      <c r="D195" s="91"/>
      <c r="E195" s="128"/>
      <c r="F195" s="91"/>
      <c r="G195" s="91"/>
      <c r="H195" s="128"/>
      <c r="I195" s="91"/>
      <c r="J195" s="91"/>
      <c r="K195" s="91"/>
    </row>
    <row r="196" ht="18.75" customHeight="1">
      <c r="A196" s="91"/>
      <c r="B196" s="92"/>
      <c r="C196" s="91"/>
      <c r="D196" s="91"/>
      <c r="E196" s="128"/>
      <c r="F196" s="91"/>
      <c r="G196" s="91"/>
      <c r="H196" s="128"/>
      <c r="I196" s="91"/>
      <c r="J196" s="91"/>
      <c r="K196" s="91"/>
    </row>
    <row r="197" ht="18.75" customHeight="1">
      <c r="A197" s="91"/>
      <c r="B197" s="92"/>
      <c r="C197" s="91"/>
      <c r="D197" s="91"/>
      <c r="E197" s="128"/>
      <c r="F197" s="91"/>
      <c r="G197" s="91"/>
      <c r="H197" s="128"/>
      <c r="I197" s="91"/>
      <c r="J197" s="91"/>
      <c r="K197" s="91"/>
    </row>
    <row r="198" ht="18.75" customHeight="1">
      <c r="A198" s="91"/>
      <c r="B198" s="92"/>
      <c r="C198" s="91"/>
      <c r="D198" s="91"/>
      <c r="E198" s="128"/>
      <c r="F198" s="91"/>
      <c r="G198" s="91"/>
      <c r="H198" s="128"/>
      <c r="I198" s="91"/>
      <c r="J198" s="91"/>
      <c r="K198" s="91"/>
    </row>
    <row r="199" ht="18.75" customHeight="1">
      <c r="A199" s="91"/>
      <c r="B199" s="92"/>
      <c r="C199" s="91"/>
      <c r="D199" s="91"/>
      <c r="E199" s="128"/>
      <c r="F199" s="91"/>
      <c r="G199" s="91"/>
      <c r="H199" s="128"/>
      <c r="I199" s="91"/>
      <c r="J199" s="91"/>
      <c r="K199" s="91"/>
    </row>
    <row r="200" ht="18.75" customHeight="1">
      <c r="A200" s="91"/>
      <c r="B200" s="92"/>
      <c r="C200" s="91"/>
      <c r="D200" s="91"/>
      <c r="E200" s="128"/>
      <c r="F200" s="91"/>
      <c r="G200" s="91"/>
      <c r="H200" s="128"/>
      <c r="I200" s="91"/>
      <c r="J200" s="91"/>
      <c r="K200" s="91"/>
    </row>
    <row r="201" ht="18.75" customHeight="1">
      <c r="E201" s="129"/>
      <c r="H201" s="129"/>
    </row>
    <row r="202" ht="18.75" customHeight="1">
      <c r="E202" s="129"/>
      <c r="H202" s="129"/>
    </row>
    <row r="203" ht="18.75" customHeight="1">
      <c r="E203" s="129"/>
      <c r="H203" s="129"/>
    </row>
    <row r="204" ht="18.75" customHeight="1">
      <c r="E204" s="129"/>
      <c r="H204" s="129"/>
    </row>
    <row r="205" ht="18.75" customHeight="1">
      <c r="E205" s="129"/>
      <c r="H205" s="129"/>
    </row>
    <row r="206" ht="18.75" customHeight="1">
      <c r="E206" s="129"/>
      <c r="H206" s="129"/>
    </row>
    <row r="207" ht="18.75" customHeight="1">
      <c r="E207" s="129"/>
      <c r="H207" s="129"/>
    </row>
    <row r="208" ht="18.75" customHeight="1">
      <c r="E208" s="129"/>
      <c r="H208" s="129"/>
    </row>
    <row r="209" ht="18.75" customHeight="1">
      <c r="E209" s="129"/>
      <c r="H209" s="129"/>
    </row>
    <row r="210" ht="18.75" customHeight="1">
      <c r="E210" s="129"/>
      <c r="H210" s="129"/>
    </row>
    <row r="211" ht="18.75" customHeight="1">
      <c r="E211" s="129"/>
      <c r="H211" s="129"/>
    </row>
    <row r="212" ht="18.75" customHeight="1">
      <c r="E212" s="129"/>
      <c r="H212" s="129"/>
    </row>
    <row r="213" ht="18.75" customHeight="1">
      <c r="E213" s="129"/>
      <c r="H213" s="129"/>
    </row>
    <row r="214" ht="18.75" customHeight="1">
      <c r="E214" s="129"/>
      <c r="H214" s="129"/>
    </row>
    <row r="215" ht="18.75" customHeight="1">
      <c r="E215" s="129"/>
      <c r="H215" s="129"/>
    </row>
    <row r="216" ht="18.75" customHeight="1">
      <c r="E216" s="129"/>
      <c r="H216" s="129"/>
    </row>
    <row r="217" ht="18.75" customHeight="1">
      <c r="E217" s="129"/>
      <c r="H217" s="129"/>
    </row>
    <row r="218" ht="18.75" customHeight="1">
      <c r="E218" s="129"/>
      <c r="H218" s="129"/>
    </row>
    <row r="219" ht="18.75" customHeight="1">
      <c r="E219" s="129"/>
      <c r="H219" s="129"/>
    </row>
    <row r="220" ht="18.75" customHeight="1">
      <c r="E220" s="129"/>
      <c r="H220" s="129"/>
    </row>
    <row r="221" ht="18.75" customHeight="1">
      <c r="E221" s="129"/>
      <c r="H221" s="129"/>
    </row>
    <row r="222" ht="18.75" customHeight="1">
      <c r="E222" s="129"/>
      <c r="H222" s="129"/>
    </row>
    <row r="223" ht="18.75" customHeight="1">
      <c r="E223" s="129"/>
      <c r="H223" s="129"/>
    </row>
    <row r="224" ht="18.75" customHeight="1">
      <c r="E224" s="129"/>
      <c r="H224" s="129"/>
    </row>
    <row r="225" ht="18.75" customHeight="1">
      <c r="E225" s="129"/>
      <c r="H225" s="129"/>
    </row>
    <row r="226" ht="18.75" customHeight="1">
      <c r="E226" s="129"/>
      <c r="H226" s="129"/>
    </row>
    <row r="227" ht="18.75" customHeight="1">
      <c r="E227" s="129"/>
      <c r="H227" s="129"/>
    </row>
    <row r="228" ht="18.75" customHeight="1">
      <c r="E228" s="129"/>
      <c r="H228" s="129"/>
    </row>
    <row r="229" ht="18.75" customHeight="1">
      <c r="E229" s="129"/>
      <c r="H229" s="129"/>
    </row>
    <row r="230" ht="18.75" customHeight="1">
      <c r="E230" s="129"/>
      <c r="H230" s="129"/>
    </row>
    <row r="231" ht="18.75" customHeight="1">
      <c r="E231" s="129"/>
      <c r="H231" s="129"/>
    </row>
    <row r="232" ht="18.75" customHeight="1">
      <c r="E232" s="129"/>
      <c r="H232" s="129"/>
    </row>
    <row r="233" ht="18.75" customHeight="1">
      <c r="E233" s="129"/>
      <c r="H233" s="129"/>
    </row>
    <row r="234" ht="18.75" customHeight="1">
      <c r="E234" s="129"/>
      <c r="H234" s="129"/>
    </row>
    <row r="235" ht="18.75" customHeight="1">
      <c r="E235" s="129"/>
      <c r="H235" s="129"/>
    </row>
    <row r="236" ht="18.75" customHeight="1">
      <c r="E236" s="129"/>
      <c r="H236" s="129"/>
    </row>
    <row r="237" ht="18.75" customHeight="1">
      <c r="E237" s="129"/>
      <c r="H237" s="129"/>
    </row>
    <row r="238" ht="18.75" customHeight="1">
      <c r="E238" s="129"/>
      <c r="H238" s="129"/>
    </row>
    <row r="239" ht="18.75" customHeight="1">
      <c r="E239" s="129"/>
      <c r="H239" s="129"/>
    </row>
    <row r="240" ht="18.75" customHeight="1">
      <c r="E240" s="129"/>
      <c r="H240" s="129"/>
    </row>
    <row r="241" ht="18.75" customHeight="1">
      <c r="E241" s="129"/>
      <c r="H241" s="129"/>
    </row>
    <row r="242" ht="18.75" customHeight="1">
      <c r="E242" s="129"/>
      <c r="H242" s="129"/>
    </row>
    <row r="243" ht="18.75" customHeight="1">
      <c r="E243" s="129"/>
      <c r="H243" s="129"/>
    </row>
    <row r="244" ht="18.75" customHeight="1">
      <c r="E244" s="129"/>
      <c r="H244" s="129"/>
    </row>
    <row r="245" ht="18.75" customHeight="1">
      <c r="E245" s="129"/>
      <c r="H245" s="129"/>
    </row>
    <row r="246" ht="18.75" customHeight="1">
      <c r="E246" s="129"/>
      <c r="H246" s="129"/>
    </row>
    <row r="247" ht="18.75" customHeight="1">
      <c r="E247" s="129"/>
      <c r="H247" s="129"/>
    </row>
    <row r="248" ht="18.75" customHeight="1">
      <c r="E248" s="129"/>
      <c r="H248" s="129"/>
    </row>
    <row r="249" ht="18.75" customHeight="1">
      <c r="E249" s="129"/>
      <c r="H249" s="129"/>
    </row>
    <row r="250" ht="18.75" customHeight="1">
      <c r="E250" s="129"/>
      <c r="H250" s="129"/>
    </row>
    <row r="251" ht="18.75" customHeight="1">
      <c r="E251" s="129"/>
      <c r="H251" s="129"/>
    </row>
    <row r="252" ht="18.75" customHeight="1">
      <c r="E252" s="129"/>
      <c r="H252" s="129"/>
    </row>
    <row r="253" ht="18.75" customHeight="1">
      <c r="E253" s="129"/>
      <c r="H253" s="129"/>
    </row>
    <row r="254" ht="18.75" customHeight="1">
      <c r="E254" s="129"/>
      <c r="H254" s="129"/>
    </row>
    <row r="255" ht="18.75" customHeight="1">
      <c r="E255" s="129"/>
      <c r="H255" s="129"/>
    </row>
    <row r="256" ht="18.75" customHeight="1">
      <c r="E256" s="129"/>
      <c r="H256" s="129"/>
    </row>
    <row r="257" ht="18.75" customHeight="1">
      <c r="E257" s="129"/>
      <c r="H257" s="129"/>
    </row>
    <row r="258" ht="18.75" customHeight="1">
      <c r="E258" s="129"/>
      <c r="H258" s="129"/>
    </row>
    <row r="259" ht="18.75" customHeight="1">
      <c r="E259" s="129"/>
      <c r="H259" s="129"/>
    </row>
    <row r="260" ht="18.75" customHeight="1">
      <c r="E260" s="129"/>
      <c r="H260" s="129"/>
    </row>
    <row r="261" ht="18.75" customHeight="1">
      <c r="E261" s="129"/>
      <c r="H261" s="129"/>
    </row>
    <row r="262" ht="18.75" customHeight="1">
      <c r="E262" s="129"/>
      <c r="H262" s="129"/>
    </row>
    <row r="263" ht="18.75" customHeight="1">
      <c r="E263" s="129"/>
      <c r="H263" s="129"/>
    </row>
    <row r="264" ht="18.75" customHeight="1">
      <c r="E264" s="129"/>
      <c r="H264" s="129"/>
    </row>
    <row r="265" ht="18.75" customHeight="1">
      <c r="E265" s="129"/>
      <c r="H265" s="129"/>
    </row>
    <row r="266" ht="18.75" customHeight="1">
      <c r="E266" s="129"/>
      <c r="H266" s="129"/>
    </row>
    <row r="267" ht="18.75" customHeight="1">
      <c r="E267" s="129"/>
      <c r="H267" s="129"/>
    </row>
    <row r="268" ht="18.75" customHeight="1">
      <c r="E268" s="129"/>
      <c r="H268" s="129"/>
    </row>
    <row r="269" ht="18.75" customHeight="1">
      <c r="E269" s="129"/>
      <c r="H269" s="129"/>
    </row>
    <row r="270" ht="18.75" customHeight="1">
      <c r="E270" s="129"/>
      <c r="H270" s="129"/>
    </row>
    <row r="271" ht="18.75" customHeight="1">
      <c r="E271" s="129"/>
      <c r="H271" s="129"/>
    </row>
    <row r="272" ht="18.75" customHeight="1">
      <c r="E272" s="129"/>
      <c r="H272" s="129"/>
    </row>
    <row r="273" ht="18.75" customHeight="1">
      <c r="E273" s="129"/>
      <c r="H273" s="129"/>
    </row>
    <row r="274" ht="18.75" customHeight="1">
      <c r="E274" s="129"/>
      <c r="H274" s="129"/>
    </row>
    <row r="275" ht="18.75" customHeight="1">
      <c r="E275" s="129"/>
      <c r="H275" s="129"/>
    </row>
    <row r="276" ht="18.75" customHeight="1">
      <c r="E276" s="129"/>
      <c r="H276" s="129"/>
    </row>
    <row r="277" ht="18.75" customHeight="1">
      <c r="E277" s="129"/>
      <c r="H277" s="129"/>
    </row>
    <row r="278" ht="18.75" customHeight="1">
      <c r="E278" s="129"/>
      <c r="H278" s="129"/>
    </row>
    <row r="279" ht="18.75" customHeight="1">
      <c r="E279" s="129"/>
      <c r="H279" s="129"/>
    </row>
    <row r="280" ht="18.75" customHeight="1">
      <c r="E280" s="129"/>
      <c r="H280" s="129"/>
    </row>
    <row r="281" ht="18.75" customHeight="1">
      <c r="E281" s="129"/>
      <c r="H281" s="129"/>
    </row>
    <row r="282" ht="18.75" customHeight="1">
      <c r="E282" s="129"/>
      <c r="H282" s="129"/>
    </row>
    <row r="283" ht="18.75" customHeight="1">
      <c r="E283" s="129"/>
      <c r="H283" s="129"/>
    </row>
    <row r="284" ht="18.75" customHeight="1">
      <c r="E284" s="129"/>
      <c r="H284" s="129"/>
    </row>
    <row r="285" ht="18.75" customHeight="1">
      <c r="E285" s="129"/>
      <c r="H285" s="129"/>
    </row>
    <row r="286" ht="18.75" customHeight="1">
      <c r="E286" s="129"/>
      <c r="H286" s="129"/>
    </row>
    <row r="287" ht="18.75" customHeight="1">
      <c r="E287" s="129"/>
      <c r="H287" s="129"/>
    </row>
    <row r="288" ht="18.75" customHeight="1">
      <c r="E288" s="129"/>
      <c r="H288" s="129"/>
    </row>
    <row r="289" ht="18.75" customHeight="1">
      <c r="E289" s="129"/>
      <c r="H289" s="129"/>
    </row>
    <row r="290" ht="18.75" customHeight="1">
      <c r="E290" s="129"/>
      <c r="H290" s="129"/>
    </row>
    <row r="291" ht="18.75" customHeight="1">
      <c r="E291" s="129"/>
      <c r="H291" s="129"/>
    </row>
    <row r="292" ht="18.75" customHeight="1">
      <c r="E292" s="129"/>
      <c r="H292" s="129"/>
    </row>
    <row r="293" ht="18.75" customHeight="1">
      <c r="E293" s="129"/>
      <c r="H293" s="129"/>
    </row>
    <row r="294" ht="18.75" customHeight="1">
      <c r="E294" s="129"/>
      <c r="H294" s="129"/>
    </row>
    <row r="295" ht="18.75" customHeight="1">
      <c r="E295" s="129"/>
      <c r="H295" s="129"/>
    </row>
    <row r="296" ht="18.75" customHeight="1">
      <c r="E296" s="129"/>
      <c r="H296" s="129"/>
    </row>
    <row r="297" ht="18.75" customHeight="1">
      <c r="E297" s="129"/>
      <c r="H297" s="129"/>
    </row>
    <row r="298" ht="18.75" customHeight="1">
      <c r="E298" s="129"/>
      <c r="H298" s="129"/>
    </row>
    <row r="299" ht="18.75" customHeight="1">
      <c r="E299" s="129"/>
      <c r="H299" s="129"/>
    </row>
    <row r="300" ht="18.75" customHeight="1">
      <c r="E300" s="129"/>
      <c r="H300" s="129"/>
    </row>
    <row r="301" ht="18.75" customHeight="1">
      <c r="E301" s="129"/>
      <c r="H301" s="129"/>
    </row>
    <row r="302" ht="18.75" customHeight="1">
      <c r="E302" s="129"/>
      <c r="H302" s="129"/>
    </row>
    <row r="303" ht="18.75" customHeight="1">
      <c r="E303" s="129"/>
      <c r="H303" s="129"/>
    </row>
    <row r="304" ht="18.75" customHeight="1">
      <c r="E304" s="129"/>
      <c r="H304" s="129"/>
    </row>
    <row r="305" ht="18.75" customHeight="1">
      <c r="E305" s="129"/>
      <c r="H305" s="129"/>
    </row>
    <row r="306" ht="18.75" customHeight="1">
      <c r="E306" s="129"/>
      <c r="H306" s="129"/>
    </row>
    <row r="307" ht="18.75" customHeight="1">
      <c r="E307" s="129"/>
      <c r="H307" s="129"/>
    </row>
    <row r="308" ht="18.75" customHeight="1">
      <c r="E308" s="129"/>
      <c r="H308" s="129"/>
    </row>
    <row r="309" ht="18.75" customHeight="1">
      <c r="E309" s="129"/>
      <c r="H309" s="129"/>
    </row>
    <row r="310" ht="18.75" customHeight="1">
      <c r="E310" s="129"/>
      <c r="H310" s="129"/>
    </row>
    <row r="311" ht="18.75" customHeight="1">
      <c r="E311" s="129"/>
      <c r="H311" s="129"/>
    </row>
    <row r="312" ht="18.75" customHeight="1">
      <c r="E312" s="129"/>
      <c r="H312" s="129"/>
    </row>
    <row r="313" ht="18.75" customHeight="1">
      <c r="E313" s="129"/>
      <c r="H313" s="129"/>
    </row>
    <row r="314" ht="18.75" customHeight="1">
      <c r="E314" s="129"/>
      <c r="H314" s="129"/>
    </row>
    <row r="315" ht="18.75" customHeight="1">
      <c r="E315" s="129"/>
      <c r="H315" s="129"/>
    </row>
    <row r="316" ht="18.75" customHeight="1">
      <c r="E316" s="129"/>
      <c r="H316" s="129"/>
    </row>
    <row r="317" ht="18.75" customHeight="1">
      <c r="E317" s="129"/>
      <c r="H317" s="129"/>
    </row>
    <row r="318" ht="18.75" customHeight="1">
      <c r="E318" s="129"/>
      <c r="H318" s="129"/>
    </row>
    <row r="319" ht="18.75" customHeight="1">
      <c r="E319" s="129"/>
      <c r="H319" s="129"/>
    </row>
    <row r="320" ht="18.75" customHeight="1">
      <c r="E320" s="129"/>
      <c r="H320" s="129"/>
    </row>
    <row r="321" ht="18.75" customHeight="1">
      <c r="E321" s="129"/>
      <c r="H321" s="129"/>
    </row>
    <row r="322" ht="18.75" customHeight="1">
      <c r="E322" s="129"/>
      <c r="H322" s="129"/>
    </row>
    <row r="323" ht="18.75" customHeight="1">
      <c r="E323" s="129"/>
      <c r="H323" s="129"/>
    </row>
    <row r="324" ht="18.75" customHeight="1">
      <c r="E324" s="129"/>
      <c r="H324" s="129"/>
    </row>
    <row r="325" ht="18.75" customHeight="1">
      <c r="E325" s="129"/>
      <c r="H325" s="129"/>
    </row>
    <row r="326" ht="18.75" customHeight="1">
      <c r="E326" s="129"/>
      <c r="H326" s="129"/>
    </row>
    <row r="327" ht="18.75" customHeight="1">
      <c r="E327" s="129"/>
      <c r="H327" s="129"/>
    </row>
    <row r="328" ht="18.75" customHeight="1">
      <c r="E328" s="129"/>
      <c r="H328" s="129"/>
    </row>
    <row r="329" ht="18.75" customHeight="1">
      <c r="E329" s="129"/>
      <c r="H329" s="129"/>
    </row>
    <row r="330" ht="18.75" customHeight="1">
      <c r="E330" s="129"/>
      <c r="H330" s="129"/>
    </row>
    <row r="331" ht="18.75" customHeight="1">
      <c r="E331" s="129"/>
      <c r="H331" s="129"/>
    </row>
    <row r="332" ht="18.75" customHeight="1">
      <c r="E332" s="129"/>
      <c r="H332" s="129"/>
    </row>
    <row r="333" ht="18.75" customHeight="1">
      <c r="E333" s="129"/>
      <c r="H333" s="129"/>
    </row>
    <row r="334" ht="18.75" customHeight="1">
      <c r="E334" s="129"/>
      <c r="H334" s="129"/>
    </row>
    <row r="335" ht="18.75" customHeight="1">
      <c r="E335" s="129"/>
      <c r="H335" s="129"/>
    </row>
    <row r="336" ht="18.75" customHeight="1">
      <c r="E336" s="129"/>
      <c r="H336" s="129"/>
    </row>
    <row r="337" ht="18.75" customHeight="1">
      <c r="E337" s="129"/>
      <c r="H337" s="129"/>
    </row>
    <row r="338" ht="18.75" customHeight="1">
      <c r="E338" s="129"/>
      <c r="H338" s="129"/>
    </row>
    <row r="339" ht="18.75" customHeight="1">
      <c r="E339" s="129"/>
      <c r="H339" s="129"/>
    </row>
    <row r="340" ht="18.75" customHeight="1">
      <c r="E340" s="129"/>
      <c r="H340" s="129"/>
    </row>
    <row r="341" ht="18.75" customHeight="1">
      <c r="E341" s="129"/>
      <c r="H341" s="129"/>
    </row>
    <row r="342" ht="18.75" customHeight="1">
      <c r="E342" s="129"/>
      <c r="H342" s="129"/>
    </row>
    <row r="343" ht="18.75" customHeight="1">
      <c r="E343" s="129"/>
      <c r="H343" s="129"/>
    </row>
    <row r="344" ht="18.75" customHeight="1">
      <c r="E344" s="129"/>
      <c r="H344" s="129"/>
    </row>
    <row r="345" ht="18.75" customHeight="1">
      <c r="E345" s="129"/>
      <c r="H345" s="129"/>
    </row>
    <row r="346" ht="18.75" customHeight="1">
      <c r="E346" s="129"/>
      <c r="H346" s="129"/>
    </row>
    <row r="347" ht="18.75" customHeight="1">
      <c r="E347" s="129"/>
      <c r="H347" s="129"/>
    </row>
    <row r="348" ht="18.75" customHeight="1">
      <c r="E348" s="129"/>
      <c r="H348" s="129"/>
    </row>
    <row r="349" ht="18.75" customHeight="1">
      <c r="E349" s="129"/>
      <c r="H349" s="129"/>
    </row>
    <row r="350" ht="18.75" customHeight="1">
      <c r="E350" s="129"/>
      <c r="H350" s="129"/>
    </row>
    <row r="351" ht="18.75" customHeight="1">
      <c r="E351" s="129"/>
      <c r="H351" s="129"/>
    </row>
    <row r="352" ht="18.75" customHeight="1">
      <c r="E352" s="129"/>
      <c r="H352" s="129"/>
    </row>
    <row r="353" ht="18.75" customHeight="1">
      <c r="E353" s="129"/>
      <c r="H353" s="129"/>
    </row>
    <row r="354" ht="18.75" customHeight="1">
      <c r="E354" s="129"/>
      <c r="H354" s="129"/>
    </row>
    <row r="355" ht="18.75" customHeight="1">
      <c r="E355" s="129"/>
      <c r="H355" s="129"/>
    </row>
    <row r="356" ht="18.75" customHeight="1">
      <c r="E356" s="129"/>
      <c r="H356" s="129"/>
    </row>
    <row r="357" ht="18.75" customHeight="1">
      <c r="E357" s="129"/>
      <c r="H357" s="129"/>
    </row>
    <row r="358" ht="18.75" customHeight="1">
      <c r="E358" s="129"/>
      <c r="H358" s="129"/>
    </row>
    <row r="359" ht="18.75" customHeight="1">
      <c r="E359" s="129"/>
      <c r="H359" s="129"/>
    </row>
    <row r="360" ht="18.75" customHeight="1">
      <c r="E360" s="129"/>
      <c r="H360" s="129"/>
    </row>
    <row r="361" ht="18.75" customHeight="1">
      <c r="E361" s="129"/>
      <c r="H361" s="129"/>
    </row>
    <row r="362" ht="18.75" customHeight="1">
      <c r="E362" s="129"/>
      <c r="H362" s="129"/>
    </row>
    <row r="363" ht="18.75" customHeight="1">
      <c r="E363" s="129"/>
      <c r="H363" s="129"/>
    </row>
    <row r="364" ht="18.75" customHeight="1">
      <c r="E364" s="129"/>
      <c r="H364" s="129"/>
    </row>
    <row r="365" ht="18.75" customHeight="1">
      <c r="E365" s="129"/>
      <c r="H365" s="129"/>
    </row>
    <row r="366" ht="18.75" customHeight="1">
      <c r="E366" s="129"/>
      <c r="H366" s="129"/>
    </row>
    <row r="367" ht="18.75" customHeight="1">
      <c r="E367" s="129"/>
      <c r="H367" s="129"/>
    </row>
    <row r="368" ht="18.75" customHeight="1">
      <c r="E368" s="129"/>
      <c r="H368" s="129"/>
    </row>
    <row r="369" ht="18.75" customHeight="1">
      <c r="E369" s="129"/>
      <c r="H369" s="129"/>
    </row>
    <row r="370" ht="18.75" customHeight="1">
      <c r="E370" s="129"/>
      <c r="H370" s="129"/>
    </row>
    <row r="371" ht="18.75" customHeight="1">
      <c r="E371" s="129"/>
      <c r="H371" s="129"/>
    </row>
    <row r="372" ht="18.75" customHeight="1">
      <c r="E372" s="129"/>
      <c r="H372" s="129"/>
    </row>
    <row r="373" ht="18.75" customHeight="1">
      <c r="E373" s="129"/>
      <c r="H373" s="129"/>
    </row>
    <row r="374" ht="18.75" customHeight="1">
      <c r="E374" s="129"/>
      <c r="H374" s="129"/>
    </row>
    <row r="375" ht="18.75" customHeight="1">
      <c r="E375" s="129"/>
      <c r="H375" s="129"/>
    </row>
    <row r="376" ht="18.75" customHeight="1">
      <c r="E376" s="129"/>
      <c r="H376" s="129"/>
    </row>
    <row r="377" ht="18.75" customHeight="1">
      <c r="E377" s="129"/>
      <c r="H377" s="129"/>
    </row>
    <row r="378" ht="18.75" customHeight="1">
      <c r="E378" s="129"/>
      <c r="H378" s="129"/>
    </row>
    <row r="379" ht="18.75" customHeight="1">
      <c r="E379" s="129"/>
      <c r="H379" s="129"/>
    </row>
    <row r="380" ht="18.75" customHeight="1">
      <c r="E380" s="129"/>
      <c r="H380" s="129"/>
    </row>
    <row r="381" ht="18.75" customHeight="1">
      <c r="E381" s="129"/>
      <c r="H381" s="129"/>
    </row>
    <row r="382" ht="18.75" customHeight="1">
      <c r="E382" s="129"/>
      <c r="H382" s="129"/>
    </row>
    <row r="383" ht="18.75" customHeight="1">
      <c r="E383" s="129"/>
      <c r="H383" s="129"/>
    </row>
    <row r="384" ht="18.75" customHeight="1">
      <c r="E384" s="129"/>
      <c r="H384" s="129"/>
    </row>
    <row r="385" ht="18.75" customHeight="1">
      <c r="E385" s="129"/>
      <c r="H385" s="129"/>
    </row>
    <row r="386" ht="18.75" customHeight="1">
      <c r="E386" s="129"/>
      <c r="H386" s="129"/>
    </row>
    <row r="387" ht="18.75" customHeight="1">
      <c r="E387" s="129"/>
      <c r="H387" s="129"/>
    </row>
    <row r="388" ht="18.75" customHeight="1">
      <c r="E388" s="129"/>
      <c r="H388" s="129"/>
    </row>
    <row r="389" ht="18.75" customHeight="1">
      <c r="E389" s="129"/>
      <c r="H389" s="129"/>
    </row>
    <row r="390" ht="18.75" customHeight="1">
      <c r="E390" s="129"/>
      <c r="H390" s="129"/>
    </row>
    <row r="391" ht="18.75" customHeight="1">
      <c r="E391" s="129"/>
      <c r="H391" s="129"/>
    </row>
    <row r="392" ht="18.75" customHeight="1">
      <c r="E392" s="129"/>
      <c r="H392" s="129"/>
    </row>
    <row r="393" ht="18.75" customHeight="1">
      <c r="E393" s="129"/>
      <c r="H393" s="129"/>
    </row>
    <row r="394" ht="18.75" customHeight="1">
      <c r="E394" s="129"/>
      <c r="H394" s="129"/>
    </row>
    <row r="395" ht="18.75" customHeight="1">
      <c r="E395" s="129"/>
      <c r="H395" s="129"/>
    </row>
    <row r="396" ht="18.75" customHeight="1">
      <c r="E396" s="129"/>
      <c r="H396" s="129"/>
    </row>
    <row r="397" ht="18.75" customHeight="1">
      <c r="E397" s="129"/>
      <c r="H397" s="129"/>
    </row>
    <row r="398" ht="18.75" customHeight="1">
      <c r="E398" s="129"/>
      <c r="H398" s="129"/>
    </row>
    <row r="399" ht="18.75" customHeight="1">
      <c r="E399" s="129"/>
      <c r="H399" s="129"/>
    </row>
    <row r="400" ht="18.75" customHeight="1">
      <c r="E400" s="129"/>
      <c r="H400" s="129"/>
    </row>
    <row r="401" ht="18.75" customHeight="1">
      <c r="E401" s="129"/>
      <c r="H401" s="129"/>
    </row>
    <row r="402" ht="18.75" customHeight="1">
      <c r="E402" s="129"/>
      <c r="H402" s="129"/>
    </row>
    <row r="403" ht="18.75" customHeight="1">
      <c r="E403" s="129"/>
      <c r="H403" s="129"/>
    </row>
    <row r="404" ht="18.75" customHeight="1">
      <c r="E404" s="129"/>
      <c r="H404" s="129"/>
    </row>
    <row r="405" ht="18.75" customHeight="1">
      <c r="E405" s="129"/>
      <c r="H405" s="129"/>
    </row>
    <row r="406" ht="18.75" customHeight="1">
      <c r="E406" s="129"/>
      <c r="H406" s="129"/>
    </row>
    <row r="407" ht="18.75" customHeight="1">
      <c r="E407" s="129"/>
      <c r="H407" s="129"/>
    </row>
    <row r="408" ht="18.75" customHeight="1">
      <c r="E408" s="129"/>
      <c r="H408" s="129"/>
    </row>
    <row r="409" ht="18.75" customHeight="1">
      <c r="E409" s="129"/>
      <c r="H409" s="129"/>
    </row>
    <row r="410" ht="18.75" customHeight="1">
      <c r="E410" s="129"/>
      <c r="H410" s="129"/>
    </row>
    <row r="411" ht="18.75" customHeight="1">
      <c r="E411" s="129"/>
      <c r="H411" s="129"/>
    </row>
    <row r="412" ht="18.75" customHeight="1">
      <c r="E412" s="129"/>
      <c r="H412" s="129"/>
    </row>
    <row r="413" ht="18.75" customHeight="1">
      <c r="E413" s="129"/>
      <c r="H413" s="129"/>
    </row>
    <row r="414" ht="18.75" customHeight="1">
      <c r="E414" s="129"/>
      <c r="H414" s="129"/>
    </row>
    <row r="415" ht="18.75" customHeight="1">
      <c r="E415" s="129"/>
      <c r="H415" s="129"/>
    </row>
    <row r="416" ht="18.75" customHeight="1">
      <c r="E416" s="129"/>
      <c r="H416" s="129"/>
    </row>
    <row r="417" ht="18.75" customHeight="1">
      <c r="E417" s="129"/>
      <c r="H417" s="129"/>
    </row>
    <row r="418" ht="18.75" customHeight="1">
      <c r="E418" s="129"/>
      <c r="H418" s="129"/>
    </row>
    <row r="419" ht="18.75" customHeight="1">
      <c r="E419" s="129"/>
      <c r="H419" s="129"/>
    </row>
    <row r="420" ht="18.75" customHeight="1">
      <c r="E420" s="129"/>
      <c r="H420" s="129"/>
    </row>
    <row r="421" ht="18.75" customHeight="1">
      <c r="E421" s="129"/>
      <c r="H421" s="129"/>
    </row>
    <row r="422" ht="18.75" customHeight="1">
      <c r="E422" s="129"/>
      <c r="H422" s="129"/>
    </row>
    <row r="423" ht="18.75" customHeight="1">
      <c r="E423" s="129"/>
      <c r="H423" s="129"/>
    </row>
    <row r="424" ht="18.75" customHeight="1">
      <c r="E424" s="129"/>
      <c r="H424" s="129"/>
    </row>
    <row r="425" ht="18.75" customHeight="1">
      <c r="E425" s="129"/>
      <c r="H425" s="129"/>
    </row>
    <row r="426" ht="18.75" customHeight="1">
      <c r="E426" s="129"/>
      <c r="H426" s="129"/>
    </row>
    <row r="427" ht="18.75" customHeight="1">
      <c r="E427" s="129"/>
      <c r="H427" s="129"/>
    </row>
    <row r="428" ht="18.75" customHeight="1">
      <c r="E428" s="129"/>
      <c r="H428" s="129"/>
    </row>
    <row r="429" ht="18.75" customHeight="1">
      <c r="E429" s="129"/>
      <c r="H429" s="129"/>
    </row>
    <row r="430" ht="18.75" customHeight="1">
      <c r="E430" s="129"/>
      <c r="H430" s="129"/>
    </row>
    <row r="431" ht="18.75" customHeight="1">
      <c r="E431" s="129"/>
      <c r="H431" s="129"/>
    </row>
    <row r="432" ht="18.75" customHeight="1">
      <c r="E432" s="129"/>
      <c r="H432" s="129"/>
    </row>
    <row r="433" ht="18.75" customHeight="1">
      <c r="E433" s="129"/>
      <c r="H433" s="129"/>
    </row>
    <row r="434" ht="18.75" customHeight="1">
      <c r="E434" s="129"/>
      <c r="H434" s="129"/>
    </row>
    <row r="435" ht="18.75" customHeight="1">
      <c r="E435" s="129"/>
      <c r="H435" s="129"/>
    </row>
    <row r="436" ht="18.75" customHeight="1">
      <c r="E436" s="129"/>
      <c r="H436" s="129"/>
    </row>
    <row r="437" ht="18.75" customHeight="1">
      <c r="E437" s="129"/>
      <c r="H437" s="129"/>
    </row>
    <row r="438" ht="18.75" customHeight="1">
      <c r="E438" s="129"/>
      <c r="H438" s="129"/>
    </row>
    <row r="439" ht="18.75" customHeight="1">
      <c r="E439" s="129"/>
      <c r="H439" s="129"/>
    </row>
    <row r="440" ht="18.75" customHeight="1">
      <c r="E440" s="129"/>
      <c r="H440" s="129"/>
    </row>
    <row r="441" ht="18.75" customHeight="1">
      <c r="E441" s="129"/>
      <c r="H441" s="129"/>
    </row>
    <row r="442" ht="18.75" customHeight="1">
      <c r="E442" s="129"/>
      <c r="H442" s="129"/>
    </row>
    <row r="443" ht="18.75" customHeight="1">
      <c r="E443" s="129"/>
      <c r="H443" s="129"/>
    </row>
    <row r="444" ht="18.75" customHeight="1">
      <c r="E444" s="129"/>
      <c r="H444" s="129"/>
    </row>
    <row r="445" ht="18.75" customHeight="1">
      <c r="E445" s="129"/>
      <c r="H445" s="129"/>
    </row>
    <row r="446" ht="18.75" customHeight="1">
      <c r="E446" s="129"/>
      <c r="H446" s="129"/>
    </row>
    <row r="447" ht="18.75" customHeight="1">
      <c r="E447" s="129"/>
      <c r="H447" s="129"/>
    </row>
    <row r="448" ht="18.75" customHeight="1">
      <c r="E448" s="129"/>
      <c r="H448" s="129"/>
    </row>
    <row r="449" ht="18.75" customHeight="1">
      <c r="E449" s="129"/>
      <c r="H449" s="129"/>
    </row>
    <row r="450" ht="18.75" customHeight="1">
      <c r="E450" s="129"/>
      <c r="H450" s="129"/>
    </row>
    <row r="451" ht="18.75" customHeight="1">
      <c r="E451" s="129"/>
      <c r="H451" s="129"/>
    </row>
    <row r="452" ht="18.75" customHeight="1">
      <c r="E452" s="129"/>
      <c r="H452" s="129"/>
    </row>
    <row r="453" ht="18.75" customHeight="1">
      <c r="E453" s="129"/>
      <c r="H453" s="129"/>
    </row>
    <row r="454" ht="18.75" customHeight="1">
      <c r="E454" s="129"/>
      <c r="H454" s="129"/>
    </row>
    <row r="455" ht="18.75" customHeight="1">
      <c r="E455" s="129"/>
      <c r="H455" s="129"/>
    </row>
    <row r="456" ht="18.75" customHeight="1">
      <c r="E456" s="129"/>
      <c r="H456" s="129"/>
    </row>
    <row r="457" ht="18.75" customHeight="1">
      <c r="E457" s="129"/>
      <c r="H457" s="129"/>
    </row>
    <row r="458" ht="18.75" customHeight="1">
      <c r="E458" s="129"/>
      <c r="H458" s="129"/>
    </row>
    <row r="459" ht="18.75" customHeight="1">
      <c r="E459" s="129"/>
      <c r="H459" s="129"/>
    </row>
    <row r="460" ht="18.75" customHeight="1">
      <c r="E460" s="129"/>
      <c r="H460" s="129"/>
    </row>
    <row r="461" ht="18.75" customHeight="1">
      <c r="E461" s="129"/>
      <c r="H461" s="129"/>
    </row>
    <row r="462" ht="18.75" customHeight="1">
      <c r="E462" s="129"/>
      <c r="H462" s="129"/>
    </row>
    <row r="463" ht="18.75" customHeight="1">
      <c r="E463" s="129"/>
      <c r="H463" s="129"/>
    </row>
    <row r="464" ht="18.75" customHeight="1">
      <c r="E464" s="129"/>
      <c r="H464" s="129"/>
    </row>
    <row r="465" ht="18.75" customHeight="1">
      <c r="E465" s="129"/>
      <c r="H465" s="129"/>
    </row>
    <row r="466" ht="18.75" customHeight="1">
      <c r="E466" s="129"/>
      <c r="H466" s="129"/>
    </row>
    <row r="467" ht="18.75" customHeight="1">
      <c r="E467" s="129"/>
      <c r="H467" s="129"/>
    </row>
    <row r="468" ht="18.75" customHeight="1">
      <c r="E468" s="129"/>
      <c r="H468" s="129"/>
    </row>
    <row r="469" ht="18.75" customHeight="1">
      <c r="E469" s="129"/>
      <c r="H469" s="129"/>
    </row>
    <row r="470" ht="18.75" customHeight="1">
      <c r="E470" s="129"/>
      <c r="H470" s="129"/>
    </row>
    <row r="471" ht="18.75" customHeight="1">
      <c r="E471" s="129"/>
      <c r="H471" s="129"/>
    </row>
    <row r="472" ht="18.75" customHeight="1">
      <c r="E472" s="129"/>
      <c r="H472" s="129"/>
    </row>
    <row r="473" ht="18.75" customHeight="1">
      <c r="E473" s="129"/>
      <c r="H473" s="129"/>
    </row>
    <row r="474" ht="18.75" customHeight="1">
      <c r="E474" s="129"/>
      <c r="H474" s="129"/>
    </row>
    <row r="475" ht="18.75" customHeight="1">
      <c r="E475" s="129"/>
      <c r="H475" s="129"/>
    </row>
    <row r="476" ht="18.75" customHeight="1">
      <c r="E476" s="129"/>
      <c r="H476" s="129"/>
    </row>
    <row r="477" ht="18.75" customHeight="1">
      <c r="E477" s="129"/>
      <c r="H477" s="129"/>
    </row>
    <row r="478" ht="18.75" customHeight="1">
      <c r="E478" s="129"/>
      <c r="H478" s="129"/>
    </row>
    <row r="479" ht="18.75" customHeight="1">
      <c r="E479" s="129"/>
      <c r="H479" s="129"/>
    </row>
    <row r="480" ht="18.75" customHeight="1">
      <c r="E480" s="129"/>
      <c r="H480" s="129"/>
    </row>
    <row r="481" ht="18.75" customHeight="1">
      <c r="E481" s="129"/>
      <c r="H481" s="129"/>
    </row>
    <row r="482" ht="18.75" customHeight="1">
      <c r="E482" s="129"/>
      <c r="H482" s="129"/>
    </row>
    <row r="483" ht="18.75" customHeight="1">
      <c r="E483" s="129"/>
      <c r="H483" s="129"/>
    </row>
    <row r="484" ht="18.75" customHeight="1">
      <c r="E484" s="129"/>
      <c r="H484" s="129"/>
    </row>
    <row r="485" ht="18.75" customHeight="1">
      <c r="E485" s="129"/>
      <c r="H485" s="129"/>
    </row>
    <row r="486" ht="18.75" customHeight="1">
      <c r="E486" s="129"/>
      <c r="H486" s="129"/>
    </row>
    <row r="487" ht="18.75" customHeight="1">
      <c r="E487" s="129"/>
      <c r="H487" s="129"/>
    </row>
    <row r="488" ht="18.75" customHeight="1">
      <c r="E488" s="129"/>
      <c r="H488" s="129"/>
    </row>
    <row r="489" ht="18.75" customHeight="1">
      <c r="E489" s="129"/>
      <c r="H489" s="129"/>
    </row>
    <row r="490" ht="18.75" customHeight="1">
      <c r="E490" s="129"/>
      <c r="H490" s="129"/>
    </row>
    <row r="491" ht="18.75" customHeight="1">
      <c r="E491" s="129"/>
      <c r="H491" s="129"/>
    </row>
    <row r="492" ht="18.75" customHeight="1">
      <c r="E492" s="129"/>
      <c r="H492" s="129"/>
    </row>
    <row r="493" ht="18.75" customHeight="1">
      <c r="E493" s="129"/>
      <c r="H493" s="129"/>
    </row>
    <row r="494" ht="18.75" customHeight="1">
      <c r="E494" s="129"/>
      <c r="H494" s="129"/>
    </row>
    <row r="495" ht="18.75" customHeight="1">
      <c r="E495" s="129"/>
      <c r="H495" s="129"/>
    </row>
    <row r="496" ht="18.75" customHeight="1">
      <c r="E496" s="129"/>
      <c r="H496" s="129"/>
    </row>
    <row r="497" ht="18.75" customHeight="1">
      <c r="E497" s="129"/>
      <c r="H497" s="129"/>
    </row>
    <row r="498" ht="18.75" customHeight="1">
      <c r="E498" s="129"/>
      <c r="H498" s="129"/>
    </row>
    <row r="499" ht="18.75" customHeight="1">
      <c r="E499" s="129"/>
      <c r="H499" s="129"/>
    </row>
    <row r="500" ht="18.75" customHeight="1">
      <c r="E500" s="129"/>
      <c r="H500" s="129"/>
    </row>
    <row r="501" ht="18.75" customHeight="1">
      <c r="E501" s="129"/>
      <c r="H501" s="129"/>
    </row>
    <row r="502" ht="18.75" customHeight="1">
      <c r="E502" s="129"/>
      <c r="H502" s="129"/>
    </row>
    <row r="503" ht="18.75" customHeight="1">
      <c r="E503" s="129"/>
      <c r="H503" s="129"/>
    </row>
    <row r="504" ht="18.75" customHeight="1">
      <c r="E504" s="129"/>
      <c r="H504" s="129"/>
    </row>
    <row r="505" ht="18.75" customHeight="1">
      <c r="E505" s="129"/>
      <c r="H505" s="129"/>
    </row>
    <row r="506" ht="18.75" customHeight="1">
      <c r="E506" s="129"/>
      <c r="H506" s="129"/>
    </row>
    <row r="507" ht="18.75" customHeight="1">
      <c r="E507" s="129"/>
      <c r="H507" s="129"/>
    </row>
    <row r="508" ht="18.75" customHeight="1">
      <c r="E508" s="129"/>
      <c r="H508" s="129"/>
    </row>
    <row r="509" ht="18.75" customHeight="1">
      <c r="E509" s="129"/>
      <c r="H509" s="129"/>
    </row>
    <row r="510" ht="18.75" customHeight="1">
      <c r="E510" s="129"/>
      <c r="H510" s="129"/>
    </row>
    <row r="511" ht="18.75" customHeight="1">
      <c r="E511" s="129"/>
      <c r="H511" s="129"/>
    </row>
    <row r="512" ht="18.75" customHeight="1">
      <c r="E512" s="129"/>
      <c r="H512" s="129"/>
    </row>
    <row r="513" ht="18.75" customHeight="1">
      <c r="E513" s="129"/>
      <c r="H513" s="129"/>
    </row>
    <row r="514" ht="18.75" customHeight="1">
      <c r="E514" s="129"/>
      <c r="H514" s="129"/>
    </row>
    <row r="515" ht="18.75" customHeight="1">
      <c r="E515" s="129"/>
      <c r="H515" s="129"/>
    </row>
    <row r="516" ht="18.75" customHeight="1">
      <c r="E516" s="129"/>
      <c r="H516" s="129"/>
    </row>
    <row r="517" ht="18.75" customHeight="1">
      <c r="E517" s="129"/>
      <c r="H517" s="129"/>
    </row>
    <row r="518" ht="18.75" customHeight="1">
      <c r="E518" s="129"/>
      <c r="H518" s="129"/>
    </row>
    <row r="519" ht="18.75" customHeight="1">
      <c r="E519" s="129"/>
      <c r="H519" s="129"/>
    </row>
    <row r="520" ht="18.75" customHeight="1">
      <c r="E520" s="129"/>
      <c r="H520" s="129"/>
    </row>
    <row r="521" ht="18.75" customHeight="1">
      <c r="E521" s="129"/>
      <c r="H521" s="129"/>
    </row>
    <row r="522" ht="18.75" customHeight="1">
      <c r="E522" s="129"/>
      <c r="H522" s="129"/>
    </row>
    <row r="523" ht="18.75" customHeight="1">
      <c r="E523" s="129"/>
      <c r="H523" s="129"/>
    </row>
    <row r="524" ht="18.75" customHeight="1">
      <c r="E524" s="129"/>
      <c r="H524" s="129"/>
    </row>
    <row r="525" ht="18.75" customHeight="1">
      <c r="E525" s="129"/>
      <c r="H525" s="129"/>
    </row>
    <row r="526" ht="18.75" customHeight="1">
      <c r="E526" s="129"/>
      <c r="H526" s="129"/>
    </row>
    <row r="527" ht="18.75" customHeight="1">
      <c r="E527" s="129"/>
      <c r="H527" s="129"/>
    </row>
    <row r="528" ht="18.75" customHeight="1">
      <c r="E528" s="129"/>
      <c r="H528" s="129"/>
    </row>
    <row r="529" ht="18.75" customHeight="1">
      <c r="E529" s="129"/>
      <c r="H529" s="129"/>
    </row>
    <row r="530" ht="18.75" customHeight="1">
      <c r="E530" s="129"/>
      <c r="H530" s="129"/>
    </row>
    <row r="531" ht="18.75" customHeight="1">
      <c r="E531" s="129"/>
      <c r="H531" s="129"/>
    </row>
    <row r="532" ht="18.75" customHeight="1">
      <c r="E532" s="129"/>
      <c r="H532" s="129"/>
    </row>
    <row r="533" ht="18.75" customHeight="1">
      <c r="E533" s="129"/>
      <c r="H533" s="129"/>
    </row>
    <row r="534" ht="18.75" customHeight="1">
      <c r="E534" s="129"/>
      <c r="H534" s="129"/>
    </row>
    <row r="535" ht="18.75" customHeight="1">
      <c r="E535" s="129"/>
      <c r="H535" s="129"/>
    </row>
    <row r="536" ht="18.75" customHeight="1">
      <c r="E536" s="129"/>
      <c r="H536" s="129"/>
    </row>
    <row r="537" ht="18.75" customHeight="1">
      <c r="E537" s="129"/>
      <c r="H537" s="129"/>
    </row>
    <row r="538" ht="18.75" customHeight="1">
      <c r="E538" s="129"/>
      <c r="H538" s="129"/>
    </row>
    <row r="539" ht="18.75" customHeight="1">
      <c r="E539" s="129"/>
      <c r="H539" s="129"/>
    </row>
    <row r="540" ht="18.75" customHeight="1">
      <c r="E540" s="129"/>
      <c r="H540" s="129"/>
    </row>
    <row r="541" ht="18.75" customHeight="1">
      <c r="E541" s="129"/>
      <c r="H541" s="129"/>
    </row>
    <row r="542" ht="18.75" customHeight="1">
      <c r="E542" s="129"/>
      <c r="H542" s="129"/>
    </row>
    <row r="543" ht="18.75" customHeight="1">
      <c r="E543" s="129"/>
      <c r="H543" s="129"/>
    </row>
    <row r="544" ht="18.75" customHeight="1">
      <c r="E544" s="129"/>
      <c r="H544" s="129"/>
    </row>
    <row r="545" ht="18.75" customHeight="1">
      <c r="E545" s="129"/>
      <c r="H545" s="129"/>
    </row>
    <row r="546" ht="18.75" customHeight="1">
      <c r="E546" s="129"/>
      <c r="H546" s="129"/>
    </row>
    <row r="547" ht="18.75" customHeight="1">
      <c r="E547" s="129"/>
      <c r="H547" s="129"/>
    </row>
    <row r="548" ht="18.75" customHeight="1">
      <c r="E548" s="129"/>
      <c r="H548" s="129"/>
    </row>
    <row r="549" ht="18.75" customHeight="1">
      <c r="E549" s="129"/>
      <c r="H549" s="129"/>
    </row>
    <row r="550" ht="18.75" customHeight="1">
      <c r="E550" s="129"/>
      <c r="H550" s="129"/>
    </row>
    <row r="551" ht="18.75" customHeight="1">
      <c r="E551" s="129"/>
      <c r="H551" s="129"/>
    </row>
    <row r="552" ht="18.75" customHeight="1">
      <c r="E552" s="129"/>
      <c r="H552" s="129"/>
    </row>
    <row r="553" ht="18.75" customHeight="1">
      <c r="E553" s="129"/>
      <c r="H553" s="129"/>
    </row>
    <row r="554" ht="18.75" customHeight="1">
      <c r="E554" s="129"/>
      <c r="H554" s="129"/>
    </row>
    <row r="555" ht="18.75" customHeight="1">
      <c r="E555" s="129"/>
      <c r="H555" s="129"/>
    </row>
    <row r="556" ht="18.75" customHeight="1">
      <c r="E556" s="129"/>
      <c r="H556" s="129"/>
    </row>
    <row r="557" ht="18.75" customHeight="1">
      <c r="E557" s="129"/>
      <c r="H557" s="129"/>
    </row>
    <row r="558" ht="18.75" customHeight="1">
      <c r="E558" s="129"/>
      <c r="H558" s="129"/>
    </row>
    <row r="559" ht="18.75" customHeight="1">
      <c r="E559" s="129"/>
      <c r="H559" s="129"/>
    </row>
    <row r="560" ht="18.75" customHeight="1">
      <c r="E560" s="129"/>
      <c r="H560" s="129"/>
    </row>
    <row r="561" ht="18.75" customHeight="1">
      <c r="E561" s="129"/>
      <c r="H561" s="129"/>
    </row>
    <row r="562" ht="18.75" customHeight="1">
      <c r="E562" s="129"/>
      <c r="H562" s="129"/>
    </row>
    <row r="563" ht="18.75" customHeight="1">
      <c r="E563" s="129"/>
      <c r="H563" s="129"/>
    </row>
    <row r="564" ht="18.75" customHeight="1">
      <c r="E564" s="129"/>
      <c r="H564" s="129"/>
    </row>
    <row r="565" ht="18.75" customHeight="1">
      <c r="E565" s="129"/>
      <c r="H565" s="129"/>
    </row>
    <row r="566" ht="18.75" customHeight="1">
      <c r="E566" s="129"/>
      <c r="H566" s="129"/>
    </row>
    <row r="567" ht="18.75" customHeight="1">
      <c r="E567" s="129"/>
      <c r="H567" s="129"/>
    </row>
    <row r="568" ht="18.75" customHeight="1">
      <c r="E568" s="129"/>
      <c r="H568" s="129"/>
    </row>
    <row r="569" ht="18.75" customHeight="1">
      <c r="E569" s="129"/>
      <c r="H569" s="129"/>
    </row>
    <row r="570" ht="18.75" customHeight="1">
      <c r="E570" s="129"/>
      <c r="H570" s="129"/>
    </row>
    <row r="571" ht="18.75" customHeight="1">
      <c r="E571" s="129"/>
      <c r="H571" s="129"/>
    </row>
    <row r="572" ht="18.75" customHeight="1">
      <c r="E572" s="129"/>
      <c r="H572" s="129"/>
    </row>
    <row r="573" ht="18.75" customHeight="1">
      <c r="E573" s="129"/>
      <c r="H573" s="129"/>
    </row>
    <row r="574" ht="18.75" customHeight="1">
      <c r="E574" s="129"/>
      <c r="H574" s="129"/>
    </row>
    <row r="575" ht="18.75" customHeight="1">
      <c r="E575" s="129"/>
      <c r="H575" s="129"/>
    </row>
    <row r="576" ht="18.75" customHeight="1">
      <c r="E576" s="129"/>
      <c r="H576" s="129"/>
    </row>
    <row r="577" ht="18.75" customHeight="1">
      <c r="E577" s="129"/>
      <c r="H577" s="129"/>
    </row>
    <row r="578" ht="18.75" customHeight="1">
      <c r="E578" s="129"/>
      <c r="H578" s="129"/>
    </row>
    <row r="579" ht="18.75" customHeight="1">
      <c r="E579" s="129"/>
      <c r="H579" s="129"/>
    </row>
    <row r="580" ht="18.75" customHeight="1">
      <c r="E580" s="129"/>
      <c r="H580" s="129"/>
    </row>
    <row r="581" ht="18.75" customHeight="1">
      <c r="E581" s="129"/>
      <c r="H581" s="129"/>
    </row>
    <row r="582" ht="18.75" customHeight="1">
      <c r="E582" s="129"/>
      <c r="H582" s="129"/>
    </row>
    <row r="583" ht="18.75" customHeight="1">
      <c r="E583" s="129"/>
      <c r="H583" s="129"/>
    </row>
    <row r="584" ht="18.75" customHeight="1">
      <c r="E584" s="129"/>
      <c r="H584" s="129"/>
    </row>
    <row r="585" ht="18.75" customHeight="1">
      <c r="E585" s="129"/>
      <c r="H585" s="129"/>
    </row>
    <row r="586" ht="18.75" customHeight="1">
      <c r="E586" s="129"/>
      <c r="H586" s="129"/>
    </row>
    <row r="587" ht="18.75" customHeight="1">
      <c r="E587" s="129"/>
      <c r="H587" s="129"/>
    </row>
    <row r="588" ht="18.75" customHeight="1">
      <c r="E588" s="129"/>
      <c r="H588" s="129"/>
    </row>
    <row r="589" ht="18.75" customHeight="1">
      <c r="E589" s="129"/>
      <c r="H589" s="129"/>
    </row>
    <row r="590" ht="18.75" customHeight="1">
      <c r="E590" s="129"/>
      <c r="H590" s="129"/>
    </row>
    <row r="591" ht="18.75" customHeight="1">
      <c r="E591" s="129"/>
      <c r="H591" s="129"/>
    </row>
    <row r="592" ht="18.75" customHeight="1">
      <c r="E592" s="129"/>
      <c r="H592" s="129"/>
    </row>
    <row r="593" ht="18.75" customHeight="1">
      <c r="E593" s="129"/>
      <c r="H593" s="129"/>
    </row>
    <row r="594" ht="18.75" customHeight="1">
      <c r="E594" s="129"/>
      <c r="H594" s="129"/>
    </row>
    <row r="595" ht="18.75" customHeight="1">
      <c r="E595" s="129"/>
      <c r="H595" s="129"/>
    </row>
    <row r="596" ht="18.75" customHeight="1">
      <c r="E596" s="129"/>
      <c r="H596" s="129"/>
    </row>
    <row r="597" ht="18.75" customHeight="1">
      <c r="E597" s="129"/>
      <c r="H597" s="129"/>
    </row>
    <row r="598" ht="18.75" customHeight="1">
      <c r="E598" s="129"/>
      <c r="H598" s="129"/>
    </row>
    <row r="599" ht="18.75" customHeight="1">
      <c r="E599" s="129"/>
      <c r="H599" s="129"/>
    </row>
    <row r="600" ht="18.75" customHeight="1">
      <c r="E600" s="129"/>
      <c r="H600" s="129"/>
    </row>
    <row r="601" ht="18.75" customHeight="1">
      <c r="E601" s="129"/>
      <c r="H601" s="129"/>
    </row>
    <row r="602" ht="18.75" customHeight="1">
      <c r="E602" s="129"/>
      <c r="H602" s="129"/>
    </row>
    <row r="603" ht="18.75" customHeight="1">
      <c r="E603" s="129"/>
      <c r="H603" s="129"/>
    </row>
    <row r="604" ht="18.75" customHeight="1">
      <c r="E604" s="129"/>
      <c r="H604" s="129"/>
    </row>
    <row r="605" ht="18.75" customHeight="1">
      <c r="E605" s="129"/>
      <c r="H605" s="129"/>
    </row>
    <row r="606" ht="18.75" customHeight="1">
      <c r="E606" s="129"/>
      <c r="H606" s="129"/>
    </row>
    <row r="607" ht="18.75" customHeight="1">
      <c r="E607" s="129"/>
      <c r="H607" s="129"/>
    </row>
    <row r="608" ht="18.75" customHeight="1">
      <c r="E608" s="129"/>
      <c r="H608" s="129"/>
    </row>
    <row r="609" ht="18.75" customHeight="1">
      <c r="E609" s="129"/>
      <c r="H609" s="129"/>
    </row>
    <row r="610" ht="18.75" customHeight="1">
      <c r="E610" s="129"/>
      <c r="H610" s="129"/>
    </row>
    <row r="611" ht="18.75" customHeight="1">
      <c r="E611" s="129"/>
      <c r="H611" s="129"/>
    </row>
    <row r="612" ht="18.75" customHeight="1">
      <c r="E612" s="129"/>
      <c r="H612" s="129"/>
    </row>
    <row r="613" ht="18.75" customHeight="1">
      <c r="E613" s="129"/>
      <c r="H613" s="129"/>
    </row>
    <row r="614" ht="18.75" customHeight="1">
      <c r="E614" s="129"/>
      <c r="H614" s="129"/>
    </row>
    <row r="615" ht="18.75" customHeight="1">
      <c r="E615" s="129"/>
      <c r="H615" s="129"/>
    </row>
    <row r="616" ht="18.75" customHeight="1">
      <c r="E616" s="129"/>
      <c r="H616" s="129"/>
    </row>
    <row r="617" ht="18.75" customHeight="1">
      <c r="E617" s="129"/>
      <c r="H617" s="129"/>
    </row>
    <row r="618" ht="18.75" customHeight="1">
      <c r="E618" s="129"/>
      <c r="H618" s="129"/>
    </row>
    <row r="619" ht="18.75" customHeight="1">
      <c r="E619" s="129"/>
      <c r="H619" s="129"/>
    </row>
    <row r="620" ht="18.75" customHeight="1">
      <c r="E620" s="129"/>
      <c r="H620" s="129"/>
    </row>
    <row r="621" ht="18.75" customHeight="1">
      <c r="E621" s="129"/>
      <c r="H621" s="129"/>
    </row>
    <row r="622" ht="18.75" customHeight="1">
      <c r="E622" s="129"/>
      <c r="H622" s="129"/>
    </row>
    <row r="623" ht="18.75" customHeight="1">
      <c r="E623" s="129"/>
      <c r="H623" s="129"/>
    </row>
    <row r="624" ht="18.75" customHeight="1">
      <c r="E624" s="129"/>
      <c r="H624" s="129"/>
    </row>
    <row r="625" ht="18.75" customHeight="1">
      <c r="E625" s="129"/>
      <c r="H625" s="129"/>
    </row>
    <row r="626" ht="18.75" customHeight="1">
      <c r="E626" s="129"/>
      <c r="H626" s="129"/>
    </row>
    <row r="627" ht="18.75" customHeight="1">
      <c r="E627" s="129"/>
      <c r="H627" s="129"/>
    </row>
    <row r="628" ht="18.75" customHeight="1">
      <c r="E628" s="129"/>
      <c r="H628" s="129"/>
    </row>
    <row r="629" ht="18.75" customHeight="1">
      <c r="E629" s="129"/>
      <c r="H629" s="129"/>
    </row>
    <row r="630" ht="18.75" customHeight="1">
      <c r="E630" s="129"/>
      <c r="H630" s="129"/>
    </row>
    <row r="631" ht="18.75" customHeight="1">
      <c r="E631" s="129"/>
      <c r="H631" s="129"/>
    </row>
    <row r="632" ht="18.75" customHeight="1">
      <c r="E632" s="129"/>
      <c r="H632" s="129"/>
    </row>
    <row r="633" ht="18.75" customHeight="1">
      <c r="E633" s="129"/>
      <c r="H633" s="129"/>
    </row>
    <row r="634" ht="18.75" customHeight="1">
      <c r="E634" s="129"/>
      <c r="H634" s="129"/>
    </row>
    <row r="635" ht="18.75" customHeight="1">
      <c r="E635" s="129"/>
      <c r="H635" s="129"/>
    </row>
    <row r="636" ht="18.75" customHeight="1">
      <c r="E636" s="129"/>
      <c r="H636" s="129"/>
    </row>
    <row r="637" ht="18.75" customHeight="1">
      <c r="E637" s="129"/>
      <c r="H637" s="129"/>
    </row>
    <row r="638" ht="18.75" customHeight="1">
      <c r="E638" s="129"/>
      <c r="H638" s="129"/>
    </row>
    <row r="639" ht="18.75" customHeight="1">
      <c r="E639" s="129"/>
      <c r="H639" s="129"/>
    </row>
    <row r="640" ht="18.75" customHeight="1">
      <c r="E640" s="129"/>
      <c r="H640" s="129"/>
    </row>
    <row r="641" ht="18.75" customHeight="1">
      <c r="E641" s="129"/>
      <c r="H641" s="129"/>
    </row>
    <row r="642" ht="18.75" customHeight="1">
      <c r="E642" s="129"/>
      <c r="H642" s="129"/>
    </row>
    <row r="643" ht="18.75" customHeight="1">
      <c r="E643" s="129"/>
      <c r="H643" s="129"/>
    </row>
    <row r="644" ht="18.75" customHeight="1">
      <c r="E644" s="129"/>
      <c r="H644" s="129"/>
    </row>
    <row r="645" ht="18.75" customHeight="1">
      <c r="E645" s="129"/>
      <c r="H645" s="129"/>
    </row>
    <row r="646" ht="18.75" customHeight="1">
      <c r="E646" s="129"/>
      <c r="H646" s="129"/>
    </row>
    <row r="647" ht="18.75" customHeight="1">
      <c r="E647" s="129"/>
      <c r="H647" s="129"/>
    </row>
    <row r="648" ht="18.75" customHeight="1">
      <c r="E648" s="129"/>
      <c r="H648" s="129"/>
    </row>
    <row r="649" ht="18.75" customHeight="1">
      <c r="E649" s="129"/>
      <c r="H649" s="129"/>
    </row>
    <row r="650" ht="18.75" customHeight="1">
      <c r="E650" s="129"/>
      <c r="H650" s="129"/>
    </row>
    <row r="651" ht="18.75" customHeight="1">
      <c r="E651" s="129"/>
      <c r="H651" s="129"/>
    </row>
    <row r="652" ht="18.75" customHeight="1">
      <c r="E652" s="129"/>
      <c r="H652" s="129"/>
    </row>
    <row r="653" ht="18.75" customHeight="1">
      <c r="E653" s="129"/>
      <c r="H653" s="129"/>
    </row>
    <row r="654" ht="18.75" customHeight="1">
      <c r="E654" s="129"/>
      <c r="H654" s="129"/>
    </row>
    <row r="655" ht="18.75" customHeight="1">
      <c r="E655" s="129"/>
      <c r="H655" s="129"/>
    </row>
    <row r="656" ht="18.75" customHeight="1">
      <c r="E656" s="129"/>
      <c r="H656" s="129"/>
    </row>
    <row r="657" ht="18.75" customHeight="1">
      <c r="E657" s="129"/>
      <c r="H657" s="129"/>
    </row>
    <row r="658" ht="18.75" customHeight="1">
      <c r="E658" s="129"/>
      <c r="H658" s="129"/>
    </row>
    <row r="659" ht="18.75" customHeight="1">
      <c r="E659" s="129"/>
      <c r="H659" s="129"/>
    </row>
    <row r="660" ht="18.75" customHeight="1">
      <c r="E660" s="129"/>
      <c r="H660" s="129"/>
    </row>
    <row r="661" ht="18.75" customHeight="1">
      <c r="E661" s="129"/>
      <c r="H661" s="129"/>
    </row>
    <row r="662" ht="18.75" customHeight="1">
      <c r="E662" s="129"/>
      <c r="H662" s="129"/>
    </row>
    <row r="663" ht="18.75" customHeight="1">
      <c r="E663" s="129"/>
      <c r="H663" s="129"/>
    </row>
    <row r="664" ht="18.75" customHeight="1">
      <c r="E664" s="129"/>
      <c r="H664" s="129"/>
    </row>
    <row r="665" ht="18.75" customHeight="1">
      <c r="E665" s="129"/>
      <c r="H665" s="129"/>
    </row>
    <row r="666" ht="18.75" customHeight="1">
      <c r="E666" s="129"/>
      <c r="H666" s="129"/>
    </row>
    <row r="667" ht="18.75" customHeight="1">
      <c r="E667" s="129"/>
      <c r="H667" s="129"/>
    </row>
    <row r="668" ht="18.75" customHeight="1">
      <c r="E668" s="129"/>
      <c r="H668" s="129"/>
    </row>
    <row r="669" ht="18.75" customHeight="1">
      <c r="E669" s="129"/>
      <c r="H669" s="129"/>
    </row>
    <row r="670" ht="18.75" customHeight="1">
      <c r="E670" s="129"/>
      <c r="H670" s="129"/>
    </row>
    <row r="671" ht="18.75" customHeight="1">
      <c r="E671" s="129"/>
      <c r="H671" s="129"/>
    </row>
    <row r="672" ht="18.75" customHeight="1">
      <c r="E672" s="129"/>
      <c r="H672" s="129"/>
    </row>
    <row r="673" ht="18.75" customHeight="1">
      <c r="E673" s="129"/>
      <c r="H673" s="129"/>
    </row>
    <row r="674" ht="18.75" customHeight="1">
      <c r="E674" s="129"/>
      <c r="H674" s="129"/>
    </row>
    <row r="675" ht="18.75" customHeight="1">
      <c r="E675" s="129"/>
      <c r="H675" s="129"/>
    </row>
    <row r="676" ht="18.75" customHeight="1">
      <c r="E676" s="129"/>
      <c r="H676" s="129"/>
    </row>
    <row r="677" ht="18.75" customHeight="1">
      <c r="E677" s="129"/>
      <c r="H677" s="129"/>
    </row>
    <row r="678" ht="18.75" customHeight="1">
      <c r="E678" s="129"/>
      <c r="H678" s="129"/>
    </row>
    <row r="679" ht="18.75" customHeight="1">
      <c r="E679" s="129"/>
      <c r="H679" s="129"/>
    </row>
    <row r="680" ht="18.75" customHeight="1">
      <c r="E680" s="129"/>
      <c r="H680" s="129"/>
    </row>
    <row r="681" ht="18.75" customHeight="1">
      <c r="E681" s="129"/>
      <c r="H681" s="129"/>
    </row>
    <row r="682" ht="18.75" customHeight="1">
      <c r="E682" s="129"/>
      <c r="H682" s="129"/>
    </row>
    <row r="683" ht="18.75" customHeight="1">
      <c r="E683" s="129"/>
      <c r="H683" s="129"/>
    </row>
    <row r="684" ht="18.75" customHeight="1">
      <c r="E684" s="129"/>
      <c r="H684" s="129"/>
    </row>
    <row r="685" ht="18.75" customHeight="1">
      <c r="E685" s="129"/>
      <c r="H685" s="129"/>
    </row>
    <row r="686" ht="18.75" customHeight="1">
      <c r="E686" s="129"/>
      <c r="H686" s="129"/>
    </row>
    <row r="687" ht="18.75" customHeight="1">
      <c r="E687" s="129"/>
      <c r="H687" s="129"/>
    </row>
    <row r="688" ht="18.75" customHeight="1">
      <c r="E688" s="129"/>
      <c r="H688" s="129"/>
    </row>
    <row r="689" ht="18.75" customHeight="1">
      <c r="E689" s="129"/>
      <c r="H689" s="129"/>
    </row>
    <row r="690" ht="18.75" customHeight="1">
      <c r="E690" s="129"/>
      <c r="H690" s="129"/>
    </row>
    <row r="691" ht="18.75" customHeight="1">
      <c r="E691" s="129"/>
      <c r="H691" s="129"/>
    </row>
    <row r="692" ht="18.75" customHeight="1">
      <c r="E692" s="129"/>
      <c r="H692" s="129"/>
    </row>
    <row r="693" ht="18.75" customHeight="1">
      <c r="E693" s="129"/>
      <c r="H693" s="129"/>
    </row>
    <row r="694" ht="18.75" customHeight="1">
      <c r="E694" s="129"/>
      <c r="H694" s="129"/>
    </row>
    <row r="695" ht="18.75" customHeight="1">
      <c r="E695" s="129"/>
      <c r="H695" s="129"/>
    </row>
    <row r="696" ht="18.75" customHeight="1">
      <c r="E696" s="129"/>
      <c r="H696" s="129"/>
    </row>
    <row r="697" ht="18.75" customHeight="1">
      <c r="E697" s="129"/>
      <c r="H697" s="129"/>
    </row>
    <row r="698" ht="18.75" customHeight="1">
      <c r="E698" s="129"/>
      <c r="H698" s="129"/>
    </row>
    <row r="699" ht="18.75" customHeight="1">
      <c r="E699" s="129"/>
      <c r="H699" s="129"/>
    </row>
    <row r="700" ht="18.75" customHeight="1">
      <c r="E700" s="129"/>
      <c r="H700" s="129"/>
    </row>
    <row r="701" ht="18.75" customHeight="1">
      <c r="E701" s="129"/>
      <c r="H701" s="129"/>
    </row>
    <row r="702" ht="18.75" customHeight="1">
      <c r="E702" s="129"/>
      <c r="H702" s="129"/>
    </row>
    <row r="703" ht="18.75" customHeight="1">
      <c r="E703" s="129"/>
      <c r="H703" s="129"/>
    </row>
    <row r="704" ht="18.75" customHeight="1">
      <c r="E704" s="129"/>
      <c r="H704" s="129"/>
    </row>
    <row r="705" ht="18.75" customHeight="1">
      <c r="E705" s="129"/>
      <c r="H705" s="129"/>
    </row>
    <row r="706" ht="18.75" customHeight="1">
      <c r="E706" s="129"/>
      <c r="H706" s="129"/>
    </row>
    <row r="707" ht="18.75" customHeight="1">
      <c r="E707" s="129"/>
      <c r="H707" s="129"/>
    </row>
    <row r="708" ht="18.75" customHeight="1">
      <c r="E708" s="129"/>
      <c r="H708" s="129"/>
    </row>
    <row r="709" ht="18.75" customHeight="1">
      <c r="E709" s="129"/>
      <c r="H709" s="129"/>
    </row>
    <row r="710" ht="18.75" customHeight="1">
      <c r="E710" s="129"/>
      <c r="H710" s="129"/>
    </row>
    <row r="711" ht="18.75" customHeight="1">
      <c r="E711" s="129"/>
      <c r="H711" s="129"/>
    </row>
    <row r="712" ht="18.75" customHeight="1">
      <c r="E712" s="129"/>
      <c r="H712" s="129"/>
    </row>
    <row r="713" ht="18.75" customHeight="1">
      <c r="E713" s="129"/>
      <c r="H713" s="129"/>
    </row>
    <row r="714" ht="18.75" customHeight="1">
      <c r="E714" s="129"/>
      <c r="H714" s="129"/>
    </row>
    <row r="715" ht="18.75" customHeight="1">
      <c r="E715" s="129"/>
      <c r="H715" s="129"/>
    </row>
    <row r="716" ht="18.75" customHeight="1">
      <c r="E716" s="129"/>
      <c r="H716" s="129"/>
    </row>
    <row r="717" ht="18.75" customHeight="1">
      <c r="E717" s="129"/>
      <c r="H717" s="129"/>
    </row>
    <row r="718" ht="18.75" customHeight="1">
      <c r="E718" s="129"/>
      <c r="H718" s="129"/>
    </row>
    <row r="719" ht="18.75" customHeight="1">
      <c r="E719" s="129"/>
      <c r="H719" s="129"/>
    </row>
    <row r="720" ht="18.75" customHeight="1">
      <c r="E720" s="129"/>
      <c r="H720" s="129"/>
    </row>
    <row r="721" ht="18.75" customHeight="1">
      <c r="E721" s="129"/>
      <c r="H721" s="129"/>
    </row>
    <row r="722" ht="18.75" customHeight="1">
      <c r="E722" s="129"/>
      <c r="H722" s="129"/>
    </row>
    <row r="723" ht="18.75" customHeight="1">
      <c r="E723" s="129"/>
      <c r="H723" s="129"/>
    </row>
    <row r="724" ht="18.75" customHeight="1">
      <c r="E724" s="129"/>
      <c r="H724" s="129"/>
    </row>
    <row r="725" ht="18.75" customHeight="1">
      <c r="E725" s="129"/>
      <c r="H725" s="129"/>
    </row>
    <row r="726" ht="18.75" customHeight="1">
      <c r="E726" s="129"/>
      <c r="H726" s="129"/>
    </row>
    <row r="727" ht="18.75" customHeight="1">
      <c r="E727" s="129"/>
      <c r="H727" s="129"/>
    </row>
    <row r="728" ht="18.75" customHeight="1">
      <c r="E728" s="129"/>
      <c r="H728" s="129"/>
    </row>
    <row r="729" ht="18.75" customHeight="1">
      <c r="E729" s="129"/>
      <c r="H729" s="129"/>
    </row>
    <row r="730" ht="18.75" customHeight="1">
      <c r="E730" s="129"/>
      <c r="H730" s="129"/>
    </row>
    <row r="731" ht="18.75" customHeight="1">
      <c r="E731" s="129"/>
      <c r="H731" s="129"/>
    </row>
    <row r="732" ht="18.75" customHeight="1">
      <c r="E732" s="129"/>
      <c r="H732" s="129"/>
    </row>
    <row r="733" ht="18.75" customHeight="1">
      <c r="E733" s="129"/>
      <c r="H733" s="129"/>
    </row>
    <row r="734" ht="18.75" customHeight="1">
      <c r="E734" s="129"/>
      <c r="H734" s="129"/>
    </row>
    <row r="735" ht="18.75" customHeight="1">
      <c r="E735" s="129"/>
      <c r="H735" s="129"/>
    </row>
    <row r="736" ht="18.75" customHeight="1">
      <c r="E736" s="129"/>
      <c r="H736" s="129"/>
    </row>
    <row r="737" ht="18.75" customHeight="1">
      <c r="E737" s="129"/>
      <c r="H737" s="129"/>
    </row>
    <row r="738" ht="18.75" customHeight="1">
      <c r="E738" s="129"/>
      <c r="H738" s="129"/>
    </row>
    <row r="739" ht="18.75" customHeight="1">
      <c r="E739" s="129"/>
      <c r="H739" s="129"/>
    </row>
    <row r="740" ht="18.75" customHeight="1">
      <c r="E740" s="129"/>
      <c r="H740" s="129"/>
    </row>
    <row r="741" ht="18.75" customHeight="1">
      <c r="E741" s="129"/>
      <c r="H741" s="129"/>
    </row>
    <row r="742" ht="18.75" customHeight="1">
      <c r="E742" s="129"/>
      <c r="H742" s="129"/>
    </row>
    <row r="743" ht="18.75" customHeight="1">
      <c r="E743" s="129"/>
      <c r="H743" s="129"/>
    </row>
    <row r="744" ht="18.75" customHeight="1">
      <c r="E744" s="129"/>
      <c r="H744" s="129"/>
    </row>
    <row r="745" ht="18.75" customHeight="1">
      <c r="E745" s="129"/>
      <c r="H745" s="129"/>
    </row>
    <row r="746" ht="18.75" customHeight="1">
      <c r="E746" s="129"/>
      <c r="H746" s="129"/>
    </row>
    <row r="747" ht="18.75" customHeight="1">
      <c r="E747" s="129"/>
      <c r="H747" s="129"/>
    </row>
    <row r="748" ht="18.75" customHeight="1">
      <c r="E748" s="129"/>
      <c r="H748" s="129"/>
    </row>
    <row r="749" ht="18.75" customHeight="1">
      <c r="E749" s="129"/>
      <c r="H749" s="129"/>
    </row>
    <row r="750" ht="18.75" customHeight="1">
      <c r="E750" s="129"/>
      <c r="H750" s="129"/>
    </row>
    <row r="751" ht="18.75" customHeight="1">
      <c r="E751" s="129"/>
      <c r="H751" s="129"/>
    </row>
    <row r="752" ht="18.75" customHeight="1">
      <c r="E752" s="129"/>
      <c r="H752" s="129"/>
    </row>
    <row r="753" ht="18.75" customHeight="1">
      <c r="E753" s="129"/>
      <c r="H753" s="129"/>
    </row>
    <row r="754" ht="18.75" customHeight="1">
      <c r="E754" s="129"/>
      <c r="H754" s="129"/>
    </row>
    <row r="755" ht="18.75" customHeight="1">
      <c r="E755" s="129"/>
      <c r="H755" s="129"/>
    </row>
    <row r="756" ht="18.75" customHeight="1">
      <c r="E756" s="129"/>
      <c r="H756" s="129"/>
    </row>
    <row r="757" ht="18.75" customHeight="1">
      <c r="E757" s="129"/>
      <c r="H757" s="129"/>
    </row>
    <row r="758" ht="18.75" customHeight="1">
      <c r="E758" s="129"/>
      <c r="H758" s="129"/>
    </row>
    <row r="759" ht="18.75" customHeight="1">
      <c r="E759" s="129"/>
      <c r="H759" s="129"/>
    </row>
    <row r="760" ht="18.75" customHeight="1">
      <c r="E760" s="129"/>
      <c r="H760" s="129"/>
    </row>
    <row r="761" ht="18.75" customHeight="1">
      <c r="E761" s="129"/>
      <c r="H761" s="129"/>
    </row>
    <row r="762" ht="18.75" customHeight="1">
      <c r="E762" s="129"/>
      <c r="H762" s="129"/>
    </row>
    <row r="763" ht="18.75" customHeight="1">
      <c r="E763" s="129"/>
      <c r="H763" s="129"/>
    </row>
    <row r="764" ht="18.75" customHeight="1">
      <c r="E764" s="129"/>
      <c r="H764" s="129"/>
    </row>
    <row r="765" ht="18.75" customHeight="1">
      <c r="E765" s="129"/>
      <c r="H765" s="129"/>
    </row>
    <row r="766" ht="18.75" customHeight="1">
      <c r="E766" s="129"/>
      <c r="H766" s="129"/>
    </row>
    <row r="767" ht="18.75" customHeight="1">
      <c r="E767" s="129"/>
      <c r="H767" s="129"/>
    </row>
    <row r="768" ht="18.75" customHeight="1">
      <c r="E768" s="129"/>
      <c r="H768" s="129"/>
    </row>
    <row r="769" ht="18.75" customHeight="1">
      <c r="E769" s="129"/>
      <c r="H769" s="129"/>
    </row>
    <row r="770" ht="18.75" customHeight="1">
      <c r="E770" s="129"/>
      <c r="H770" s="129"/>
    </row>
    <row r="771" ht="18.75" customHeight="1">
      <c r="E771" s="129"/>
      <c r="H771" s="129"/>
    </row>
    <row r="772" ht="18.75" customHeight="1">
      <c r="E772" s="129"/>
      <c r="H772" s="129"/>
    </row>
    <row r="773" ht="18.75" customHeight="1">
      <c r="E773" s="129"/>
      <c r="H773" s="129"/>
    </row>
    <row r="774" ht="18.75" customHeight="1">
      <c r="E774" s="129"/>
      <c r="H774" s="129"/>
    </row>
    <row r="775" ht="18.75" customHeight="1">
      <c r="E775" s="129"/>
      <c r="H775" s="129"/>
    </row>
    <row r="776" ht="18.75" customHeight="1">
      <c r="E776" s="129"/>
      <c r="H776" s="129"/>
    </row>
    <row r="777" ht="18.75" customHeight="1">
      <c r="E777" s="129"/>
      <c r="H777" s="129"/>
    </row>
    <row r="778" ht="18.75" customHeight="1">
      <c r="E778" s="129"/>
      <c r="H778" s="129"/>
    </row>
    <row r="779" ht="18.75" customHeight="1">
      <c r="E779" s="129"/>
      <c r="H779" s="129"/>
    </row>
    <row r="780" ht="18.75" customHeight="1">
      <c r="E780" s="129"/>
      <c r="H780" s="129"/>
    </row>
    <row r="781" ht="18.75" customHeight="1">
      <c r="E781" s="129"/>
      <c r="H781" s="129"/>
    </row>
    <row r="782" ht="18.75" customHeight="1">
      <c r="E782" s="129"/>
      <c r="H782" s="129"/>
    </row>
    <row r="783" ht="18.75" customHeight="1">
      <c r="E783" s="129"/>
      <c r="H783" s="129"/>
    </row>
    <row r="784" ht="18.75" customHeight="1">
      <c r="E784" s="129"/>
      <c r="H784" s="129"/>
    </row>
    <row r="785" ht="18.75" customHeight="1">
      <c r="E785" s="129"/>
      <c r="H785" s="129"/>
    </row>
    <row r="786" ht="18.75" customHeight="1">
      <c r="E786" s="129"/>
      <c r="H786" s="129"/>
    </row>
    <row r="787" ht="18.75" customHeight="1">
      <c r="E787" s="129"/>
      <c r="H787" s="129"/>
    </row>
    <row r="788" ht="18.75" customHeight="1">
      <c r="E788" s="129"/>
      <c r="H788" s="129"/>
    </row>
    <row r="789" ht="18.75" customHeight="1">
      <c r="E789" s="129"/>
      <c r="H789" s="129"/>
    </row>
    <row r="790" ht="18.75" customHeight="1">
      <c r="E790" s="129"/>
      <c r="H790" s="129"/>
    </row>
    <row r="791" ht="18.75" customHeight="1">
      <c r="E791" s="129"/>
      <c r="H791" s="129"/>
    </row>
    <row r="792" ht="18.75" customHeight="1">
      <c r="E792" s="129"/>
      <c r="H792" s="129"/>
    </row>
    <row r="793" ht="18.75" customHeight="1">
      <c r="E793" s="129"/>
      <c r="H793" s="129"/>
    </row>
    <row r="794" ht="18.75" customHeight="1">
      <c r="E794" s="129"/>
      <c r="H794" s="129"/>
    </row>
    <row r="795" ht="18.75" customHeight="1">
      <c r="E795" s="129"/>
      <c r="H795" s="129"/>
    </row>
    <row r="796" ht="18.75" customHeight="1">
      <c r="E796" s="129"/>
      <c r="H796" s="129"/>
    </row>
    <row r="797" ht="18.75" customHeight="1">
      <c r="E797" s="129"/>
      <c r="H797" s="129"/>
    </row>
    <row r="798" ht="18.75" customHeight="1">
      <c r="E798" s="129"/>
      <c r="H798" s="129"/>
    </row>
    <row r="799" ht="18.75" customHeight="1">
      <c r="E799" s="129"/>
      <c r="H799" s="129"/>
    </row>
    <row r="800" ht="18.75" customHeight="1">
      <c r="E800" s="129"/>
      <c r="H800" s="129"/>
    </row>
    <row r="801" ht="18.75" customHeight="1">
      <c r="E801" s="129"/>
      <c r="H801" s="129"/>
    </row>
    <row r="802" ht="18.75" customHeight="1">
      <c r="E802" s="129"/>
      <c r="H802" s="129"/>
    </row>
    <row r="803" ht="18.75" customHeight="1">
      <c r="E803" s="129"/>
      <c r="H803" s="129"/>
    </row>
    <row r="804" ht="18.75" customHeight="1">
      <c r="E804" s="129"/>
      <c r="H804" s="129"/>
    </row>
    <row r="805" ht="18.75" customHeight="1">
      <c r="E805" s="129"/>
      <c r="H805" s="129"/>
    </row>
    <row r="806" ht="18.75" customHeight="1">
      <c r="E806" s="129"/>
      <c r="H806" s="129"/>
    </row>
    <row r="807" ht="18.75" customHeight="1">
      <c r="E807" s="129"/>
      <c r="H807" s="129"/>
    </row>
    <row r="808" ht="18.75" customHeight="1">
      <c r="E808" s="129"/>
      <c r="H808" s="129"/>
    </row>
    <row r="809" ht="18.75" customHeight="1">
      <c r="E809" s="129"/>
      <c r="H809" s="129"/>
    </row>
    <row r="810" ht="18.75" customHeight="1">
      <c r="E810" s="129"/>
      <c r="H810" s="129"/>
    </row>
    <row r="811" ht="18.75" customHeight="1">
      <c r="E811" s="129"/>
      <c r="H811" s="129"/>
    </row>
    <row r="812" ht="18.75" customHeight="1">
      <c r="E812" s="129"/>
      <c r="H812" s="129"/>
    </row>
    <row r="813" ht="18.75" customHeight="1">
      <c r="E813" s="129"/>
      <c r="H813" s="129"/>
    </row>
    <row r="814" ht="18.75" customHeight="1">
      <c r="E814" s="129"/>
      <c r="H814" s="129"/>
    </row>
    <row r="815" ht="18.75" customHeight="1">
      <c r="E815" s="129"/>
      <c r="H815" s="129"/>
    </row>
    <row r="816" ht="18.75" customHeight="1">
      <c r="E816" s="129"/>
      <c r="H816" s="129"/>
    </row>
    <row r="817" ht="18.75" customHeight="1">
      <c r="E817" s="129"/>
      <c r="H817" s="129"/>
    </row>
    <row r="818" ht="18.75" customHeight="1">
      <c r="E818" s="129"/>
      <c r="H818" s="129"/>
    </row>
    <row r="819" ht="18.75" customHeight="1">
      <c r="E819" s="129"/>
      <c r="H819" s="129"/>
    </row>
    <row r="820" ht="18.75" customHeight="1">
      <c r="E820" s="129"/>
      <c r="H820" s="129"/>
    </row>
    <row r="821" ht="18.75" customHeight="1">
      <c r="E821" s="129"/>
      <c r="H821" s="129"/>
    </row>
    <row r="822" ht="18.75" customHeight="1">
      <c r="E822" s="129"/>
      <c r="H822" s="129"/>
    </row>
    <row r="823" ht="18.75" customHeight="1">
      <c r="E823" s="129"/>
      <c r="H823" s="129"/>
    </row>
    <row r="824" ht="18.75" customHeight="1">
      <c r="E824" s="129"/>
      <c r="H824" s="129"/>
    </row>
    <row r="825" ht="18.75" customHeight="1">
      <c r="E825" s="129"/>
      <c r="H825" s="129"/>
    </row>
    <row r="826" ht="18.75" customHeight="1">
      <c r="E826" s="129"/>
      <c r="H826" s="129"/>
    </row>
    <row r="827" ht="18.75" customHeight="1">
      <c r="E827" s="129"/>
      <c r="H827" s="129"/>
    </row>
    <row r="828" ht="18.75" customHeight="1">
      <c r="E828" s="129"/>
      <c r="H828" s="129"/>
    </row>
    <row r="829" ht="18.75" customHeight="1">
      <c r="E829" s="129"/>
      <c r="H829" s="129"/>
    </row>
    <row r="830" ht="18.75" customHeight="1">
      <c r="E830" s="129"/>
      <c r="H830" s="129"/>
    </row>
    <row r="831" ht="18.75" customHeight="1">
      <c r="E831" s="129"/>
      <c r="H831" s="129"/>
    </row>
    <row r="832" ht="18.75" customHeight="1">
      <c r="E832" s="129"/>
      <c r="H832" s="129"/>
    </row>
    <row r="833" ht="18.75" customHeight="1">
      <c r="E833" s="129"/>
      <c r="H833" s="129"/>
    </row>
    <row r="834" ht="18.75" customHeight="1">
      <c r="E834" s="129"/>
      <c r="H834" s="129"/>
    </row>
    <row r="835" ht="18.75" customHeight="1">
      <c r="E835" s="129"/>
      <c r="H835" s="129"/>
    </row>
    <row r="836" ht="18.75" customHeight="1">
      <c r="E836" s="129"/>
      <c r="H836" s="129"/>
    </row>
    <row r="837" ht="18.75" customHeight="1">
      <c r="E837" s="129"/>
      <c r="H837" s="129"/>
    </row>
    <row r="838" ht="18.75" customHeight="1">
      <c r="E838" s="129"/>
      <c r="H838" s="129"/>
    </row>
    <row r="839" ht="18.75" customHeight="1">
      <c r="E839" s="129"/>
      <c r="H839" s="129"/>
    </row>
    <row r="840" ht="18.75" customHeight="1">
      <c r="E840" s="129"/>
      <c r="H840" s="129"/>
    </row>
    <row r="841" ht="18.75" customHeight="1">
      <c r="E841" s="129"/>
      <c r="H841" s="129"/>
    </row>
    <row r="842" ht="18.75" customHeight="1">
      <c r="E842" s="129"/>
      <c r="H842" s="129"/>
    </row>
    <row r="843" ht="18.75" customHeight="1">
      <c r="E843" s="129"/>
      <c r="H843" s="129"/>
    </row>
    <row r="844" ht="18.75" customHeight="1">
      <c r="E844" s="129"/>
      <c r="H844" s="129"/>
    </row>
    <row r="845" ht="18.75" customHeight="1">
      <c r="E845" s="129"/>
      <c r="H845" s="129"/>
    </row>
    <row r="846" ht="18.75" customHeight="1">
      <c r="E846" s="129"/>
      <c r="H846" s="129"/>
    </row>
    <row r="847" ht="18.75" customHeight="1">
      <c r="E847" s="129"/>
      <c r="H847" s="129"/>
    </row>
    <row r="848" ht="18.75" customHeight="1">
      <c r="E848" s="129"/>
      <c r="H848" s="129"/>
    </row>
    <row r="849" ht="18.75" customHeight="1">
      <c r="E849" s="129"/>
      <c r="H849" s="129"/>
    </row>
    <row r="850" ht="18.75" customHeight="1">
      <c r="E850" s="129"/>
      <c r="H850" s="129"/>
    </row>
    <row r="851" ht="18.75" customHeight="1">
      <c r="E851" s="129"/>
      <c r="H851" s="129"/>
    </row>
    <row r="852" ht="18.75" customHeight="1">
      <c r="E852" s="129"/>
      <c r="H852" s="129"/>
    </row>
    <row r="853" ht="18.75" customHeight="1">
      <c r="E853" s="129"/>
      <c r="H853" s="129"/>
    </row>
    <row r="854" ht="18.75" customHeight="1">
      <c r="E854" s="129"/>
      <c r="H854" s="129"/>
    </row>
    <row r="855" ht="18.75" customHeight="1">
      <c r="E855" s="129"/>
      <c r="H855" s="129"/>
    </row>
    <row r="856" ht="18.75" customHeight="1">
      <c r="E856" s="129"/>
      <c r="H856" s="129"/>
    </row>
    <row r="857" ht="18.75" customHeight="1">
      <c r="E857" s="129"/>
      <c r="H857" s="129"/>
    </row>
    <row r="858" ht="18.75" customHeight="1">
      <c r="E858" s="129"/>
      <c r="H858" s="129"/>
    </row>
    <row r="859" ht="18.75" customHeight="1">
      <c r="E859" s="129"/>
      <c r="H859" s="129"/>
    </row>
    <row r="860" ht="18.75" customHeight="1">
      <c r="E860" s="129"/>
      <c r="H860" s="129"/>
    </row>
    <row r="861" ht="18.75" customHeight="1">
      <c r="E861" s="129"/>
      <c r="H861" s="129"/>
    </row>
    <row r="862" ht="18.75" customHeight="1">
      <c r="E862" s="129"/>
      <c r="H862" s="129"/>
    </row>
    <row r="863" ht="18.75" customHeight="1">
      <c r="E863" s="129"/>
      <c r="H863" s="129"/>
    </row>
    <row r="864" ht="18.75" customHeight="1">
      <c r="E864" s="129"/>
      <c r="H864" s="129"/>
    </row>
    <row r="865" ht="18.75" customHeight="1">
      <c r="E865" s="129"/>
      <c r="H865" s="129"/>
    </row>
    <row r="866" ht="18.75" customHeight="1">
      <c r="E866" s="129"/>
      <c r="H866" s="129"/>
    </row>
    <row r="867" ht="18.75" customHeight="1">
      <c r="E867" s="129"/>
      <c r="H867" s="129"/>
    </row>
    <row r="868" ht="18.75" customHeight="1">
      <c r="E868" s="129"/>
      <c r="H868" s="129"/>
    </row>
    <row r="869" ht="18.75" customHeight="1">
      <c r="E869" s="129"/>
      <c r="H869" s="129"/>
    </row>
    <row r="870" ht="18.75" customHeight="1">
      <c r="E870" s="129"/>
      <c r="H870" s="129"/>
    </row>
    <row r="871" ht="18.75" customHeight="1">
      <c r="E871" s="129"/>
      <c r="H871" s="129"/>
    </row>
    <row r="872" ht="18.75" customHeight="1">
      <c r="E872" s="129"/>
      <c r="H872" s="129"/>
    </row>
    <row r="873" ht="18.75" customHeight="1">
      <c r="E873" s="129"/>
      <c r="H873" s="129"/>
    </row>
    <row r="874" ht="18.75" customHeight="1">
      <c r="E874" s="129"/>
      <c r="H874" s="129"/>
    </row>
    <row r="875" ht="18.75" customHeight="1">
      <c r="E875" s="129"/>
      <c r="H875" s="129"/>
    </row>
    <row r="876" ht="18.75" customHeight="1">
      <c r="E876" s="129"/>
      <c r="H876" s="129"/>
    </row>
    <row r="877" ht="18.75" customHeight="1">
      <c r="E877" s="129"/>
      <c r="H877" s="129"/>
    </row>
    <row r="878" ht="18.75" customHeight="1">
      <c r="E878" s="129"/>
      <c r="H878" s="129"/>
    </row>
    <row r="879" ht="18.75" customHeight="1">
      <c r="E879" s="129"/>
      <c r="H879" s="129"/>
    </row>
    <row r="880" ht="18.75" customHeight="1">
      <c r="E880" s="129"/>
      <c r="H880" s="129"/>
    </row>
    <row r="881" ht="18.75" customHeight="1">
      <c r="E881" s="129"/>
      <c r="H881" s="129"/>
    </row>
    <row r="882" ht="18.75" customHeight="1">
      <c r="E882" s="129"/>
      <c r="H882" s="129"/>
    </row>
    <row r="883" ht="18.75" customHeight="1">
      <c r="E883" s="129"/>
      <c r="H883" s="129"/>
    </row>
    <row r="884" ht="18.75" customHeight="1">
      <c r="E884" s="129"/>
      <c r="H884" s="129"/>
    </row>
    <row r="885" ht="18.75" customHeight="1">
      <c r="E885" s="129"/>
      <c r="H885" s="129"/>
    </row>
    <row r="886" ht="18.75" customHeight="1">
      <c r="E886" s="129"/>
      <c r="H886" s="129"/>
    </row>
    <row r="887" ht="18.75" customHeight="1">
      <c r="E887" s="129"/>
      <c r="H887" s="129"/>
    </row>
    <row r="888" ht="18.75" customHeight="1">
      <c r="E888" s="129"/>
      <c r="H888" s="129"/>
    </row>
    <row r="889" ht="18.75" customHeight="1">
      <c r="E889" s="129"/>
      <c r="H889" s="129"/>
    </row>
    <row r="890" ht="18.75" customHeight="1">
      <c r="E890" s="129"/>
      <c r="H890" s="129"/>
    </row>
    <row r="891" ht="18.75" customHeight="1">
      <c r="E891" s="129"/>
      <c r="H891" s="129"/>
    </row>
    <row r="892" ht="18.75" customHeight="1">
      <c r="E892" s="129"/>
      <c r="H892" s="129"/>
    </row>
    <row r="893" ht="18.75" customHeight="1">
      <c r="E893" s="129"/>
      <c r="H893" s="129"/>
    </row>
    <row r="894" ht="18.75" customHeight="1">
      <c r="E894" s="129"/>
      <c r="H894" s="129"/>
    </row>
    <row r="895" ht="18.75" customHeight="1">
      <c r="E895" s="129"/>
      <c r="H895" s="129"/>
    </row>
    <row r="896" ht="18.75" customHeight="1">
      <c r="E896" s="129"/>
      <c r="H896" s="129"/>
    </row>
    <row r="897" ht="18.75" customHeight="1">
      <c r="E897" s="129"/>
      <c r="H897" s="129"/>
    </row>
    <row r="898" ht="18.75" customHeight="1">
      <c r="E898" s="129"/>
      <c r="H898" s="129"/>
    </row>
    <row r="899" ht="18.75" customHeight="1">
      <c r="E899" s="129"/>
      <c r="H899" s="129"/>
    </row>
    <row r="900" ht="18.75" customHeight="1">
      <c r="E900" s="129"/>
      <c r="H900" s="129"/>
    </row>
    <row r="901" ht="18.75" customHeight="1">
      <c r="E901" s="129"/>
      <c r="H901" s="129"/>
    </row>
    <row r="902" ht="18.75" customHeight="1">
      <c r="E902" s="129"/>
      <c r="H902" s="129"/>
    </row>
    <row r="903" ht="18.75" customHeight="1">
      <c r="E903" s="129"/>
      <c r="H903" s="129"/>
    </row>
    <row r="904" ht="18.75" customHeight="1">
      <c r="E904" s="129"/>
      <c r="H904" s="129"/>
    </row>
    <row r="905" ht="18.75" customHeight="1">
      <c r="E905" s="129"/>
      <c r="H905" s="129"/>
    </row>
    <row r="906" ht="18.75" customHeight="1">
      <c r="E906" s="129"/>
      <c r="H906" s="129"/>
    </row>
    <row r="907" ht="18.75" customHeight="1">
      <c r="E907" s="129"/>
      <c r="H907" s="129"/>
    </row>
    <row r="908" ht="18.75" customHeight="1">
      <c r="E908" s="129"/>
      <c r="H908" s="129"/>
    </row>
    <row r="909" ht="18.75" customHeight="1">
      <c r="E909" s="129"/>
      <c r="H909" s="129"/>
    </row>
    <row r="910" ht="18.75" customHeight="1">
      <c r="E910" s="129"/>
      <c r="H910" s="129"/>
    </row>
    <row r="911" ht="18.75" customHeight="1">
      <c r="E911" s="129"/>
      <c r="H911" s="129"/>
    </row>
    <row r="912" ht="18.75" customHeight="1">
      <c r="E912" s="129"/>
      <c r="H912" s="129"/>
    </row>
    <row r="913" ht="18.75" customHeight="1">
      <c r="E913" s="129"/>
      <c r="H913" s="129"/>
    </row>
    <row r="914" ht="18.75" customHeight="1">
      <c r="E914" s="129"/>
      <c r="H914" s="129"/>
    </row>
    <row r="915" ht="18.75" customHeight="1">
      <c r="E915" s="129"/>
      <c r="H915" s="129"/>
    </row>
    <row r="916" ht="18.75" customHeight="1">
      <c r="E916" s="129"/>
      <c r="H916" s="129"/>
    </row>
    <row r="917" ht="18.75" customHeight="1">
      <c r="E917" s="129"/>
      <c r="H917" s="129"/>
    </row>
    <row r="918" ht="18.75" customHeight="1">
      <c r="E918" s="129"/>
      <c r="H918" s="129"/>
    </row>
    <row r="919" ht="18.75" customHeight="1">
      <c r="E919" s="129"/>
      <c r="H919" s="129"/>
    </row>
    <row r="920" ht="18.75" customHeight="1">
      <c r="E920" s="129"/>
      <c r="H920" s="129"/>
    </row>
    <row r="921" ht="18.75" customHeight="1">
      <c r="E921" s="129"/>
      <c r="H921" s="129"/>
    </row>
    <row r="922" ht="18.75" customHeight="1">
      <c r="E922" s="129"/>
      <c r="H922" s="129"/>
    </row>
    <row r="923" ht="18.75" customHeight="1">
      <c r="E923" s="129"/>
      <c r="H923" s="129"/>
    </row>
    <row r="924" ht="18.75" customHeight="1">
      <c r="E924" s="129"/>
      <c r="H924" s="129"/>
    </row>
    <row r="925" ht="18.75" customHeight="1">
      <c r="E925" s="129"/>
      <c r="H925" s="129"/>
    </row>
    <row r="926" ht="18.75" customHeight="1">
      <c r="E926" s="129"/>
      <c r="H926" s="129"/>
    </row>
    <row r="927" ht="18.75" customHeight="1">
      <c r="E927" s="129"/>
      <c r="H927" s="129"/>
    </row>
    <row r="928" ht="18.75" customHeight="1">
      <c r="E928" s="129"/>
      <c r="H928" s="129"/>
    </row>
    <row r="929" ht="18.75" customHeight="1">
      <c r="E929" s="129"/>
      <c r="H929" s="129"/>
    </row>
    <row r="930" ht="18.75" customHeight="1">
      <c r="E930" s="129"/>
      <c r="H930" s="129"/>
    </row>
    <row r="931" ht="18.75" customHeight="1">
      <c r="E931" s="129"/>
      <c r="H931" s="129"/>
    </row>
    <row r="932" ht="18.75" customHeight="1">
      <c r="E932" s="129"/>
      <c r="H932" s="129"/>
    </row>
    <row r="933" ht="18.75" customHeight="1">
      <c r="E933" s="129"/>
      <c r="H933" s="129"/>
    </row>
    <row r="934" ht="18.75" customHeight="1">
      <c r="E934" s="129"/>
      <c r="H934" s="129"/>
    </row>
    <row r="935" ht="18.75" customHeight="1">
      <c r="E935" s="129"/>
      <c r="H935" s="129"/>
    </row>
    <row r="936" ht="18.75" customHeight="1">
      <c r="E936" s="129"/>
      <c r="H936" s="129"/>
    </row>
    <row r="937" ht="18.75" customHeight="1">
      <c r="E937" s="129"/>
      <c r="H937" s="129"/>
    </row>
    <row r="938" ht="18.75" customHeight="1">
      <c r="E938" s="129"/>
      <c r="H938" s="129"/>
    </row>
    <row r="939" ht="18.75" customHeight="1">
      <c r="E939" s="129"/>
      <c r="H939" s="129"/>
    </row>
    <row r="940" ht="18.75" customHeight="1">
      <c r="E940" s="129"/>
      <c r="H940" s="129"/>
    </row>
    <row r="941" ht="18.75" customHeight="1">
      <c r="E941" s="129"/>
      <c r="H941" s="129"/>
    </row>
    <row r="942" ht="18.75" customHeight="1">
      <c r="E942" s="129"/>
      <c r="H942" s="129"/>
    </row>
    <row r="943" ht="18.75" customHeight="1">
      <c r="E943" s="129"/>
      <c r="H943" s="129"/>
    </row>
    <row r="944" ht="18.75" customHeight="1">
      <c r="E944" s="129"/>
      <c r="H944" s="129"/>
    </row>
    <row r="945" ht="18.75" customHeight="1">
      <c r="E945" s="129"/>
      <c r="H945" s="129"/>
    </row>
    <row r="946" ht="18.75" customHeight="1">
      <c r="E946" s="129"/>
      <c r="H946" s="129"/>
    </row>
    <row r="947" ht="18.75" customHeight="1">
      <c r="E947" s="129"/>
      <c r="H947" s="129"/>
    </row>
    <row r="948" ht="18.75" customHeight="1">
      <c r="E948" s="129"/>
      <c r="H948" s="129"/>
    </row>
    <row r="949" ht="18.75" customHeight="1">
      <c r="E949" s="129"/>
      <c r="H949" s="129"/>
    </row>
    <row r="950" ht="18.75" customHeight="1">
      <c r="E950" s="129"/>
      <c r="H950" s="129"/>
    </row>
    <row r="951" ht="18.75" customHeight="1">
      <c r="E951" s="129"/>
      <c r="H951" s="129"/>
    </row>
    <row r="952" ht="18.75" customHeight="1">
      <c r="E952" s="129"/>
      <c r="H952" s="129"/>
    </row>
    <row r="953" ht="18.75" customHeight="1">
      <c r="E953" s="129"/>
      <c r="H953" s="129"/>
    </row>
    <row r="954" ht="18.75" customHeight="1">
      <c r="E954" s="129"/>
      <c r="H954" s="129"/>
    </row>
    <row r="955" ht="18.75" customHeight="1">
      <c r="E955" s="129"/>
      <c r="H955" s="129"/>
    </row>
    <row r="956" ht="18.75" customHeight="1">
      <c r="E956" s="129"/>
      <c r="H956" s="129"/>
    </row>
    <row r="957" ht="18.75" customHeight="1">
      <c r="E957" s="129"/>
      <c r="H957" s="129"/>
    </row>
    <row r="958" ht="18.75" customHeight="1">
      <c r="E958" s="129"/>
      <c r="H958" s="129"/>
    </row>
    <row r="959" ht="18.75" customHeight="1">
      <c r="E959" s="129"/>
      <c r="H959" s="129"/>
    </row>
    <row r="960" ht="18.75" customHeight="1">
      <c r="E960" s="129"/>
      <c r="H960" s="129"/>
    </row>
    <row r="961" ht="18.75" customHeight="1">
      <c r="E961" s="129"/>
      <c r="H961" s="129"/>
    </row>
    <row r="962" ht="18.75" customHeight="1">
      <c r="E962" s="129"/>
      <c r="H962" s="129"/>
    </row>
    <row r="963" ht="18.75" customHeight="1">
      <c r="E963" s="129"/>
      <c r="H963" s="129"/>
    </row>
    <row r="964" ht="18.75" customHeight="1">
      <c r="E964" s="129"/>
      <c r="H964" s="129"/>
    </row>
    <row r="965" ht="18.75" customHeight="1">
      <c r="E965" s="129"/>
      <c r="H965" s="129"/>
    </row>
    <row r="966" ht="18.75" customHeight="1">
      <c r="E966" s="129"/>
      <c r="H966" s="129"/>
    </row>
    <row r="967" ht="18.75" customHeight="1">
      <c r="E967" s="129"/>
      <c r="H967" s="129"/>
    </row>
    <row r="968" ht="18.75" customHeight="1">
      <c r="E968" s="129"/>
      <c r="H968" s="129"/>
    </row>
    <row r="969" ht="18.75" customHeight="1">
      <c r="E969" s="129"/>
      <c r="H969" s="129"/>
    </row>
    <row r="970" ht="18.75" customHeight="1">
      <c r="E970" s="129"/>
      <c r="H970" s="129"/>
    </row>
    <row r="971" ht="18.75" customHeight="1">
      <c r="E971" s="129"/>
      <c r="H971" s="129"/>
    </row>
    <row r="972" ht="18.75" customHeight="1">
      <c r="E972" s="129"/>
      <c r="H972" s="129"/>
    </row>
    <row r="973" ht="18.75" customHeight="1">
      <c r="E973" s="129"/>
      <c r="H973" s="129"/>
    </row>
    <row r="974" ht="18.75" customHeight="1">
      <c r="E974" s="129"/>
      <c r="H974" s="129"/>
    </row>
    <row r="975" ht="18.75" customHeight="1">
      <c r="E975" s="129"/>
      <c r="H975" s="129"/>
    </row>
    <row r="976" ht="18.75" customHeight="1">
      <c r="E976" s="129"/>
      <c r="H976" s="129"/>
    </row>
    <row r="977" ht="18.75" customHeight="1">
      <c r="E977" s="129"/>
      <c r="H977" s="129"/>
    </row>
    <row r="978" ht="18.75" customHeight="1">
      <c r="E978" s="129"/>
      <c r="H978" s="129"/>
    </row>
    <row r="979" ht="18.75" customHeight="1">
      <c r="E979" s="129"/>
      <c r="H979" s="129"/>
    </row>
    <row r="980" ht="18.75" customHeight="1">
      <c r="E980" s="129"/>
      <c r="H980" s="129"/>
    </row>
    <row r="981" ht="18.75" customHeight="1">
      <c r="E981" s="129"/>
      <c r="H981" s="129"/>
    </row>
    <row r="982" ht="18.75" customHeight="1">
      <c r="E982" s="129"/>
      <c r="H982" s="129"/>
    </row>
    <row r="983" ht="18.75" customHeight="1">
      <c r="E983" s="129"/>
      <c r="H983" s="129"/>
    </row>
    <row r="984" ht="18.75" customHeight="1">
      <c r="E984" s="129"/>
      <c r="H984" s="129"/>
    </row>
    <row r="985" ht="18.75" customHeight="1">
      <c r="E985" s="129"/>
      <c r="H985" s="129"/>
    </row>
    <row r="986" ht="18.75" customHeight="1">
      <c r="E986" s="129"/>
      <c r="H986" s="129"/>
    </row>
    <row r="987" ht="18.75" customHeight="1">
      <c r="E987" s="129"/>
      <c r="H987" s="129"/>
    </row>
    <row r="988" ht="18.75" customHeight="1">
      <c r="E988" s="129"/>
      <c r="H988" s="129"/>
    </row>
    <row r="989" ht="18.75" customHeight="1">
      <c r="E989" s="129"/>
      <c r="H989" s="129"/>
    </row>
    <row r="990" ht="18.75" customHeight="1">
      <c r="E990" s="129"/>
      <c r="H990" s="129"/>
    </row>
    <row r="991" ht="18.75" customHeight="1">
      <c r="E991" s="129"/>
      <c r="H991" s="129"/>
    </row>
    <row r="992" ht="18.75" customHeight="1">
      <c r="E992" s="129"/>
      <c r="H992" s="129"/>
    </row>
    <row r="993" ht="18.75" customHeight="1">
      <c r="E993" s="129"/>
      <c r="H993" s="129"/>
    </row>
    <row r="994" ht="18.75" customHeight="1">
      <c r="E994" s="129"/>
      <c r="H994" s="129"/>
    </row>
    <row r="995" ht="18.75" customHeight="1">
      <c r="E995" s="129"/>
      <c r="H995" s="129"/>
    </row>
    <row r="996" ht="18.75" customHeight="1">
      <c r="E996" s="129"/>
      <c r="H996" s="129"/>
    </row>
    <row r="997" ht="18.75" customHeight="1">
      <c r="E997" s="129"/>
      <c r="H997" s="129"/>
    </row>
    <row r="998" ht="18.75" customHeight="1">
      <c r="E998" s="129"/>
      <c r="H998" s="129"/>
    </row>
    <row r="999" ht="18.75" customHeight="1">
      <c r="E999" s="129"/>
      <c r="H999" s="129"/>
    </row>
    <row r="1000" ht="18.75" customHeight="1">
      <c r="E1000" s="129"/>
      <c r="H1000" s="129"/>
    </row>
  </sheetData>
  <mergeCells count="12">
    <mergeCell ref="C3:D3"/>
    <mergeCell ref="C4:C5"/>
    <mergeCell ref="D4:D5"/>
    <mergeCell ref="H22:J22"/>
    <mergeCell ref="H44:K44"/>
    <mergeCell ref="A1:F1"/>
    <mergeCell ref="H1:J1"/>
    <mergeCell ref="A2:F2"/>
    <mergeCell ref="A3:A6"/>
    <mergeCell ref="B3:B6"/>
    <mergeCell ref="E3:E6"/>
    <mergeCell ref="F3:F6"/>
  </mergeCells>
  <dataValidations>
    <dataValidation type="list" allowBlank="1" showErrorMessage="1" sqref="E8:E200">
      <formula1>"1,1,1,2,1,3,2,1,2,2,2,3,2,4,2,5,2,6,2,7,2,8,2,9,2,11,2,12"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5.0"/>
    <col customWidth="1" min="3" max="4" width="17.0"/>
    <col customWidth="1" min="5" max="5" width="13.0"/>
    <col customWidth="1" min="6" max="6" width="32.86"/>
    <col customWidth="1" min="7" max="7" width="7.0"/>
    <col customWidth="1" min="8" max="8" width="14.0"/>
    <col customWidth="1" min="9" max="9" width="46.0"/>
    <col customWidth="1" min="10" max="10" width="16.0"/>
    <col customWidth="1" min="11" max="11" width="7.29"/>
    <col customWidth="1" min="12" max="12" width="11.86"/>
    <col customWidth="1" min="13" max="13" width="15.14"/>
    <col customWidth="1" min="14" max="15" width="15.86"/>
    <col customWidth="1" min="16" max="16" width="27.71"/>
    <col customWidth="1" min="17" max="17" width="14.29"/>
    <col customWidth="1" min="18" max="25" width="14.0"/>
  </cols>
  <sheetData>
    <row r="1" ht="18.75" customHeight="1">
      <c r="A1" s="9" t="s">
        <v>20</v>
      </c>
      <c r="F1" s="10"/>
      <c r="G1" s="11"/>
      <c r="H1" s="115" t="s">
        <v>119</v>
      </c>
      <c r="I1" s="13"/>
      <c r="J1" s="14"/>
      <c r="K1" s="11"/>
      <c r="O1" s="130"/>
    </row>
    <row r="2" ht="18.75" customHeight="1">
      <c r="A2" s="36" t="s">
        <v>265</v>
      </c>
      <c r="G2" s="11"/>
      <c r="H2" s="116" t="s">
        <v>23</v>
      </c>
      <c r="I2" s="17" t="s">
        <v>24</v>
      </c>
      <c r="J2" s="18" t="s">
        <v>25</v>
      </c>
      <c r="K2" s="11"/>
      <c r="O2" s="130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117" t="s">
        <v>23</v>
      </c>
      <c r="F3" s="19" t="s">
        <v>24</v>
      </c>
      <c r="G3" s="11"/>
      <c r="H3" s="118" t="s">
        <v>223</v>
      </c>
      <c r="I3" s="24" t="s">
        <v>29</v>
      </c>
      <c r="J3" s="25">
        <f>SUM(J4:J6)</f>
        <v>158028579</v>
      </c>
      <c r="K3" s="11"/>
      <c r="O3" s="130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119" t="s">
        <v>224</v>
      </c>
      <c r="I4" s="33" t="s">
        <v>121</v>
      </c>
      <c r="J4" s="25">
        <f>SUMIF($E$8:$E$41,1.1,$C$8:$C$41)</f>
        <v>0</v>
      </c>
      <c r="K4" s="11"/>
      <c r="O4" s="130"/>
    </row>
    <row r="5" ht="18.75" customHeight="1">
      <c r="A5" s="26"/>
      <c r="B5" s="26"/>
      <c r="C5" s="30"/>
      <c r="D5" s="30"/>
      <c r="E5" s="27"/>
      <c r="F5" s="26"/>
      <c r="G5" s="11"/>
      <c r="H5" s="119" t="s">
        <v>225</v>
      </c>
      <c r="I5" s="33" t="s">
        <v>122</v>
      </c>
      <c r="J5" s="25">
        <f>SUMIF($E$8:$E$41,1.2,$C$8:$C$41)</f>
        <v>158028579</v>
      </c>
      <c r="K5" s="11"/>
      <c r="L5" s="131" t="s">
        <v>266</v>
      </c>
    </row>
    <row r="6" ht="18.75" customHeight="1">
      <c r="A6" s="30"/>
      <c r="B6" s="30"/>
      <c r="C6" s="31"/>
      <c r="D6" s="31"/>
      <c r="E6" s="32"/>
      <c r="F6" s="30"/>
      <c r="G6" s="11"/>
      <c r="H6" s="119" t="s">
        <v>226</v>
      </c>
      <c r="I6" s="33" t="s">
        <v>34</v>
      </c>
      <c r="J6" s="25">
        <f>SUMIF($E$8:$E$41,1.3,$C$8:$C$41)</f>
        <v>0</v>
      </c>
      <c r="K6" s="11"/>
      <c r="L6" s="132" t="s">
        <v>35</v>
      </c>
      <c r="M6" s="133" t="s">
        <v>36</v>
      </c>
      <c r="N6" s="133" t="s">
        <v>37</v>
      </c>
      <c r="O6" s="133" t="s">
        <v>38</v>
      </c>
      <c r="P6" s="132" t="s">
        <v>39</v>
      </c>
    </row>
    <row r="7" ht="21.75" customHeight="1">
      <c r="A7" s="36"/>
      <c r="B7" s="36" t="s">
        <v>267</v>
      </c>
      <c r="C7" s="42">
        <f t="shared" ref="C7:D7" si="1">SUM(C8:C41)</f>
        <v>158028579</v>
      </c>
      <c r="D7" s="42">
        <f t="shared" si="1"/>
        <v>270052847</v>
      </c>
      <c r="E7" s="39"/>
      <c r="F7" s="40"/>
      <c r="G7" s="40"/>
      <c r="H7" s="134" t="s">
        <v>228</v>
      </c>
      <c r="I7" s="53" t="s">
        <v>45</v>
      </c>
      <c r="J7" s="25">
        <f>SUM(J8:J18)</f>
        <v>270052847</v>
      </c>
      <c r="K7" s="40"/>
      <c r="L7" s="135" t="s">
        <v>268</v>
      </c>
      <c r="M7" s="136">
        <v>45966.0</v>
      </c>
      <c r="N7" s="137"/>
      <c r="O7" s="138">
        <v>5.05E7</v>
      </c>
      <c r="P7" s="137" t="s">
        <v>260</v>
      </c>
    </row>
    <row r="8" ht="18.75" customHeight="1">
      <c r="A8" s="111">
        <v>1.0</v>
      </c>
      <c r="B8" s="112">
        <v>45962.0</v>
      </c>
      <c r="C8" s="113"/>
      <c r="D8" s="139">
        <v>2.0E7</v>
      </c>
      <c r="E8" s="120" t="s">
        <v>67</v>
      </c>
      <c r="F8" s="33" t="s">
        <v>241</v>
      </c>
      <c r="G8" s="11"/>
      <c r="H8" s="120" t="s">
        <v>230</v>
      </c>
      <c r="I8" s="58" t="s">
        <v>49</v>
      </c>
      <c r="J8" s="59">
        <f>SUMIF($E$8:$E$41,2.1,$D$8:$D$41)</f>
        <v>0</v>
      </c>
      <c r="K8" s="11"/>
      <c r="L8" s="54"/>
      <c r="M8" s="136">
        <v>45966.0</v>
      </c>
      <c r="N8" s="137"/>
      <c r="O8" s="138">
        <v>5600000.0</v>
      </c>
      <c r="P8" s="137" t="s">
        <v>261</v>
      </c>
    </row>
    <row r="9" ht="18.75" customHeight="1">
      <c r="A9" s="55">
        <v>2.0</v>
      </c>
      <c r="B9" s="112">
        <v>45962.0</v>
      </c>
      <c r="C9" s="107"/>
      <c r="D9" s="107">
        <v>1.5639464E7</v>
      </c>
      <c r="E9" s="121" t="s">
        <v>43</v>
      </c>
      <c r="F9" s="58" t="s">
        <v>269</v>
      </c>
      <c r="G9" s="56"/>
      <c r="H9" s="121" t="s">
        <v>231</v>
      </c>
      <c r="I9" s="58" t="s">
        <v>53</v>
      </c>
      <c r="J9" s="25">
        <f>SUMIF($E$8:$E$41,2.2,$D$8:$D$41)</f>
        <v>56689383</v>
      </c>
      <c r="K9" s="11"/>
      <c r="L9" s="54"/>
      <c r="M9" s="136">
        <v>45966.0</v>
      </c>
      <c r="N9" s="137"/>
      <c r="O9" s="138">
        <v>1.1124E7</v>
      </c>
      <c r="P9" s="137" t="s">
        <v>263</v>
      </c>
    </row>
    <row r="10" ht="18.75" customHeight="1">
      <c r="A10" s="111">
        <v>3.0</v>
      </c>
      <c r="B10" s="112">
        <v>45966.0</v>
      </c>
      <c r="C10" s="103"/>
      <c r="D10" s="103">
        <v>5.6689383E7</v>
      </c>
      <c r="E10" s="121" t="s">
        <v>62</v>
      </c>
      <c r="F10" s="58" t="s">
        <v>270</v>
      </c>
      <c r="G10" s="56"/>
      <c r="H10" s="121" t="s">
        <v>234</v>
      </c>
      <c r="I10" s="58" t="s">
        <v>56</v>
      </c>
      <c r="J10" s="25">
        <f>SUMIF($E$8:$E$41,2.3,$D$8:$D$41)</f>
        <v>172000000</v>
      </c>
      <c r="K10" s="11"/>
      <c r="L10" s="54"/>
      <c r="M10" s="136">
        <v>45966.0</v>
      </c>
      <c r="N10" s="137"/>
      <c r="O10" s="138">
        <v>1.28E7</v>
      </c>
      <c r="P10" s="137" t="s">
        <v>264</v>
      </c>
    </row>
    <row r="11" ht="18.75" customHeight="1">
      <c r="A11" s="55">
        <v>4.0</v>
      </c>
      <c r="B11" s="112">
        <v>45966.0</v>
      </c>
      <c r="C11" s="103"/>
      <c r="D11" s="103">
        <v>1.1124E7</v>
      </c>
      <c r="E11" s="121" t="s">
        <v>47</v>
      </c>
      <c r="F11" s="58" t="s">
        <v>271</v>
      </c>
      <c r="G11" s="56"/>
      <c r="H11" s="121" t="s">
        <v>236</v>
      </c>
      <c r="I11" s="58" t="s">
        <v>59</v>
      </c>
      <c r="J11" s="25">
        <f>SUMIF($E$8:$E$41,2.4,$D$8:$D$41)</f>
        <v>0</v>
      </c>
      <c r="K11" s="11"/>
      <c r="L11" s="54"/>
      <c r="M11" s="136">
        <v>45969.0</v>
      </c>
      <c r="N11" s="138">
        <v>5.0E7</v>
      </c>
      <c r="O11" s="138"/>
      <c r="P11" s="137" t="s">
        <v>257</v>
      </c>
    </row>
    <row r="12" ht="18.75" customHeight="1">
      <c r="A12" s="111">
        <v>5.0</v>
      </c>
      <c r="B12" s="112">
        <v>45966.0</v>
      </c>
      <c r="C12" s="103"/>
      <c r="D12" s="103">
        <v>1.28E7</v>
      </c>
      <c r="E12" s="121" t="s">
        <v>127</v>
      </c>
      <c r="F12" s="58" t="s">
        <v>272</v>
      </c>
      <c r="G12" s="56"/>
      <c r="H12" s="121" t="s">
        <v>238</v>
      </c>
      <c r="I12" s="58" t="s">
        <v>64</v>
      </c>
      <c r="J12" s="25">
        <f>SUMIF($E$8:$E$41,2.5,$D$8:$D$41)</f>
        <v>1800000</v>
      </c>
      <c r="K12" s="11"/>
      <c r="L12" s="54"/>
      <c r="M12" s="136">
        <v>45960.0</v>
      </c>
      <c r="N12" s="138">
        <v>1.1E8</v>
      </c>
      <c r="O12" s="138"/>
      <c r="P12" s="137" t="s">
        <v>258</v>
      </c>
    </row>
    <row r="13" ht="18.75" customHeight="1">
      <c r="A13" s="55">
        <v>6.0</v>
      </c>
      <c r="B13" s="112">
        <v>45967.0</v>
      </c>
      <c r="C13" s="103"/>
      <c r="D13" s="103">
        <v>1800000.0</v>
      </c>
      <c r="E13" s="121" t="s">
        <v>129</v>
      </c>
      <c r="F13" s="58" t="s">
        <v>189</v>
      </c>
      <c r="G13" s="56"/>
      <c r="H13" s="121" t="s">
        <v>240</v>
      </c>
      <c r="I13" s="58" t="s">
        <v>66</v>
      </c>
      <c r="J13" s="25">
        <f>SUMIF($E$8:$E$41,2.6,$D$8:$D$41)</f>
        <v>11124000</v>
      </c>
      <c r="K13" s="11"/>
      <c r="L13" s="140"/>
      <c r="M13" s="136">
        <v>45960.0</v>
      </c>
      <c r="N13" s="138">
        <v>1.1E8</v>
      </c>
      <c r="O13" s="138"/>
      <c r="P13" s="137" t="s">
        <v>259</v>
      </c>
    </row>
    <row r="14" ht="18.75" customHeight="1">
      <c r="A14" s="111">
        <v>7.0</v>
      </c>
      <c r="B14" s="112">
        <v>45985.0</v>
      </c>
      <c r="C14" s="103">
        <v>5.3028579E7</v>
      </c>
      <c r="D14" s="103"/>
      <c r="E14" s="121" t="s">
        <v>111</v>
      </c>
      <c r="F14" s="58" t="s">
        <v>273</v>
      </c>
      <c r="G14" s="56"/>
      <c r="H14" s="121" t="s">
        <v>242</v>
      </c>
      <c r="I14" s="58" t="s">
        <v>69</v>
      </c>
      <c r="J14" s="25">
        <f>SUMIF($E$8:$E$41,2.7,$D$8:$D$41)</f>
        <v>0</v>
      </c>
      <c r="K14" s="11"/>
      <c r="L14" s="141" t="s">
        <v>72</v>
      </c>
      <c r="M14" s="67"/>
      <c r="N14" s="142">
        <f t="shared" ref="N14:O14" si="2">SUM(N7:N13)</f>
        <v>270000000</v>
      </c>
      <c r="O14" s="142">
        <f t="shared" si="2"/>
        <v>80024000</v>
      </c>
      <c r="P14" s="143"/>
    </row>
    <row r="15" ht="18.75" customHeight="1">
      <c r="A15" s="55">
        <v>8.0</v>
      </c>
      <c r="B15" s="112">
        <v>45966.0</v>
      </c>
      <c r="C15" s="103">
        <v>5.0E7</v>
      </c>
      <c r="D15" s="103"/>
      <c r="E15" s="121" t="s">
        <v>111</v>
      </c>
      <c r="F15" s="58" t="s">
        <v>274</v>
      </c>
      <c r="G15" s="56"/>
      <c r="H15" s="121" t="s">
        <v>243</v>
      </c>
      <c r="I15" s="58" t="s">
        <v>71</v>
      </c>
      <c r="J15" s="25">
        <f>SUMIF($E$8:$E$41,2.8,$D$8:$D$41)</f>
        <v>12800000</v>
      </c>
      <c r="K15" s="11"/>
      <c r="L15" s="135" t="s">
        <v>275</v>
      </c>
      <c r="M15" s="136">
        <v>45975.0</v>
      </c>
      <c r="N15" s="137"/>
      <c r="O15" s="138">
        <v>5600000.0</v>
      </c>
      <c r="P15" s="137" t="s">
        <v>261</v>
      </c>
    </row>
    <row r="16" ht="18.75" customHeight="1">
      <c r="A16" s="111">
        <v>9.0</v>
      </c>
      <c r="B16" s="112">
        <v>45987.0</v>
      </c>
      <c r="C16" s="103">
        <v>5.5E7</v>
      </c>
      <c r="D16" s="103"/>
      <c r="E16" s="122" t="s">
        <v>111</v>
      </c>
      <c r="F16" s="58" t="s">
        <v>276</v>
      </c>
      <c r="G16" s="56"/>
      <c r="H16" s="121" t="s">
        <v>245</v>
      </c>
      <c r="I16" s="58" t="s">
        <v>74</v>
      </c>
      <c r="J16" s="25">
        <f>SUMIF($E$8:$E$41,2.9,$D$8:$D$41)</f>
        <v>0</v>
      </c>
      <c r="K16" s="11"/>
      <c r="L16" s="54"/>
      <c r="M16" s="136">
        <v>45975.0</v>
      </c>
      <c r="N16" s="138"/>
      <c r="O16" s="138">
        <f>50500000-10000000-30000000</f>
        <v>10500000</v>
      </c>
      <c r="P16" s="137" t="s">
        <v>277</v>
      </c>
    </row>
    <row r="17" ht="18.75" customHeight="1">
      <c r="A17" s="55">
        <v>10.0</v>
      </c>
      <c r="B17" s="112">
        <v>45964.0</v>
      </c>
      <c r="C17" s="113"/>
      <c r="D17" s="139">
        <v>2.0E7</v>
      </c>
      <c r="E17" s="120" t="s">
        <v>67</v>
      </c>
      <c r="F17" s="33" t="s">
        <v>241</v>
      </c>
      <c r="G17" s="56"/>
      <c r="H17" s="121" t="s">
        <v>247</v>
      </c>
      <c r="I17" s="58" t="s">
        <v>77</v>
      </c>
      <c r="J17" s="25">
        <f>SUMIF($E$8:$E$41,2.11,$D$8:$D$41)</f>
        <v>15639464</v>
      </c>
      <c r="K17" s="11"/>
      <c r="L17" s="54"/>
      <c r="M17" s="136">
        <v>45975.0</v>
      </c>
      <c r="N17" s="138">
        <v>1.1E8</v>
      </c>
      <c r="O17" s="138"/>
      <c r="P17" s="137" t="s">
        <v>258</v>
      </c>
    </row>
    <row r="18" ht="18.75" customHeight="1">
      <c r="A18" s="111">
        <v>11.0</v>
      </c>
      <c r="B18" s="112">
        <v>45967.0</v>
      </c>
      <c r="C18" s="103"/>
      <c r="D18" s="139">
        <v>1.0E7</v>
      </c>
      <c r="E18" s="120" t="s">
        <v>67</v>
      </c>
      <c r="F18" s="33" t="s">
        <v>241</v>
      </c>
      <c r="G18" s="56"/>
      <c r="H18" s="121" t="s">
        <v>248</v>
      </c>
      <c r="I18" s="58" t="s">
        <v>80</v>
      </c>
      <c r="J18" s="25">
        <f>SUMIF($E$8:$E$41,2.12,$D$8:$D$41)</f>
        <v>0</v>
      </c>
      <c r="K18" s="11"/>
      <c r="L18" s="54"/>
      <c r="M18" s="136">
        <v>45975.0</v>
      </c>
      <c r="N18" s="138">
        <v>1.1E8</v>
      </c>
      <c r="O18" s="138"/>
      <c r="P18" s="137" t="s">
        <v>259</v>
      </c>
    </row>
    <row r="19" ht="18.75" customHeight="1">
      <c r="A19" s="55">
        <v>12.0</v>
      </c>
      <c r="B19" s="112">
        <v>45968.0</v>
      </c>
      <c r="C19" s="103"/>
      <c r="D19" s="139">
        <v>1.0E7</v>
      </c>
      <c r="E19" s="120" t="s">
        <v>67</v>
      </c>
      <c r="F19" s="144" t="s">
        <v>241</v>
      </c>
      <c r="G19" s="56"/>
      <c r="H19" s="145" t="s">
        <v>249</v>
      </c>
      <c r="I19" s="74" t="s">
        <v>82</v>
      </c>
      <c r="J19" s="75">
        <f>J3-J7</f>
        <v>-112024268</v>
      </c>
      <c r="K19" s="11"/>
      <c r="L19" s="141" t="s">
        <v>72</v>
      </c>
      <c r="M19" s="67"/>
      <c r="N19" s="142">
        <f t="shared" ref="N19:O19" si="3">SUM(N15:N18)</f>
        <v>220000000</v>
      </c>
      <c r="O19" s="142">
        <f t="shared" si="3"/>
        <v>16100000</v>
      </c>
      <c r="P19" s="143"/>
    </row>
    <row r="20" ht="18.75" customHeight="1">
      <c r="A20" s="111">
        <v>13.0</v>
      </c>
      <c r="B20" s="112">
        <v>45970.0</v>
      </c>
      <c r="C20" s="103"/>
      <c r="D20" s="103">
        <v>2000000.0</v>
      </c>
      <c r="E20" s="120" t="s">
        <v>67</v>
      </c>
      <c r="F20" s="114" t="s">
        <v>241</v>
      </c>
      <c r="G20" s="11"/>
      <c r="K20" s="11"/>
      <c r="L20" s="135" t="s">
        <v>278</v>
      </c>
      <c r="M20" s="136">
        <v>45982.0</v>
      </c>
      <c r="N20" s="137"/>
      <c r="O20" s="138">
        <v>5600000.0</v>
      </c>
      <c r="P20" s="137" t="s">
        <v>261</v>
      </c>
    </row>
    <row r="21" ht="18.75" customHeight="1">
      <c r="A21" s="55">
        <v>14.0</v>
      </c>
      <c r="B21" s="112">
        <v>45971.0</v>
      </c>
      <c r="C21" s="103"/>
      <c r="D21" s="103">
        <v>2000000.0</v>
      </c>
      <c r="E21" s="120" t="s">
        <v>67</v>
      </c>
      <c r="F21" s="146" t="s">
        <v>241</v>
      </c>
      <c r="G21" s="11"/>
      <c r="H21" s="115" t="s">
        <v>132</v>
      </c>
      <c r="I21" s="13"/>
      <c r="J21" s="14"/>
      <c r="K21" s="11"/>
      <c r="L21" s="54"/>
      <c r="M21" s="136">
        <v>45982.0</v>
      </c>
      <c r="N21" s="138">
        <v>1.1E8</v>
      </c>
      <c r="O21" s="138"/>
      <c r="P21" s="137" t="s">
        <v>259</v>
      </c>
    </row>
    <row r="22" ht="18.75" customHeight="1">
      <c r="A22" s="111">
        <v>15.0</v>
      </c>
      <c r="B22" s="112">
        <v>45971.0</v>
      </c>
      <c r="C22" s="103"/>
      <c r="D22" s="103">
        <v>1.5E7</v>
      </c>
      <c r="E22" s="120" t="s">
        <v>67</v>
      </c>
      <c r="F22" s="33" t="s">
        <v>241</v>
      </c>
      <c r="G22" s="11"/>
      <c r="H22" s="125"/>
      <c r="I22" s="74" t="s">
        <v>24</v>
      </c>
      <c r="J22" s="57" t="s">
        <v>25</v>
      </c>
      <c r="K22" s="11"/>
      <c r="L22" s="54"/>
      <c r="M22" s="136">
        <v>45982.0</v>
      </c>
      <c r="N22" s="138"/>
      <c r="O22" s="138">
        <f>1000000+4700000</f>
        <v>5700000</v>
      </c>
      <c r="P22" s="137" t="s">
        <v>279</v>
      </c>
    </row>
    <row r="23" ht="18.75" customHeight="1">
      <c r="A23" s="55">
        <v>16.0</v>
      </c>
      <c r="B23" s="112">
        <v>45973.0</v>
      </c>
      <c r="C23" s="103"/>
      <c r="D23" s="103">
        <v>1000000.0</v>
      </c>
      <c r="E23" s="120" t="s">
        <v>67</v>
      </c>
      <c r="F23" s="33" t="s">
        <v>241</v>
      </c>
      <c r="G23" s="11"/>
      <c r="H23" s="126" t="s">
        <v>86</v>
      </c>
      <c r="I23" s="74" t="s">
        <v>87</v>
      </c>
      <c r="J23" s="80">
        <v>0.0</v>
      </c>
      <c r="K23" s="11"/>
      <c r="L23" s="141" t="s">
        <v>72</v>
      </c>
      <c r="M23" s="67"/>
      <c r="N23" s="142">
        <f t="shared" ref="N23:O23" si="4">SUM(N20:N22)</f>
        <v>110000000</v>
      </c>
      <c r="O23" s="142">
        <f t="shared" si="4"/>
        <v>11300000</v>
      </c>
      <c r="P23" s="143"/>
    </row>
    <row r="24" ht="18.75" customHeight="1">
      <c r="A24" s="111">
        <v>17.0</v>
      </c>
      <c r="B24" s="112">
        <v>45974.0</v>
      </c>
      <c r="C24" s="103"/>
      <c r="D24" s="103">
        <v>500000.0</v>
      </c>
      <c r="E24" s="120" t="s">
        <v>67</v>
      </c>
      <c r="F24" s="33" t="s">
        <v>241</v>
      </c>
      <c r="G24" s="11"/>
      <c r="H24" s="126" t="s">
        <v>88</v>
      </c>
      <c r="I24" s="74" t="s">
        <v>89</v>
      </c>
      <c r="J24" s="82">
        <f>SUM(J25:J27)</f>
        <v>158028579</v>
      </c>
      <c r="K24" s="11"/>
      <c r="L24" s="135" t="s">
        <v>280</v>
      </c>
      <c r="M24" s="136">
        <v>45985.0</v>
      </c>
      <c r="N24" s="137"/>
      <c r="O24" s="147">
        <v>7.9377022E7</v>
      </c>
      <c r="P24" s="137" t="s">
        <v>281</v>
      </c>
    </row>
    <row r="25" ht="18.75" customHeight="1">
      <c r="A25" s="55">
        <v>18.0</v>
      </c>
      <c r="B25" s="112">
        <v>45974.0</v>
      </c>
      <c r="C25" s="103"/>
      <c r="D25" s="139">
        <v>2.0E7</v>
      </c>
      <c r="E25" s="120" t="s">
        <v>67</v>
      </c>
      <c r="F25" s="33" t="s">
        <v>241</v>
      </c>
      <c r="G25" s="56"/>
      <c r="H25" s="125"/>
      <c r="I25" s="58" t="s">
        <v>90</v>
      </c>
      <c r="J25" s="82">
        <f>J3</f>
        <v>158028579</v>
      </c>
      <c r="K25" s="11"/>
      <c r="L25" s="54"/>
      <c r="M25" s="136">
        <v>45985.0</v>
      </c>
      <c r="N25" s="138"/>
      <c r="O25" s="138">
        <v>5600000.0</v>
      </c>
      <c r="P25" s="137" t="s">
        <v>261</v>
      </c>
    </row>
    <row r="26" ht="18.75" customHeight="1">
      <c r="A26" s="111">
        <v>19.0</v>
      </c>
      <c r="B26" s="112">
        <v>45977.0</v>
      </c>
      <c r="C26" s="103"/>
      <c r="D26" s="139">
        <v>1.0E7</v>
      </c>
      <c r="E26" s="120" t="s">
        <v>67</v>
      </c>
      <c r="F26" s="33" t="s">
        <v>241</v>
      </c>
      <c r="G26" s="56"/>
      <c r="H26" s="125"/>
      <c r="I26" s="58" t="s">
        <v>91</v>
      </c>
      <c r="J26" s="74"/>
      <c r="K26" s="11"/>
      <c r="L26" s="54"/>
      <c r="M26" s="136">
        <v>45985.0</v>
      </c>
      <c r="N26" s="138"/>
      <c r="O26" s="138">
        <v>5600000.0</v>
      </c>
      <c r="P26" s="137" t="s">
        <v>282</v>
      </c>
    </row>
    <row r="27" ht="18.75" customHeight="1">
      <c r="A27" s="55">
        <v>20.0</v>
      </c>
      <c r="B27" s="112">
        <v>45978.0</v>
      </c>
      <c r="C27" s="103"/>
      <c r="D27" s="103">
        <v>5000000.0</v>
      </c>
      <c r="E27" s="120" t="s">
        <v>67</v>
      </c>
      <c r="F27" s="33" t="s">
        <v>241</v>
      </c>
      <c r="G27" s="56"/>
      <c r="H27" s="125"/>
      <c r="I27" s="58" t="s">
        <v>92</v>
      </c>
      <c r="J27" s="74"/>
      <c r="K27" s="11"/>
      <c r="L27" s="141" t="s">
        <v>72</v>
      </c>
      <c r="M27" s="67"/>
      <c r="N27" s="142">
        <f t="shared" ref="N27:O27" si="5">SUM(N24:N26)</f>
        <v>0</v>
      </c>
      <c r="O27" s="142">
        <f t="shared" si="5"/>
        <v>90577022</v>
      </c>
      <c r="P27" s="143"/>
    </row>
    <row r="28" ht="18.75" customHeight="1">
      <c r="A28" s="111">
        <v>21.0</v>
      </c>
      <c r="B28" s="112">
        <v>45980.0</v>
      </c>
      <c r="C28" s="103"/>
      <c r="D28" s="103">
        <v>500000.0</v>
      </c>
      <c r="E28" s="120" t="s">
        <v>67</v>
      </c>
      <c r="F28" s="33" t="s">
        <v>241</v>
      </c>
      <c r="G28" s="56"/>
      <c r="H28" s="126" t="s">
        <v>93</v>
      </c>
      <c r="I28" s="74" t="s">
        <v>94</v>
      </c>
      <c r="J28" s="82">
        <f>SUM(J29:J40)</f>
        <v>270052847</v>
      </c>
      <c r="K28" s="11"/>
    </row>
    <row r="29" ht="18.75" customHeight="1">
      <c r="A29" s="55">
        <v>22.0</v>
      </c>
      <c r="B29" s="112">
        <v>45980.0</v>
      </c>
      <c r="C29" s="103"/>
      <c r="D29" s="139">
        <v>1.0E7</v>
      </c>
      <c r="E29" s="120" t="s">
        <v>67</v>
      </c>
      <c r="F29" s="33" t="s">
        <v>241</v>
      </c>
      <c r="G29" s="56"/>
      <c r="H29" s="121" t="s">
        <v>230</v>
      </c>
      <c r="I29" s="58" t="s">
        <v>49</v>
      </c>
      <c r="J29" s="82">
        <f>J8</f>
        <v>0</v>
      </c>
      <c r="K29" s="11"/>
      <c r="N29" s="148"/>
    </row>
    <row r="30" ht="18.75" customHeight="1">
      <c r="A30" s="111">
        <v>23.0</v>
      </c>
      <c r="B30" s="112">
        <v>45982.0</v>
      </c>
      <c r="C30" s="103"/>
      <c r="D30" s="103">
        <v>2000000.0</v>
      </c>
      <c r="E30" s="120" t="s">
        <v>67</v>
      </c>
      <c r="F30" s="33" t="s">
        <v>241</v>
      </c>
      <c r="G30" s="56"/>
      <c r="H30" s="119" t="s">
        <v>226</v>
      </c>
      <c r="I30" s="58" t="s">
        <v>96</v>
      </c>
      <c r="J30" s="80"/>
      <c r="K30" s="11"/>
    </row>
    <row r="31" ht="18.75" customHeight="1">
      <c r="A31" s="55">
        <v>24.0</v>
      </c>
      <c r="B31" s="112">
        <v>45983.0</v>
      </c>
      <c r="C31" s="103"/>
      <c r="D31" s="103">
        <v>4000000.0</v>
      </c>
      <c r="E31" s="120" t="s">
        <v>67</v>
      </c>
      <c r="F31" s="33" t="s">
        <v>241</v>
      </c>
      <c r="G31" s="56"/>
      <c r="H31" s="121" t="s">
        <v>231</v>
      </c>
      <c r="I31" s="58" t="s">
        <v>53</v>
      </c>
      <c r="J31" s="82">
        <f t="shared" ref="J31:J40" si="6">J9</f>
        <v>56689383</v>
      </c>
      <c r="K31" s="11"/>
    </row>
    <row r="32" ht="18.75" customHeight="1">
      <c r="A32" s="111">
        <v>25.0</v>
      </c>
      <c r="B32" s="112">
        <v>45985.0</v>
      </c>
      <c r="C32" s="103"/>
      <c r="D32" s="139">
        <v>2.0E7</v>
      </c>
      <c r="E32" s="120" t="s">
        <v>67</v>
      </c>
      <c r="F32" s="33" t="s">
        <v>241</v>
      </c>
      <c r="G32" s="56"/>
      <c r="H32" s="121" t="s">
        <v>234</v>
      </c>
      <c r="I32" s="58" t="s">
        <v>56</v>
      </c>
      <c r="J32" s="82">
        <f t="shared" si="6"/>
        <v>172000000</v>
      </c>
      <c r="K32" s="11"/>
    </row>
    <row r="33" ht="18.75" customHeight="1">
      <c r="A33" s="55">
        <v>26.0</v>
      </c>
      <c r="B33" s="112">
        <v>45987.0</v>
      </c>
      <c r="C33" s="103"/>
      <c r="D33" s="139">
        <v>1.0E7</v>
      </c>
      <c r="E33" s="120" t="s">
        <v>67</v>
      </c>
      <c r="F33" s="33" t="s">
        <v>241</v>
      </c>
      <c r="G33" s="56"/>
      <c r="H33" s="121" t="s">
        <v>236</v>
      </c>
      <c r="I33" s="58" t="s">
        <v>59</v>
      </c>
      <c r="J33" s="82">
        <f t="shared" si="6"/>
        <v>0</v>
      </c>
      <c r="K33" s="11"/>
    </row>
    <row r="34" ht="18.75" customHeight="1">
      <c r="A34" s="111">
        <v>27.0</v>
      </c>
      <c r="B34" s="112">
        <v>45989.0</v>
      </c>
      <c r="C34" s="103"/>
      <c r="D34" s="139">
        <v>1.0E7</v>
      </c>
      <c r="E34" s="120" t="s">
        <v>67</v>
      </c>
      <c r="F34" s="33" t="s">
        <v>241</v>
      </c>
      <c r="G34" s="56"/>
      <c r="H34" s="121" t="s">
        <v>238</v>
      </c>
      <c r="I34" s="58" t="s">
        <v>64</v>
      </c>
      <c r="J34" s="82">
        <f t="shared" si="6"/>
        <v>1800000</v>
      </c>
      <c r="K34" s="11"/>
    </row>
    <row r="35" ht="18.75" customHeight="1">
      <c r="A35" s="55"/>
      <c r="B35" s="83"/>
      <c r="C35" s="103"/>
      <c r="D35" s="103"/>
      <c r="E35" s="122"/>
      <c r="F35" s="105"/>
      <c r="G35" s="56"/>
      <c r="H35" s="121" t="s">
        <v>240</v>
      </c>
      <c r="I35" s="58" t="s">
        <v>66</v>
      </c>
      <c r="J35" s="82">
        <f t="shared" si="6"/>
        <v>11124000</v>
      </c>
      <c r="K35" s="11"/>
    </row>
    <row r="36" ht="18.75" customHeight="1">
      <c r="A36" s="55"/>
      <c r="B36" s="83"/>
      <c r="C36" s="103"/>
      <c r="D36" s="103"/>
      <c r="E36" s="122"/>
      <c r="F36" s="105"/>
      <c r="G36" s="56"/>
      <c r="H36" s="121" t="s">
        <v>242</v>
      </c>
      <c r="I36" s="58" t="s">
        <v>69</v>
      </c>
      <c r="J36" s="82">
        <f t="shared" si="6"/>
        <v>0</v>
      </c>
      <c r="K36" s="11"/>
    </row>
    <row r="37" ht="18.75" customHeight="1">
      <c r="A37" s="55"/>
      <c r="B37" s="83"/>
      <c r="C37" s="103"/>
      <c r="D37" s="103"/>
      <c r="E37" s="122"/>
      <c r="F37" s="105"/>
      <c r="G37" s="56"/>
      <c r="H37" s="121" t="s">
        <v>243</v>
      </c>
      <c r="I37" s="58" t="s">
        <v>71</v>
      </c>
      <c r="J37" s="82">
        <f t="shared" si="6"/>
        <v>12800000</v>
      </c>
      <c r="K37" s="11"/>
    </row>
    <row r="38" ht="18.75" customHeight="1">
      <c r="A38" s="55"/>
      <c r="B38" s="83"/>
      <c r="C38" s="103"/>
      <c r="D38" s="103"/>
      <c r="E38" s="122"/>
      <c r="F38" s="105"/>
      <c r="G38" s="56"/>
      <c r="H38" s="121" t="s">
        <v>245</v>
      </c>
      <c r="I38" s="58" t="s">
        <v>74</v>
      </c>
      <c r="J38" s="82">
        <f t="shared" si="6"/>
        <v>0</v>
      </c>
      <c r="K38" s="11"/>
    </row>
    <row r="39" ht="18.75" customHeight="1">
      <c r="A39" s="55"/>
      <c r="B39" s="83"/>
      <c r="C39" s="103"/>
      <c r="D39" s="103"/>
      <c r="E39" s="122"/>
      <c r="F39" s="105"/>
      <c r="G39" s="56"/>
      <c r="H39" s="121" t="s">
        <v>247</v>
      </c>
      <c r="I39" s="58" t="s">
        <v>77</v>
      </c>
      <c r="J39" s="82">
        <f t="shared" si="6"/>
        <v>15639464</v>
      </c>
      <c r="K39" s="11"/>
    </row>
    <row r="40" ht="18.75" customHeight="1">
      <c r="A40" s="55"/>
      <c r="B40" s="83"/>
      <c r="C40" s="103"/>
      <c r="D40" s="103"/>
      <c r="E40" s="122"/>
      <c r="F40" s="105"/>
      <c r="G40" s="56"/>
      <c r="H40" s="121" t="s">
        <v>248</v>
      </c>
      <c r="I40" s="58" t="s">
        <v>97</v>
      </c>
      <c r="J40" s="82">
        <f t="shared" si="6"/>
        <v>0</v>
      </c>
      <c r="K40" s="11"/>
    </row>
    <row r="41" ht="18.75" customHeight="1">
      <c r="A41" s="55"/>
      <c r="B41" s="83"/>
      <c r="C41" s="103"/>
      <c r="D41" s="103"/>
      <c r="E41" s="121"/>
      <c r="F41" s="58"/>
      <c r="G41" s="56"/>
      <c r="H41" s="126" t="s">
        <v>98</v>
      </c>
      <c r="I41" s="74" t="s">
        <v>5</v>
      </c>
      <c r="J41" s="25">
        <f>J23+J24-J28</f>
        <v>-112024268</v>
      </c>
      <c r="K41" s="11"/>
    </row>
    <row r="42" ht="18.75" customHeight="1">
      <c r="A42" s="91"/>
      <c r="B42" s="92"/>
      <c r="C42" s="91"/>
      <c r="D42" s="91"/>
      <c r="E42" s="128"/>
      <c r="F42" s="91"/>
      <c r="G42" s="11"/>
      <c r="K42" s="11"/>
    </row>
    <row r="43" ht="18.75" customHeight="1">
      <c r="A43" s="91"/>
      <c r="B43" s="92"/>
      <c r="C43" s="91"/>
      <c r="D43" s="91"/>
      <c r="E43" s="128"/>
      <c r="F43" s="91"/>
      <c r="G43" s="11"/>
      <c r="H43" s="127" t="s">
        <v>99</v>
      </c>
      <c r="I43" s="87"/>
      <c r="J43" s="87"/>
      <c r="K43" s="21"/>
    </row>
    <row r="44" ht="18.75" customHeight="1">
      <c r="A44" s="91"/>
      <c r="B44" s="92"/>
      <c r="C44" s="91"/>
      <c r="D44" s="91"/>
      <c r="E44" s="128"/>
      <c r="F44" s="91"/>
      <c r="G44" s="56"/>
      <c r="H44" s="126" t="s">
        <v>23</v>
      </c>
      <c r="I44" s="74" t="s">
        <v>24</v>
      </c>
      <c r="J44" s="57" t="s">
        <v>25</v>
      </c>
      <c r="K44" s="88" t="s">
        <v>100</v>
      </c>
    </row>
    <row r="45" ht="18.75" customHeight="1">
      <c r="A45" s="91"/>
      <c r="B45" s="92"/>
      <c r="C45" s="91"/>
      <c r="D45" s="91"/>
      <c r="E45" s="128"/>
      <c r="F45" s="91"/>
      <c r="G45" s="56"/>
      <c r="H45" s="126" t="s">
        <v>86</v>
      </c>
      <c r="I45" s="74" t="s">
        <v>87</v>
      </c>
      <c r="J45" s="82">
        <f>J41</f>
        <v>-112024268</v>
      </c>
      <c r="K45" s="89"/>
    </row>
    <row r="46" ht="18.75" customHeight="1">
      <c r="A46" s="91"/>
      <c r="B46" s="92"/>
      <c r="C46" s="91"/>
      <c r="D46" s="91"/>
      <c r="E46" s="128"/>
      <c r="F46" s="91"/>
      <c r="G46" s="56"/>
      <c r="H46" s="126" t="s">
        <v>88</v>
      </c>
      <c r="I46" s="74" t="s">
        <v>89</v>
      </c>
      <c r="J46" s="82">
        <f>SUM(J47:J53)</f>
        <v>250000000</v>
      </c>
      <c r="K46" s="89"/>
    </row>
    <row r="47" ht="18.75" customHeight="1">
      <c r="A47" s="91"/>
      <c r="B47" s="92"/>
      <c r="C47" s="91"/>
      <c r="D47" s="91"/>
      <c r="E47" s="128"/>
      <c r="F47" s="91"/>
      <c r="G47" s="56"/>
      <c r="H47" s="125"/>
      <c r="I47" s="58" t="s">
        <v>283</v>
      </c>
      <c r="J47" s="90">
        <v>2.5E8</v>
      </c>
      <c r="K47" s="89"/>
    </row>
    <row r="48" ht="18.75" customHeight="1">
      <c r="A48" s="91"/>
      <c r="B48" s="92"/>
      <c r="C48" s="91"/>
      <c r="D48" s="91"/>
      <c r="E48" s="128"/>
      <c r="F48" s="91"/>
      <c r="G48" s="56"/>
      <c r="H48" s="125"/>
      <c r="I48" s="58"/>
      <c r="J48" s="90"/>
      <c r="K48" s="89"/>
    </row>
    <row r="49" ht="18.75" customHeight="1">
      <c r="A49" s="91"/>
      <c r="B49" s="92"/>
      <c r="C49" s="91"/>
      <c r="D49" s="91"/>
      <c r="E49" s="128"/>
      <c r="F49" s="91"/>
      <c r="G49" s="56"/>
      <c r="H49" s="125"/>
      <c r="I49" s="58"/>
      <c r="J49" s="90"/>
      <c r="K49" s="89"/>
    </row>
    <row r="50" ht="18.75" customHeight="1">
      <c r="A50" s="91"/>
      <c r="B50" s="92"/>
      <c r="C50" s="91"/>
      <c r="D50" s="91"/>
      <c r="E50" s="128"/>
      <c r="F50" s="91"/>
      <c r="G50" s="56"/>
      <c r="H50" s="125"/>
      <c r="I50" s="58"/>
      <c r="J50" s="90"/>
      <c r="K50" s="89"/>
    </row>
    <row r="51" ht="18.75" customHeight="1">
      <c r="A51" s="91"/>
      <c r="B51" s="92"/>
      <c r="C51" s="91"/>
      <c r="D51" s="91"/>
      <c r="E51" s="128"/>
      <c r="F51" s="91"/>
      <c r="G51" s="56"/>
      <c r="H51" s="125"/>
      <c r="I51" s="58"/>
      <c r="J51" s="74"/>
      <c r="K51" s="89"/>
    </row>
    <row r="52" ht="18.75" customHeight="1">
      <c r="A52" s="91"/>
      <c r="B52" s="92"/>
      <c r="C52" s="91"/>
      <c r="D52" s="91"/>
      <c r="E52" s="128"/>
      <c r="F52" s="91"/>
      <c r="G52" s="56"/>
      <c r="H52" s="125"/>
      <c r="I52" s="58"/>
      <c r="J52" s="74"/>
      <c r="K52" s="89"/>
    </row>
    <row r="53" ht="18.75" customHeight="1">
      <c r="A53" s="91"/>
      <c r="B53" s="92"/>
      <c r="C53" s="91"/>
      <c r="D53" s="91"/>
      <c r="E53" s="128"/>
      <c r="F53" s="91"/>
      <c r="G53" s="56"/>
      <c r="H53" s="125"/>
      <c r="I53" s="58"/>
      <c r="J53" s="74"/>
      <c r="K53" s="89"/>
    </row>
    <row r="54" ht="18.75" customHeight="1">
      <c r="A54" s="91"/>
      <c r="B54" s="92"/>
      <c r="C54" s="91"/>
      <c r="D54" s="91"/>
      <c r="E54" s="128"/>
      <c r="F54" s="91"/>
      <c r="G54" s="56"/>
      <c r="H54" s="126" t="s">
        <v>93</v>
      </c>
      <c r="I54" s="74" t="s">
        <v>94</v>
      </c>
      <c r="J54" s="90">
        <f>SUM(J55:J64)</f>
        <v>283600000</v>
      </c>
      <c r="K54" s="89"/>
    </row>
    <row r="55" ht="18.75" customHeight="1">
      <c r="A55" s="91"/>
      <c r="B55" s="92"/>
      <c r="C55" s="91"/>
      <c r="D55" s="91"/>
      <c r="E55" s="128"/>
      <c r="F55" s="91"/>
      <c r="G55" s="56"/>
      <c r="H55" s="125"/>
      <c r="I55" s="58" t="s">
        <v>284</v>
      </c>
      <c r="J55" s="90">
        <v>5.05E7</v>
      </c>
      <c r="K55" s="83"/>
    </row>
    <row r="56" ht="18.75" customHeight="1">
      <c r="A56" s="91"/>
      <c r="B56" s="92"/>
      <c r="C56" s="91"/>
      <c r="D56" s="91"/>
      <c r="E56" s="128"/>
      <c r="F56" s="91"/>
      <c r="G56" s="56"/>
      <c r="H56" s="125"/>
      <c r="I56" s="58" t="s">
        <v>285</v>
      </c>
      <c r="J56" s="90">
        <v>5600000.0</v>
      </c>
      <c r="K56" s="83"/>
    </row>
    <row r="57" ht="18.75" customHeight="1">
      <c r="A57" s="91"/>
      <c r="B57" s="92"/>
      <c r="C57" s="91"/>
      <c r="D57" s="91"/>
      <c r="E57" s="128"/>
      <c r="F57" s="91"/>
      <c r="G57" s="56"/>
      <c r="H57" s="125"/>
      <c r="I57" s="58" t="s">
        <v>262</v>
      </c>
      <c r="J57" s="90">
        <f>1500000+2000000</f>
        <v>3500000</v>
      </c>
      <c r="K57" s="83"/>
    </row>
    <row r="58" ht="18.75" customHeight="1">
      <c r="A58" s="91"/>
      <c r="B58" s="92"/>
      <c r="C58" s="91"/>
      <c r="D58" s="91"/>
      <c r="E58" s="128"/>
      <c r="F58" s="91"/>
      <c r="G58" s="56"/>
      <c r="H58" s="125"/>
      <c r="I58" s="58" t="s">
        <v>286</v>
      </c>
      <c r="J58" s="90">
        <v>1.12E7</v>
      </c>
      <c r="K58" s="83"/>
    </row>
    <row r="59" ht="18.75" customHeight="1">
      <c r="A59" s="91"/>
      <c r="B59" s="92"/>
      <c r="C59" s="91"/>
      <c r="D59" s="91"/>
      <c r="E59" s="128"/>
      <c r="F59" s="91"/>
      <c r="G59" s="56"/>
      <c r="H59" s="125"/>
      <c r="I59" s="58" t="s">
        <v>287</v>
      </c>
      <c r="J59" s="90">
        <v>1.28E7</v>
      </c>
      <c r="K59" s="83"/>
    </row>
    <row r="60" ht="18.75" customHeight="1">
      <c r="A60" s="91"/>
      <c r="B60" s="92"/>
      <c r="C60" s="91"/>
      <c r="D60" s="91"/>
      <c r="E60" s="128"/>
      <c r="F60" s="91"/>
      <c r="G60" s="56"/>
      <c r="H60" s="125"/>
      <c r="I60" s="58" t="s">
        <v>288</v>
      </c>
      <c r="J60" s="90">
        <f>J47*80%</f>
        <v>200000000</v>
      </c>
      <c r="K60" s="89"/>
    </row>
    <row r="61" ht="18.75" customHeight="1">
      <c r="A61" s="91"/>
      <c r="B61" s="92"/>
      <c r="C61" s="91"/>
      <c r="D61" s="91"/>
      <c r="E61" s="128"/>
      <c r="F61" s="91"/>
      <c r="G61" s="56"/>
      <c r="H61" s="125"/>
      <c r="I61" s="58"/>
      <c r="J61" s="90"/>
      <c r="K61" s="89"/>
    </row>
    <row r="62" ht="18.75" customHeight="1">
      <c r="A62" s="91"/>
      <c r="B62" s="92"/>
      <c r="C62" s="91"/>
      <c r="D62" s="91"/>
      <c r="E62" s="128"/>
      <c r="F62" s="91"/>
      <c r="G62" s="56"/>
      <c r="H62" s="125"/>
      <c r="I62" s="58"/>
      <c r="J62" s="90"/>
      <c r="K62" s="89"/>
    </row>
    <row r="63" ht="18.75" customHeight="1">
      <c r="A63" s="91"/>
      <c r="B63" s="92"/>
      <c r="C63" s="91"/>
      <c r="D63" s="91"/>
      <c r="E63" s="128"/>
      <c r="F63" s="91"/>
      <c r="G63" s="56"/>
      <c r="H63" s="125"/>
      <c r="I63" s="58"/>
      <c r="J63" s="90"/>
      <c r="K63" s="89"/>
    </row>
    <row r="64" ht="18.75" customHeight="1">
      <c r="A64" s="91"/>
      <c r="B64" s="92"/>
      <c r="C64" s="91"/>
      <c r="D64" s="91"/>
      <c r="E64" s="128"/>
      <c r="F64" s="91"/>
      <c r="G64" s="56"/>
      <c r="H64" s="125"/>
      <c r="I64" s="58"/>
      <c r="J64" s="90"/>
      <c r="K64" s="89"/>
    </row>
    <row r="65" ht="18.75" customHeight="1">
      <c r="A65" s="91"/>
      <c r="B65" s="92"/>
      <c r="C65" s="91"/>
      <c r="D65" s="91"/>
      <c r="E65" s="128"/>
      <c r="F65" s="91"/>
      <c r="G65" s="56"/>
      <c r="H65" s="126" t="s">
        <v>98</v>
      </c>
      <c r="I65" s="74" t="s">
        <v>5</v>
      </c>
      <c r="J65" s="25">
        <f>J45+J46-J54</f>
        <v>-145624268</v>
      </c>
      <c r="K65" s="89"/>
    </row>
    <row r="66" ht="18.75" customHeight="1">
      <c r="A66" s="91"/>
      <c r="B66" s="92"/>
      <c r="C66" s="91"/>
      <c r="D66" s="91"/>
      <c r="E66" s="128"/>
      <c r="F66" s="91"/>
      <c r="G66" s="91"/>
      <c r="H66" s="128"/>
      <c r="I66" s="91"/>
      <c r="J66" s="91"/>
      <c r="K66" s="91"/>
    </row>
    <row r="67" ht="18.75" customHeight="1">
      <c r="A67" s="91"/>
      <c r="B67" s="92"/>
      <c r="C67" s="91"/>
      <c r="D67" s="91"/>
      <c r="E67" s="128"/>
      <c r="F67" s="91"/>
      <c r="G67" s="91"/>
      <c r="H67" s="128"/>
      <c r="I67" s="91"/>
      <c r="J67" s="91"/>
      <c r="K67" s="91"/>
    </row>
    <row r="68" ht="18.75" customHeight="1">
      <c r="A68" s="91"/>
      <c r="B68" s="92"/>
      <c r="C68" s="91"/>
      <c r="D68" s="91"/>
      <c r="E68" s="128"/>
      <c r="F68" s="91"/>
      <c r="G68" s="91"/>
      <c r="H68" s="128"/>
      <c r="I68" s="91"/>
      <c r="J68" s="91"/>
      <c r="K68" s="91"/>
    </row>
    <row r="69" ht="18.75" customHeight="1">
      <c r="A69" s="91"/>
      <c r="B69" s="92"/>
      <c r="C69" s="91"/>
      <c r="D69" s="91"/>
      <c r="E69" s="128"/>
      <c r="F69" s="91"/>
      <c r="G69" s="91"/>
      <c r="H69" s="128"/>
      <c r="I69" s="91"/>
      <c r="J69" s="91"/>
      <c r="K69" s="91"/>
    </row>
    <row r="70" ht="18.75" customHeight="1">
      <c r="A70" s="91"/>
      <c r="B70" s="92"/>
      <c r="C70" s="91"/>
      <c r="D70" s="91"/>
      <c r="E70" s="128"/>
      <c r="F70" s="91"/>
      <c r="G70" s="91"/>
      <c r="H70" s="128"/>
      <c r="I70" s="91"/>
      <c r="J70" s="91"/>
      <c r="K70" s="91"/>
    </row>
    <row r="71" ht="18.75" customHeight="1">
      <c r="A71" s="91"/>
      <c r="B71" s="92"/>
      <c r="C71" s="91"/>
      <c r="D71" s="91"/>
      <c r="E71" s="128"/>
      <c r="F71" s="91"/>
      <c r="G71" s="91"/>
      <c r="H71" s="128"/>
      <c r="I71" s="91"/>
      <c r="J71" s="91"/>
      <c r="K71" s="91"/>
    </row>
    <row r="72" ht="18.75" customHeight="1">
      <c r="A72" s="91"/>
      <c r="B72" s="92"/>
      <c r="C72" s="91"/>
      <c r="D72" s="91"/>
      <c r="E72" s="128"/>
      <c r="F72" s="91"/>
      <c r="G72" s="91"/>
      <c r="H72" s="128"/>
      <c r="I72" s="91"/>
      <c r="J72" s="91"/>
      <c r="K72" s="91"/>
    </row>
    <row r="73" ht="18.75" customHeight="1">
      <c r="A73" s="91"/>
      <c r="B73" s="92"/>
      <c r="C73" s="91"/>
      <c r="D73" s="91"/>
      <c r="E73" s="128"/>
      <c r="F73" s="91"/>
      <c r="G73" s="91"/>
      <c r="H73" s="128"/>
      <c r="I73" s="91"/>
      <c r="J73" s="91"/>
      <c r="K73" s="91"/>
    </row>
    <row r="74" ht="18.75" customHeight="1">
      <c r="A74" s="91"/>
      <c r="B74" s="92"/>
      <c r="C74" s="91"/>
      <c r="D74" s="91"/>
      <c r="E74" s="128"/>
      <c r="F74" s="91"/>
      <c r="G74" s="91"/>
      <c r="H74" s="128"/>
      <c r="I74" s="91"/>
      <c r="J74" s="91"/>
      <c r="K74" s="91"/>
    </row>
    <row r="75" ht="18.75" customHeight="1">
      <c r="A75" s="91"/>
      <c r="B75" s="92"/>
      <c r="C75" s="91"/>
      <c r="D75" s="91"/>
      <c r="E75" s="128"/>
      <c r="F75" s="91"/>
      <c r="G75" s="91"/>
      <c r="H75" s="128"/>
      <c r="I75" s="91"/>
      <c r="J75" s="91"/>
      <c r="K75" s="91"/>
    </row>
    <row r="76" ht="18.75" customHeight="1">
      <c r="A76" s="91"/>
      <c r="B76" s="92"/>
      <c r="C76" s="91"/>
      <c r="D76" s="91"/>
      <c r="E76" s="128"/>
      <c r="F76" s="91"/>
      <c r="G76" s="91"/>
      <c r="H76" s="128"/>
      <c r="I76" s="91"/>
      <c r="J76" s="91"/>
      <c r="K76" s="91"/>
    </row>
    <row r="77" ht="18.75" customHeight="1">
      <c r="A77" s="91"/>
      <c r="B77" s="92"/>
      <c r="C77" s="91"/>
      <c r="D77" s="91"/>
      <c r="E77" s="128"/>
      <c r="F77" s="91"/>
      <c r="G77" s="91"/>
      <c r="H77" s="128"/>
      <c r="I77" s="91"/>
      <c r="J77" s="91"/>
      <c r="K77" s="91"/>
    </row>
    <row r="78" ht="18.75" customHeight="1">
      <c r="A78" s="91"/>
      <c r="B78" s="92"/>
      <c r="C78" s="91"/>
      <c r="D78" s="91"/>
      <c r="E78" s="128"/>
      <c r="F78" s="91"/>
      <c r="G78" s="91"/>
      <c r="H78" s="128"/>
      <c r="I78" s="91"/>
      <c r="J78" s="91"/>
      <c r="K78" s="91"/>
    </row>
    <row r="79" ht="18.75" customHeight="1">
      <c r="A79" s="91"/>
      <c r="B79" s="92"/>
      <c r="C79" s="91"/>
      <c r="D79" s="91"/>
      <c r="E79" s="128"/>
      <c r="F79" s="91"/>
      <c r="G79" s="91"/>
      <c r="H79" s="128"/>
      <c r="I79" s="91"/>
      <c r="J79" s="91"/>
      <c r="K79" s="91"/>
    </row>
    <row r="80" ht="18.75" customHeight="1">
      <c r="A80" s="91"/>
      <c r="B80" s="92"/>
      <c r="C80" s="91"/>
      <c r="D80" s="91"/>
      <c r="E80" s="128"/>
      <c r="F80" s="91"/>
      <c r="G80" s="91"/>
      <c r="H80" s="128"/>
      <c r="I80" s="91"/>
      <c r="J80" s="91"/>
      <c r="K80" s="91"/>
    </row>
    <row r="81" ht="18.75" customHeight="1">
      <c r="A81" s="91"/>
      <c r="B81" s="92"/>
      <c r="C81" s="91"/>
      <c r="D81" s="91"/>
      <c r="E81" s="128"/>
      <c r="F81" s="91"/>
      <c r="G81" s="91"/>
      <c r="H81" s="128"/>
      <c r="I81" s="91"/>
      <c r="J81" s="91"/>
      <c r="K81" s="91"/>
    </row>
    <row r="82" ht="18.75" customHeight="1">
      <c r="A82" s="91"/>
      <c r="B82" s="92"/>
      <c r="C82" s="91"/>
      <c r="D82" s="91"/>
      <c r="E82" s="128"/>
      <c r="F82" s="91"/>
      <c r="G82" s="91"/>
      <c r="H82" s="128"/>
      <c r="I82" s="91"/>
      <c r="J82" s="91"/>
      <c r="K82" s="91"/>
    </row>
    <row r="83" ht="18.75" customHeight="1">
      <c r="A83" s="91"/>
      <c r="B83" s="92"/>
      <c r="C83" s="91"/>
      <c r="D83" s="91"/>
      <c r="E83" s="128"/>
      <c r="F83" s="91"/>
      <c r="G83" s="91"/>
      <c r="H83" s="128"/>
      <c r="I83" s="91"/>
      <c r="J83" s="91"/>
      <c r="K83" s="91"/>
    </row>
    <row r="84" ht="18.75" customHeight="1">
      <c r="A84" s="91"/>
      <c r="B84" s="92"/>
      <c r="C84" s="91"/>
      <c r="D84" s="91"/>
      <c r="E84" s="128"/>
      <c r="F84" s="91"/>
      <c r="G84" s="91"/>
      <c r="H84" s="128"/>
      <c r="I84" s="91"/>
      <c r="J84" s="91"/>
      <c r="K84" s="91"/>
    </row>
    <row r="85" ht="18.75" customHeight="1">
      <c r="A85" s="91"/>
      <c r="B85" s="92"/>
      <c r="C85" s="91"/>
      <c r="D85" s="91"/>
      <c r="E85" s="128"/>
      <c r="F85" s="91"/>
      <c r="G85" s="91"/>
      <c r="H85" s="128"/>
      <c r="I85" s="91"/>
      <c r="J85" s="91"/>
      <c r="K85" s="91"/>
    </row>
    <row r="86" ht="18.75" customHeight="1">
      <c r="A86" s="91"/>
      <c r="B86" s="92"/>
      <c r="C86" s="91"/>
      <c r="D86" s="91"/>
      <c r="E86" s="128"/>
      <c r="F86" s="91"/>
      <c r="G86" s="91"/>
      <c r="H86" s="128"/>
      <c r="I86" s="91"/>
      <c r="J86" s="91"/>
      <c r="K86" s="91"/>
    </row>
    <row r="87" ht="18.75" customHeight="1">
      <c r="A87" s="91"/>
      <c r="B87" s="92"/>
      <c r="C87" s="91"/>
      <c r="D87" s="91"/>
      <c r="E87" s="128"/>
      <c r="F87" s="91"/>
      <c r="G87" s="91"/>
      <c r="H87" s="128"/>
      <c r="I87" s="91"/>
      <c r="J87" s="91"/>
      <c r="K87" s="91"/>
    </row>
    <row r="88" ht="18.75" customHeight="1">
      <c r="A88" s="91"/>
      <c r="B88" s="92"/>
      <c r="C88" s="91"/>
      <c r="D88" s="91"/>
      <c r="E88" s="128"/>
      <c r="F88" s="91"/>
      <c r="G88" s="91"/>
      <c r="H88" s="128"/>
      <c r="I88" s="91"/>
      <c r="J88" s="91"/>
      <c r="K88" s="91"/>
    </row>
    <row r="89" ht="18.75" customHeight="1">
      <c r="A89" s="91"/>
      <c r="B89" s="92"/>
      <c r="C89" s="91"/>
      <c r="D89" s="91"/>
      <c r="E89" s="128"/>
      <c r="F89" s="91"/>
      <c r="G89" s="91"/>
      <c r="H89" s="128"/>
      <c r="I89" s="91"/>
      <c r="J89" s="91"/>
      <c r="K89" s="91"/>
    </row>
    <row r="90" ht="18.75" customHeight="1">
      <c r="A90" s="91"/>
      <c r="B90" s="92"/>
      <c r="C90" s="91"/>
      <c r="D90" s="91"/>
      <c r="E90" s="128"/>
      <c r="F90" s="91"/>
      <c r="G90" s="91"/>
      <c r="H90" s="128"/>
      <c r="I90" s="91"/>
      <c r="J90" s="91"/>
      <c r="K90" s="91"/>
    </row>
    <row r="91" ht="18.75" customHeight="1">
      <c r="A91" s="91"/>
      <c r="B91" s="92"/>
      <c r="C91" s="91"/>
      <c r="D91" s="91"/>
      <c r="E91" s="128"/>
      <c r="F91" s="91"/>
      <c r="G91" s="91"/>
      <c r="H91" s="128"/>
      <c r="I91" s="91"/>
      <c r="J91" s="91"/>
      <c r="K91" s="91"/>
    </row>
    <row r="92" ht="18.75" customHeight="1">
      <c r="A92" s="91"/>
      <c r="B92" s="92"/>
      <c r="C92" s="91"/>
      <c r="D92" s="91"/>
      <c r="E92" s="128"/>
      <c r="F92" s="91"/>
      <c r="G92" s="91"/>
      <c r="H92" s="128"/>
      <c r="I92" s="91"/>
      <c r="J92" s="91"/>
      <c r="K92" s="91"/>
    </row>
    <row r="93" ht="18.75" customHeight="1">
      <c r="A93" s="91"/>
      <c r="B93" s="92"/>
      <c r="C93" s="91"/>
      <c r="D93" s="91"/>
      <c r="E93" s="128"/>
      <c r="F93" s="91"/>
      <c r="G93" s="91"/>
      <c r="H93" s="128"/>
      <c r="I93" s="91"/>
      <c r="J93" s="91"/>
      <c r="K93" s="91"/>
    </row>
    <row r="94" ht="18.75" customHeight="1">
      <c r="A94" s="91"/>
      <c r="B94" s="92"/>
      <c r="C94" s="91"/>
      <c r="D94" s="91"/>
      <c r="E94" s="128"/>
      <c r="F94" s="91"/>
      <c r="G94" s="91"/>
      <c r="H94" s="128"/>
      <c r="I94" s="91"/>
      <c r="J94" s="91"/>
      <c r="K94" s="91"/>
    </row>
    <row r="95" ht="18.75" customHeight="1">
      <c r="A95" s="91"/>
      <c r="B95" s="92"/>
      <c r="C95" s="91"/>
      <c r="D95" s="91"/>
      <c r="E95" s="128"/>
      <c r="F95" s="91"/>
      <c r="G95" s="91"/>
      <c r="H95" s="128"/>
      <c r="I95" s="91"/>
      <c r="J95" s="91"/>
      <c r="K95" s="91"/>
    </row>
    <row r="96" ht="18.75" customHeight="1">
      <c r="A96" s="91"/>
      <c r="B96" s="92"/>
      <c r="C96" s="91"/>
      <c r="D96" s="91"/>
      <c r="E96" s="128"/>
      <c r="F96" s="91"/>
      <c r="G96" s="91"/>
      <c r="H96" s="128"/>
      <c r="I96" s="91"/>
      <c r="J96" s="91"/>
      <c r="K96" s="91"/>
    </row>
    <row r="97" ht="18.75" customHeight="1">
      <c r="A97" s="91"/>
      <c r="B97" s="92"/>
      <c r="C97" s="91"/>
      <c r="D97" s="91"/>
      <c r="E97" s="128"/>
      <c r="F97" s="91"/>
      <c r="G97" s="91"/>
      <c r="H97" s="128"/>
      <c r="I97" s="91"/>
      <c r="J97" s="91"/>
      <c r="K97" s="91"/>
    </row>
    <row r="98" ht="18.75" customHeight="1">
      <c r="A98" s="91"/>
      <c r="B98" s="92"/>
      <c r="C98" s="91"/>
      <c r="D98" s="91"/>
      <c r="E98" s="128"/>
      <c r="F98" s="91"/>
      <c r="G98" s="91"/>
      <c r="H98" s="128"/>
      <c r="I98" s="91"/>
      <c r="J98" s="91"/>
      <c r="K98" s="91"/>
    </row>
    <row r="99" ht="18.75" customHeight="1">
      <c r="E99" s="129"/>
      <c r="G99" s="91"/>
      <c r="H99" s="128"/>
      <c r="I99" s="91"/>
      <c r="J99" s="91"/>
      <c r="K99" s="91"/>
    </row>
    <row r="100" ht="18.75" customHeight="1">
      <c r="E100" s="129"/>
      <c r="G100" s="91"/>
      <c r="H100" s="128"/>
      <c r="I100" s="91"/>
      <c r="J100" s="91"/>
      <c r="K100" s="91"/>
    </row>
    <row r="101" ht="18.75" customHeight="1">
      <c r="E101" s="129"/>
      <c r="G101" s="91"/>
      <c r="H101" s="128"/>
      <c r="I101" s="91"/>
      <c r="J101" s="91"/>
      <c r="K101" s="91"/>
    </row>
    <row r="102" ht="18.75" customHeight="1">
      <c r="E102" s="129"/>
      <c r="G102" s="91"/>
      <c r="H102" s="128"/>
      <c r="I102" s="91"/>
      <c r="J102" s="91"/>
      <c r="K102" s="91"/>
    </row>
    <row r="103" ht="18.75" customHeight="1">
      <c r="E103" s="129"/>
      <c r="G103" s="91"/>
      <c r="H103" s="128"/>
      <c r="I103" s="91"/>
      <c r="J103" s="91"/>
      <c r="K103" s="91"/>
    </row>
    <row r="104" ht="18.75" customHeight="1">
      <c r="E104" s="129"/>
      <c r="G104" s="91"/>
      <c r="H104" s="128"/>
      <c r="I104" s="91"/>
      <c r="J104" s="91"/>
      <c r="K104" s="91"/>
    </row>
    <row r="105" ht="18.75" customHeight="1">
      <c r="E105" s="129"/>
      <c r="G105" s="91"/>
      <c r="H105" s="128"/>
      <c r="I105" s="91"/>
      <c r="J105" s="91"/>
      <c r="K105" s="91"/>
    </row>
    <row r="106" ht="18.75" customHeight="1">
      <c r="E106" s="129"/>
      <c r="G106" s="91"/>
      <c r="H106" s="128"/>
      <c r="I106" s="91"/>
      <c r="J106" s="91"/>
      <c r="K106" s="91"/>
    </row>
    <row r="107" ht="18.75" customHeight="1">
      <c r="E107" s="129"/>
      <c r="G107" s="91"/>
      <c r="H107" s="128"/>
      <c r="I107" s="91"/>
      <c r="J107" s="91"/>
      <c r="K107" s="91"/>
    </row>
    <row r="108" ht="18.75" customHeight="1">
      <c r="E108" s="129"/>
      <c r="G108" s="91"/>
      <c r="H108" s="128"/>
      <c r="I108" s="91"/>
      <c r="J108" s="91"/>
      <c r="K108" s="91"/>
    </row>
    <row r="109" ht="18.75" customHeight="1">
      <c r="E109" s="129"/>
      <c r="G109" s="91"/>
      <c r="H109" s="128"/>
      <c r="I109" s="91"/>
      <c r="J109" s="91"/>
      <c r="K109" s="91"/>
    </row>
    <row r="110" ht="18.75" customHeight="1">
      <c r="E110" s="129"/>
      <c r="G110" s="91"/>
      <c r="H110" s="128"/>
      <c r="I110" s="91"/>
      <c r="J110" s="91"/>
      <c r="K110" s="91"/>
    </row>
    <row r="111" ht="18.75" customHeight="1">
      <c r="E111" s="129"/>
      <c r="G111" s="91"/>
      <c r="H111" s="128"/>
      <c r="I111" s="91"/>
      <c r="J111" s="91"/>
      <c r="K111" s="91"/>
    </row>
    <row r="112" ht="18.75" customHeight="1">
      <c r="E112" s="129"/>
      <c r="G112" s="91"/>
      <c r="H112" s="128"/>
      <c r="I112" s="91"/>
      <c r="J112" s="91"/>
      <c r="K112" s="91"/>
    </row>
    <row r="113" ht="18.75" customHeight="1">
      <c r="E113" s="129"/>
      <c r="G113" s="91"/>
      <c r="H113" s="128"/>
      <c r="I113" s="91"/>
      <c r="J113" s="91"/>
      <c r="K113" s="91"/>
    </row>
    <row r="114" ht="18.75" customHeight="1">
      <c r="E114" s="129"/>
      <c r="G114" s="91"/>
      <c r="H114" s="128"/>
      <c r="I114" s="91"/>
      <c r="J114" s="91"/>
      <c r="K114" s="91"/>
    </row>
    <row r="115" ht="18.75" customHeight="1">
      <c r="E115" s="129"/>
      <c r="G115" s="91"/>
      <c r="H115" s="128"/>
      <c r="I115" s="91"/>
      <c r="J115" s="91"/>
      <c r="K115" s="91"/>
    </row>
    <row r="116" ht="18.75" customHeight="1">
      <c r="E116" s="129"/>
      <c r="G116" s="91"/>
      <c r="H116" s="128"/>
      <c r="I116" s="91"/>
      <c r="J116" s="91"/>
      <c r="K116" s="91"/>
    </row>
    <row r="117" ht="18.75" customHeight="1">
      <c r="E117" s="129"/>
      <c r="G117" s="91"/>
      <c r="H117" s="128"/>
      <c r="I117" s="91"/>
      <c r="J117" s="91"/>
      <c r="K117" s="91"/>
    </row>
    <row r="118" ht="18.75" customHeight="1">
      <c r="E118" s="129"/>
      <c r="G118" s="91"/>
      <c r="H118" s="128"/>
      <c r="I118" s="91"/>
      <c r="J118" s="91"/>
      <c r="K118" s="91"/>
    </row>
    <row r="119" ht="18.75" customHeight="1">
      <c r="E119" s="129"/>
      <c r="G119" s="91"/>
      <c r="H119" s="128"/>
      <c r="I119" s="91"/>
      <c r="J119" s="91"/>
      <c r="K119" s="91"/>
    </row>
    <row r="120" ht="18.75" customHeight="1">
      <c r="E120" s="129"/>
      <c r="G120" s="91"/>
      <c r="H120" s="128"/>
      <c r="I120" s="91"/>
      <c r="J120" s="91"/>
      <c r="K120" s="91"/>
    </row>
    <row r="121" ht="18.75" customHeight="1">
      <c r="E121" s="129"/>
      <c r="G121" s="91"/>
      <c r="H121" s="128"/>
      <c r="I121" s="91"/>
      <c r="J121" s="91"/>
      <c r="K121" s="91"/>
    </row>
    <row r="122" ht="18.75" customHeight="1">
      <c r="E122" s="129"/>
      <c r="G122" s="91"/>
      <c r="H122" s="128"/>
      <c r="I122" s="91"/>
      <c r="J122" s="91"/>
      <c r="K122" s="91"/>
    </row>
    <row r="123" ht="18.75" customHeight="1">
      <c r="E123" s="129"/>
      <c r="G123" s="91"/>
      <c r="H123" s="128"/>
      <c r="I123" s="91"/>
      <c r="J123" s="91"/>
      <c r="K123" s="91"/>
    </row>
    <row r="124" ht="18.75" customHeight="1">
      <c r="E124" s="129"/>
      <c r="G124" s="91"/>
      <c r="H124" s="128"/>
      <c r="I124" s="91"/>
      <c r="J124" s="91"/>
      <c r="K124" s="91"/>
    </row>
    <row r="125" ht="18.75" customHeight="1">
      <c r="E125" s="129"/>
      <c r="G125" s="91"/>
      <c r="H125" s="128"/>
      <c r="I125" s="91"/>
      <c r="J125" s="91"/>
      <c r="K125" s="91"/>
    </row>
    <row r="126" ht="18.75" customHeight="1">
      <c r="E126" s="129"/>
      <c r="G126" s="91"/>
      <c r="H126" s="128"/>
      <c r="I126" s="91"/>
      <c r="J126" s="91"/>
      <c r="K126" s="91"/>
    </row>
    <row r="127" ht="18.75" customHeight="1">
      <c r="E127" s="129"/>
      <c r="G127" s="91"/>
      <c r="H127" s="128"/>
      <c r="I127" s="91"/>
      <c r="J127" s="91"/>
      <c r="K127" s="91"/>
    </row>
    <row r="128" ht="18.75" customHeight="1">
      <c r="E128" s="129"/>
      <c r="G128" s="91"/>
      <c r="H128" s="128"/>
      <c r="I128" s="91"/>
      <c r="J128" s="91"/>
      <c r="K128" s="91"/>
    </row>
    <row r="129" ht="18.75" customHeight="1">
      <c r="E129" s="129"/>
      <c r="G129" s="91"/>
      <c r="H129" s="128"/>
      <c r="I129" s="91"/>
      <c r="J129" s="91"/>
      <c r="K129" s="91"/>
    </row>
    <row r="130" ht="18.75" customHeight="1">
      <c r="E130" s="129"/>
      <c r="G130" s="91"/>
      <c r="H130" s="128"/>
      <c r="I130" s="91"/>
      <c r="J130" s="91"/>
      <c r="K130" s="91"/>
    </row>
    <row r="131" ht="18.75" customHeight="1">
      <c r="E131" s="129"/>
      <c r="G131" s="91"/>
      <c r="H131" s="128"/>
      <c r="I131" s="91"/>
      <c r="J131" s="91"/>
      <c r="K131" s="91"/>
    </row>
    <row r="132" ht="18.75" customHeight="1">
      <c r="E132" s="129"/>
      <c r="G132" s="91"/>
      <c r="H132" s="128"/>
      <c r="I132" s="91"/>
      <c r="J132" s="91"/>
      <c r="K132" s="91"/>
    </row>
    <row r="133" ht="18.75" customHeight="1">
      <c r="E133" s="129"/>
      <c r="G133" s="91"/>
      <c r="H133" s="128"/>
      <c r="I133" s="91"/>
      <c r="J133" s="91"/>
      <c r="K133" s="91"/>
    </row>
    <row r="134" ht="18.75" customHeight="1">
      <c r="E134" s="129"/>
      <c r="G134" s="91"/>
      <c r="H134" s="128"/>
      <c r="I134" s="91"/>
      <c r="J134" s="91"/>
      <c r="K134" s="91"/>
    </row>
    <row r="135" ht="18.75" customHeight="1">
      <c r="E135" s="129"/>
      <c r="G135" s="91"/>
      <c r="H135" s="128"/>
      <c r="I135" s="91"/>
      <c r="J135" s="91"/>
      <c r="K135" s="91"/>
    </row>
    <row r="136" ht="18.75" customHeight="1">
      <c r="E136" s="129"/>
      <c r="G136" s="91"/>
      <c r="H136" s="128"/>
      <c r="I136" s="91"/>
      <c r="J136" s="91"/>
      <c r="K136" s="91"/>
    </row>
    <row r="137" ht="18.75" customHeight="1">
      <c r="E137" s="129"/>
      <c r="G137" s="91"/>
      <c r="H137" s="128"/>
      <c r="I137" s="91"/>
      <c r="J137" s="91"/>
      <c r="K137" s="91"/>
    </row>
    <row r="138" ht="18.75" customHeight="1">
      <c r="E138" s="129"/>
      <c r="G138" s="91"/>
      <c r="H138" s="128"/>
      <c r="I138" s="91"/>
      <c r="J138" s="91"/>
      <c r="K138" s="91"/>
    </row>
    <row r="139" ht="18.75" customHeight="1">
      <c r="E139" s="129"/>
      <c r="G139" s="91"/>
      <c r="H139" s="128"/>
      <c r="I139" s="91"/>
      <c r="J139" s="91"/>
      <c r="K139" s="91"/>
    </row>
    <row r="140" ht="18.75" customHeight="1">
      <c r="E140" s="129"/>
      <c r="G140" s="91"/>
      <c r="H140" s="128"/>
      <c r="I140" s="91"/>
      <c r="J140" s="91"/>
      <c r="K140" s="91"/>
    </row>
    <row r="141" ht="18.75" customHeight="1">
      <c r="E141" s="129"/>
      <c r="G141" s="91"/>
      <c r="H141" s="128"/>
      <c r="I141" s="91"/>
      <c r="J141" s="91"/>
      <c r="K141" s="91"/>
    </row>
    <row r="142" ht="18.75" customHeight="1">
      <c r="E142" s="129"/>
      <c r="G142" s="91"/>
      <c r="H142" s="128"/>
      <c r="I142" s="91"/>
      <c r="J142" s="91"/>
      <c r="K142" s="91"/>
    </row>
    <row r="143" ht="18.75" customHeight="1">
      <c r="E143" s="129"/>
      <c r="G143" s="91"/>
      <c r="H143" s="128"/>
      <c r="I143" s="91"/>
      <c r="J143" s="91"/>
      <c r="K143" s="91"/>
    </row>
    <row r="144" ht="18.75" customHeight="1">
      <c r="E144" s="129"/>
      <c r="G144" s="91"/>
      <c r="H144" s="128"/>
      <c r="I144" s="91"/>
      <c r="J144" s="91"/>
      <c r="K144" s="91"/>
    </row>
    <row r="145" ht="18.75" customHeight="1">
      <c r="E145" s="129"/>
      <c r="G145" s="91"/>
      <c r="H145" s="128"/>
      <c r="I145" s="91"/>
      <c r="J145" s="91"/>
      <c r="K145" s="91"/>
    </row>
    <row r="146" ht="18.75" customHeight="1">
      <c r="E146" s="129"/>
      <c r="G146" s="91"/>
      <c r="H146" s="128"/>
      <c r="I146" s="91"/>
      <c r="J146" s="91"/>
      <c r="K146" s="91"/>
    </row>
    <row r="147" ht="18.75" customHeight="1">
      <c r="E147" s="129"/>
      <c r="G147" s="91"/>
      <c r="H147" s="128"/>
      <c r="I147" s="91"/>
      <c r="J147" s="91"/>
      <c r="K147" s="91"/>
    </row>
    <row r="148" ht="18.75" customHeight="1">
      <c r="E148" s="129"/>
      <c r="G148" s="91"/>
      <c r="H148" s="128"/>
      <c r="I148" s="91"/>
      <c r="J148" s="91"/>
      <c r="K148" s="91"/>
    </row>
    <row r="149" ht="18.75" customHeight="1">
      <c r="E149" s="129"/>
      <c r="G149" s="91"/>
      <c r="H149" s="128"/>
      <c r="I149" s="91"/>
      <c r="J149" s="91"/>
      <c r="K149" s="91"/>
    </row>
    <row r="150" ht="18.75" customHeight="1">
      <c r="E150" s="129"/>
      <c r="G150" s="91"/>
      <c r="H150" s="128"/>
      <c r="I150" s="91"/>
      <c r="J150" s="91"/>
      <c r="K150" s="91"/>
    </row>
    <row r="151" ht="18.75" customHeight="1">
      <c r="E151" s="129"/>
      <c r="G151" s="91"/>
      <c r="H151" s="128"/>
      <c r="I151" s="91"/>
      <c r="J151" s="91"/>
      <c r="K151" s="91"/>
    </row>
    <row r="152" ht="18.75" customHeight="1">
      <c r="E152" s="129"/>
      <c r="G152" s="91"/>
      <c r="H152" s="128"/>
      <c r="I152" s="91"/>
      <c r="J152" s="91"/>
      <c r="K152" s="91"/>
    </row>
    <row r="153" ht="18.75" customHeight="1">
      <c r="E153" s="129"/>
      <c r="G153" s="91"/>
      <c r="H153" s="128"/>
      <c r="I153" s="91"/>
      <c r="J153" s="91"/>
      <c r="K153" s="91"/>
    </row>
    <row r="154" ht="18.75" customHeight="1">
      <c r="E154" s="129"/>
      <c r="G154" s="91"/>
      <c r="H154" s="128"/>
      <c r="I154" s="91"/>
      <c r="J154" s="91"/>
      <c r="K154" s="91"/>
    </row>
    <row r="155" ht="18.75" customHeight="1">
      <c r="E155" s="129"/>
      <c r="G155" s="91"/>
      <c r="H155" s="128"/>
      <c r="I155" s="91"/>
      <c r="J155" s="91"/>
      <c r="K155" s="91"/>
    </row>
    <row r="156" ht="18.75" customHeight="1">
      <c r="E156" s="129"/>
      <c r="G156" s="91"/>
      <c r="H156" s="128"/>
      <c r="I156" s="91"/>
      <c r="J156" s="91"/>
      <c r="K156" s="91"/>
    </row>
    <row r="157" ht="18.75" customHeight="1">
      <c r="E157" s="129"/>
      <c r="G157" s="91"/>
      <c r="H157" s="128"/>
      <c r="I157" s="91"/>
      <c r="J157" s="91"/>
      <c r="K157" s="91"/>
    </row>
    <row r="158" ht="18.75" customHeight="1">
      <c r="E158" s="129"/>
      <c r="G158" s="91"/>
      <c r="H158" s="128"/>
      <c r="I158" s="91"/>
      <c r="J158" s="91"/>
      <c r="K158" s="91"/>
    </row>
    <row r="159" ht="18.75" customHeight="1">
      <c r="E159" s="129"/>
      <c r="G159" s="91"/>
      <c r="H159" s="128"/>
      <c r="I159" s="91"/>
      <c r="J159" s="91"/>
      <c r="K159" s="91"/>
    </row>
    <row r="160" ht="18.75" customHeight="1">
      <c r="E160" s="129"/>
      <c r="G160" s="91"/>
      <c r="H160" s="128"/>
      <c r="I160" s="91"/>
      <c r="J160" s="91"/>
      <c r="K160" s="91"/>
    </row>
    <row r="161" ht="18.75" customHeight="1">
      <c r="E161" s="129"/>
      <c r="G161" s="91"/>
      <c r="H161" s="128"/>
      <c r="I161" s="91"/>
      <c r="J161" s="91"/>
      <c r="K161" s="91"/>
    </row>
    <row r="162" ht="18.75" customHeight="1">
      <c r="E162" s="129"/>
      <c r="G162" s="91"/>
      <c r="H162" s="128"/>
      <c r="I162" s="91"/>
      <c r="J162" s="91"/>
      <c r="K162" s="91"/>
    </row>
    <row r="163" ht="18.75" customHeight="1">
      <c r="E163" s="129"/>
      <c r="G163" s="91"/>
      <c r="H163" s="128"/>
      <c r="I163" s="91"/>
      <c r="J163" s="91"/>
      <c r="K163" s="91"/>
    </row>
    <row r="164" ht="18.75" customHeight="1">
      <c r="E164" s="129"/>
      <c r="G164" s="91"/>
      <c r="H164" s="128"/>
      <c r="I164" s="91"/>
      <c r="J164" s="91"/>
      <c r="K164" s="91"/>
    </row>
    <row r="165" ht="18.75" customHeight="1">
      <c r="E165" s="129"/>
      <c r="G165" s="91"/>
      <c r="H165" s="128"/>
      <c r="I165" s="91"/>
      <c r="J165" s="91"/>
      <c r="K165" s="91"/>
    </row>
    <row r="166" ht="18.75" customHeight="1">
      <c r="E166" s="129"/>
      <c r="G166" s="91"/>
      <c r="H166" s="128"/>
      <c r="I166" s="91"/>
      <c r="J166" s="91"/>
      <c r="K166" s="91"/>
    </row>
    <row r="167" ht="18.75" customHeight="1">
      <c r="E167" s="129"/>
      <c r="G167" s="91"/>
      <c r="H167" s="128"/>
      <c r="I167" s="91"/>
      <c r="J167" s="91"/>
      <c r="K167" s="91"/>
    </row>
    <row r="168" ht="18.75" customHeight="1">
      <c r="E168" s="129"/>
      <c r="G168" s="91"/>
      <c r="H168" s="128"/>
      <c r="I168" s="91"/>
      <c r="J168" s="91"/>
      <c r="K168" s="91"/>
    </row>
    <row r="169" ht="18.75" customHeight="1">
      <c r="E169" s="129"/>
      <c r="G169" s="91"/>
      <c r="H169" s="128"/>
      <c r="I169" s="91"/>
      <c r="J169" s="91"/>
      <c r="K169" s="91"/>
    </row>
    <row r="170" ht="18.75" customHeight="1">
      <c r="E170" s="129"/>
      <c r="G170" s="91"/>
      <c r="H170" s="128"/>
      <c r="I170" s="91"/>
      <c r="J170" s="91"/>
      <c r="K170" s="91"/>
    </row>
    <row r="171" ht="18.75" customHeight="1">
      <c r="E171" s="129"/>
      <c r="G171" s="91"/>
      <c r="H171" s="128"/>
      <c r="I171" s="91"/>
      <c r="J171" s="91"/>
      <c r="K171" s="91"/>
    </row>
    <row r="172" ht="18.75" customHeight="1">
      <c r="E172" s="129"/>
      <c r="G172" s="91"/>
      <c r="H172" s="128"/>
      <c r="I172" s="91"/>
      <c r="J172" s="91"/>
      <c r="K172" s="91"/>
    </row>
    <row r="173" ht="18.75" customHeight="1">
      <c r="E173" s="129"/>
      <c r="G173" s="91"/>
      <c r="H173" s="128"/>
      <c r="I173" s="91"/>
      <c r="J173" s="91"/>
      <c r="K173" s="91"/>
    </row>
    <row r="174" ht="18.75" customHeight="1">
      <c r="E174" s="129"/>
      <c r="G174" s="91"/>
      <c r="H174" s="128"/>
      <c r="I174" s="91"/>
      <c r="J174" s="91"/>
      <c r="K174" s="91"/>
    </row>
    <row r="175" ht="18.75" customHeight="1">
      <c r="E175" s="129"/>
      <c r="G175" s="91"/>
      <c r="H175" s="128"/>
      <c r="I175" s="91"/>
      <c r="J175" s="91"/>
      <c r="K175" s="91"/>
    </row>
    <row r="176" ht="18.75" customHeight="1">
      <c r="E176" s="129"/>
      <c r="G176" s="91"/>
      <c r="H176" s="128"/>
      <c r="I176" s="91"/>
      <c r="J176" s="91"/>
      <c r="K176" s="91"/>
    </row>
    <row r="177" ht="18.75" customHeight="1">
      <c r="E177" s="129"/>
      <c r="G177" s="91"/>
      <c r="H177" s="128"/>
      <c r="I177" s="91"/>
      <c r="J177" s="91"/>
      <c r="K177" s="91"/>
    </row>
    <row r="178" ht="18.75" customHeight="1">
      <c r="E178" s="129"/>
      <c r="G178" s="91"/>
      <c r="H178" s="128"/>
      <c r="I178" s="91"/>
      <c r="J178" s="91"/>
      <c r="K178" s="91"/>
    </row>
    <row r="179" ht="18.75" customHeight="1">
      <c r="E179" s="129"/>
      <c r="G179" s="91"/>
      <c r="H179" s="128"/>
      <c r="I179" s="91"/>
      <c r="J179" s="91"/>
      <c r="K179" s="91"/>
    </row>
    <row r="180" ht="18.75" customHeight="1">
      <c r="E180" s="129"/>
      <c r="G180" s="91"/>
      <c r="H180" s="128"/>
      <c r="I180" s="91"/>
      <c r="J180" s="91"/>
      <c r="K180" s="91"/>
    </row>
    <row r="181" ht="18.75" customHeight="1">
      <c r="E181" s="129"/>
      <c r="G181" s="91"/>
      <c r="H181" s="128"/>
      <c r="I181" s="91"/>
      <c r="J181" s="91"/>
      <c r="K181" s="91"/>
    </row>
    <row r="182" ht="18.75" customHeight="1">
      <c r="E182" s="129"/>
      <c r="G182" s="91"/>
      <c r="H182" s="128"/>
      <c r="I182" s="91"/>
      <c r="J182" s="91"/>
      <c r="K182" s="91"/>
    </row>
    <row r="183" ht="18.75" customHeight="1">
      <c r="E183" s="129"/>
      <c r="G183" s="91"/>
      <c r="H183" s="128"/>
      <c r="I183" s="91"/>
      <c r="J183" s="91"/>
      <c r="K183" s="91"/>
    </row>
    <row r="184" ht="18.75" customHeight="1">
      <c r="E184" s="129"/>
      <c r="G184" s="91"/>
      <c r="H184" s="128"/>
      <c r="I184" s="91"/>
      <c r="J184" s="91"/>
      <c r="K184" s="91"/>
    </row>
    <row r="185" ht="18.75" customHeight="1">
      <c r="E185" s="129"/>
      <c r="G185" s="91"/>
      <c r="H185" s="128"/>
      <c r="I185" s="91"/>
      <c r="J185" s="91"/>
      <c r="K185" s="91"/>
    </row>
    <row r="186" ht="18.75" customHeight="1">
      <c r="E186" s="129"/>
      <c r="G186" s="91"/>
      <c r="H186" s="128"/>
      <c r="I186" s="91"/>
      <c r="J186" s="91"/>
      <c r="K186" s="91"/>
    </row>
    <row r="187" ht="18.75" customHeight="1">
      <c r="E187" s="129"/>
      <c r="G187" s="91"/>
      <c r="H187" s="128"/>
      <c r="I187" s="91"/>
      <c r="J187" s="91"/>
      <c r="K187" s="91"/>
    </row>
    <row r="188" ht="18.75" customHeight="1">
      <c r="E188" s="129"/>
      <c r="G188" s="91"/>
      <c r="H188" s="128"/>
      <c r="I188" s="91"/>
      <c r="J188" s="91"/>
      <c r="K188" s="91"/>
    </row>
    <row r="189" ht="18.75" customHeight="1">
      <c r="E189" s="129"/>
      <c r="G189" s="91"/>
      <c r="H189" s="128"/>
      <c r="I189" s="91"/>
      <c r="J189" s="91"/>
      <c r="K189" s="91"/>
    </row>
    <row r="190" ht="18.75" customHeight="1">
      <c r="E190" s="129"/>
      <c r="G190" s="91"/>
      <c r="H190" s="128"/>
      <c r="I190" s="91"/>
      <c r="J190" s="91"/>
      <c r="K190" s="91"/>
    </row>
    <row r="191" ht="18.75" customHeight="1">
      <c r="E191" s="129"/>
      <c r="G191" s="91"/>
      <c r="H191" s="128"/>
      <c r="I191" s="91"/>
      <c r="J191" s="91"/>
      <c r="K191" s="91"/>
    </row>
    <row r="192" ht="18.75" customHeight="1">
      <c r="E192" s="129"/>
      <c r="G192" s="91"/>
      <c r="H192" s="128"/>
      <c r="I192" s="91"/>
      <c r="J192" s="91"/>
      <c r="K192" s="91"/>
    </row>
    <row r="193" ht="18.75" customHeight="1">
      <c r="E193" s="129"/>
      <c r="G193" s="91"/>
      <c r="H193" s="128"/>
      <c r="I193" s="91"/>
      <c r="J193" s="91"/>
      <c r="K193" s="91"/>
    </row>
    <row r="194" ht="18.75" customHeight="1">
      <c r="E194" s="129"/>
      <c r="G194" s="91"/>
      <c r="H194" s="128"/>
      <c r="I194" s="91"/>
      <c r="J194" s="91"/>
      <c r="K194" s="91"/>
    </row>
    <row r="195" ht="18.75" customHeight="1">
      <c r="E195" s="129"/>
      <c r="G195" s="91"/>
      <c r="H195" s="128"/>
      <c r="I195" s="91"/>
      <c r="J195" s="91"/>
      <c r="K195" s="91"/>
    </row>
    <row r="196" ht="18.75" customHeight="1">
      <c r="E196" s="129"/>
      <c r="G196" s="91"/>
      <c r="H196" s="128"/>
      <c r="I196" s="91"/>
      <c r="J196" s="91"/>
      <c r="K196" s="91"/>
    </row>
    <row r="197" ht="18.75" customHeight="1">
      <c r="E197" s="129"/>
      <c r="G197" s="91"/>
      <c r="H197" s="128"/>
      <c r="I197" s="91"/>
      <c r="J197" s="91"/>
      <c r="K197" s="91"/>
    </row>
    <row r="198" ht="18.75" customHeight="1">
      <c r="E198" s="129"/>
      <c r="G198" s="91"/>
      <c r="H198" s="128"/>
      <c r="I198" s="91"/>
      <c r="J198" s="91"/>
      <c r="K198" s="91"/>
    </row>
    <row r="199" ht="18.75" customHeight="1">
      <c r="E199" s="129"/>
      <c r="G199" s="91"/>
      <c r="H199" s="128"/>
      <c r="I199" s="91"/>
      <c r="J199" s="91"/>
      <c r="K199" s="91"/>
    </row>
    <row r="200" ht="18.75" customHeight="1">
      <c r="E200" s="129"/>
      <c r="H200" s="129"/>
    </row>
    <row r="201" ht="18.75" customHeight="1">
      <c r="E201" s="129"/>
      <c r="H201" s="129"/>
    </row>
    <row r="202" ht="18.75" customHeight="1">
      <c r="E202" s="129"/>
      <c r="H202" s="129"/>
    </row>
    <row r="203" ht="18.75" customHeight="1">
      <c r="E203" s="129"/>
      <c r="H203" s="129"/>
    </row>
    <row r="204" ht="18.75" customHeight="1">
      <c r="E204" s="129"/>
      <c r="H204" s="129"/>
    </row>
    <row r="205" ht="18.75" customHeight="1">
      <c r="E205" s="129"/>
      <c r="H205" s="129"/>
    </row>
    <row r="206" ht="18.75" customHeight="1">
      <c r="E206" s="129"/>
      <c r="H206" s="129"/>
    </row>
    <row r="207" ht="18.75" customHeight="1">
      <c r="E207" s="129"/>
      <c r="H207" s="129"/>
    </row>
    <row r="208" ht="18.75" customHeight="1">
      <c r="E208" s="129"/>
      <c r="H208" s="129"/>
    </row>
    <row r="209" ht="18.75" customHeight="1">
      <c r="E209" s="129"/>
      <c r="H209" s="129"/>
    </row>
    <row r="210" ht="18.75" customHeight="1">
      <c r="E210" s="129"/>
      <c r="H210" s="129"/>
    </row>
    <row r="211" ht="18.75" customHeight="1">
      <c r="E211" s="129"/>
      <c r="H211" s="129"/>
    </row>
    <row r="212" ht="18.75" customHeight="1">
      <c r="E212" s="129"/>
      <c r="H212" s="129"/>
    </row>
    <row r="213" ht="18.75" customHeight="1">
      <c r="E213" s="129"/>
      <c r="H213" s="129"/>
    </row>
    <row r="214" ht="18.75" customHeight="1">
      <c r="E214" s="129"/>
      <c r="H214" s="129"/>
    </row>
    <row r="215" ht="18.75" customHeight="1">
      <c r="E215" s="129"/>
      <c r="H215" s="129"/>
    </row>
    <row r="216" ht="18.75" customHeight="1">
      <c r="E216" s="129"/>
      <c r="H216" s="129"/>
    </row>
    <row r="217" ht="18.75" customHeight="1">
      <c r="E217" s="129"/>
      <c r="H217" s="129"/>
    </row>
    <row r="218" ht="18.75" customHeight="1">
      <c r="E218" s="129"/>
      <c r="H218" s="129"/>
    </row>
    <row r="219" ht="18.75" customHeight="1">
      <c r="E219" s="129"/>
      <c r="H219" s="129"/>
    </row>
    <row r="220" ht="18.75" customHeight="1">
      <c r="E220" s="129"/>
      <c r="H220" s="129"/>
    </row>
    <row r="221" ht="18.75" customHeight="1">
      <c r="E221" s="129"/>
      <c r="H221" s="129"/>
    </row>
    <row r="222" ht="18.75" customHeight="1">
      <c r="E222" s="129"/>
      <c r="H222" s="129"/>
    </row>
    <row r="223" ht="18.75" customHeight="1">
      <c r="E223" s="129"/>
      <c r="H223" s="129"/>
    </row>
    <row r="224" ht="18.75" customHeight="1">
      <c r="E224" s="129"/>
      <c r="H224" s="129"/>
    </row>
    <row r="225" ht="18.75" customHeight="1">
      <c r="E225" s="129"/>
      <c r="H225" s="129"/>
    </row>
    <row r="226" ht="18.75" customHeight="1">
      <c r="E226" s="129"/>
      <c r="H226" s="129"/>
    </row>
    <row r="227" ht="18.75" customHeight="1">
      <c r="E227" s="129"/>
      <c r="H227" s="129"/>
    </row>
    <row r="228" ht="18.75" customHeight="1">
      <c r="E228" s="129"/>
      <c r="H228" s="129"/>
    </row>
    <row r="229" ht="18.75" customHeight="1">
      <c r="E229" s="129"/>
      <c r="H229" s="129"/>
    </row>
    <row r="230" ht="18.75" customHeight="1">
      <c r="E230" s="129"/>
      <c r="H230" s="129"/>
    </row>
    <row r="231" ht="18.75" customHeight="1">
      <c r="E231" s="129"/>
      <c r="H231" s="129"/>
    </row>
    <row r="232" ht="18.75" customHeight="1">
      <c r="E232" s="129"/>
      <c r="H232" s="129"/>
    </row>
    <row r="233" ht="18.75" customHeight="1">
      <c r="E233" s="129"/>
      <c r="H233" s="129"/>
    </row>
    <row r="234" ht="18.75" customHeight="1">
      <c r="E234" s="129"/>
      <c r="H234" s="129"/>
    </row>
    <row r="235" ht="18.75" customHeight="1">
      <c r="E235" s="129"/>
      <c r="H235" s="129"/>
    </row>
    <row r="236" ht="18.75" customHeight="1">
      <c r="E236" s="129"/>
      <c r="H236" s="129"/>
    </row>
    <row r="237" ht="18.75" customHeight="1">
      <c r="E237" s="129"/>
      <c r="H237" s="129"/>
    </row>
    <row r="238" ht="18.75" customHeight="1">
      <c r="E238" s="129"/>
      <c r="H238" s="129"/>
    </row>
    <row r="239" ht="18.75" customHeight="1">
      <c r="E239" s="129"/>
      <c r="H239" s="129"/>
    </row>
    <row r="240" ht="18.75" customHeight="1">
      <c r="E240" s="129"/>
      <c r="H240" s="129"/>
    </row>
    <row r="241" ht="18.75" customHeight="1">
      <c r="E241" s="129"/>
      <c r="H241" s="129"/>
    </row>
    <row r="242" ht="18.75" customHeight="1">
      <c r="E242" s="129"/>
      <c r="H242" s="129"/>
    </row>
    <row r="243" ht="18.75" customHeight="1">
      <c r="E243" s="129"/>
      <c r="H243" s="129"/>
    </row>
    <row r="244" ht="18.75" customHeight="1">
      <c r="E244" s="129"/>
      <c r="H244" s="129"/>
    </row>
    <row r="245" ht="18.75" customHeight="1">
      <c r="E245" s="129"/>
      <c r="H245" s="129"/>
    </row>
    <row r="246" ht="18.75" customHeight="1">
      <c r="E246" s="129"/>
      <c r="H246" s="129"/>
    </row>
    <row r="247" ht="18.75" customHeight="1">
      <c r="E247" s="129"/>
      <c r="H247" s="129"/>
    </row>
    <row r="248" ht="18.75" customHeight="1">
      <c r="E248" s="129"/>
      <c r="H248" s="129"/>
    </row>
    <row r="249" ht="18.75" customHeight="1">
      <c r="E249" s="129"/>
      <c r="H249" s="129"/>
    </row>
    <row r="250" ht="18.75" customHeight="1">
      <c r="E250" s="129"/>
      <c r="H250" s="129"/>
    </row>
    <row r="251" ht="18.75" customHeight="1">
      <c r="E251" s="129"/>
      <c r="H251" s="129"/>
    </row>
    <row r="252" ht="18.75" customHeight="1">
      <c r="E252" s="129"/>
      <c r="H252" s="129"/>
    </row>
    <row r="253" ht="18.75" customHeight="1">
      <c r="E253" s="129"/>
      <c r="H253" s="129"/>
    </row>
    <row r="254" ht="18.75" customHeight="1">
      <c r="E254" s="129"/>
      <c r="H254" s="129"/>
    </row>
    <row r="255" ht="18.75" customHeight="1">
      <c r="E255" s="129"/>
      <c r="H255" s="129"/>
    </row>
    <row r="256" ht="18.75" customHeight="1">
      <c r="E256" s="129"/>
      <c r="H256" s="129"/>
    </row>
    <row r="257" ht="18.75" customHeight="1">
      <c r="E257" s="129"/>
      <c r="H257" s="129"/>
    </row>
    <row r="258" ht="18.75" customHeight="1">
      <c r="E258" s="129"/>
      <c r="H258" s="129"/>
    </row>
    <row r="259" ht="18.75" customHeight="1">
      <c r="E259" s="129"/>
      <c r="H259" s="129"/>
    </row>
    <row r="260" ht="18.75" customHeight="1">
      <c r="E260" s="129"/>
      <c r="H260" s="129"/>
    </row>
    <row r="261" ht="18.75" customHeight="1">
      <c r="E261" s="129"/>
      <c r="H261" s="129"/>
    </row>
    <row r="262" ht="18.75" customHeight="1">
      <c r="E262" s="129"/>
      <c r="H262" s="129"/>
    </row>
    <row r="263" ht="18.75" customHeight="1">
      <c r="E263" s="129"/>
      <c r="H263" s="129"/>
    </row>
    <row r="264" ht="18.75" customHeight="1">
      <c r="E264" s="129"/>
      <c r="H264" s="129"/>
    </row>
    <row r="265" ht="18.75" customHeight="1">
      <c r="E265" s="129"/>
      <c r="H265" s="129"/>
    </row>
    <row r="266" ht="18.75" customHeight="1">
      <c r="E266" s="129"/>
      <c r="H266" s="129"/>
    </row>
    <row r="267" ht="18.75" customHeight="1">
      <c r="E267" s="129"/>
      <c r="H267" s="129"/>
    </row>
    <row r="268" ht="18.75" customHeight="1">
      <c r="E268" s="129"/>
      <c r="H268" s="129"/>
    </row>
    <row r="269" ht="18.75" customHeight="1">
      <c r="E269" s="129"/>
      <c r="H269" s="129"/>
    </row>
    <row r="270" ht="18.75" customHeight="1">
      <c r="E270" s="129"/>
      <c r="H270" s="129"/>
    </row>
    <row r="271" ht="18.75" customHeight="1">
      <c r="E271" s="129"/>
      <c r="H271" s="129"/>
    </row>
    <row r="272" ht="18.75" customHeight="1">
      <c r="E272" s="129"/>
      <c r="H272" s="129"/>
    </row>
    <row r="273" ht="18.75" customHeight="1">
      <c r="E273" s="129"/>
      <c r="H273" s="129"/>
    </row>
    <row r="274" ht="18.75" customHeight="1">
      <c r="E274" s="129"/>
      <c r="H274" s="129"/>
    </row>
    <row r="275" ht="18.75" customHeight="1">
      <c r="E275" s="129"/>
      <c r="H275" s="129"/>
    </row>
    <row r="276" ht="18.75" customHeight="1">
      <c r="E276" s="129"/>
      <c r="H276" s="129"/>
    </row>
    <row r="277" ht="18.75" customHeight="1">
      <c r="E277" s="129"/>
      <c r="H277" s="129"/>
    </row>
    <row r="278" ht="18.75" customHeight="1">
      <c r="E278" s="129"/>
      <c r="H278" s="129"/>
    </row>
    <row r="279" ht="18.75" customHeight="1">
      <c r="E279" s="129"/>
      <c r="H279" s="129"/>
    </row>
    <row r="280" ht="18.75" customHeight="1">
      <c r="E280" s="129"/>
      <c r="H280" s="129"/>
    </row>
    <row r="281" ht="18.75" customHeight="1">
      <c r="E281" s="129"/>
      <c r="H281" s="129"/>
    </row>
    <row r="282" ht="18.75" customHeight="1">
      <c r="E282" s="129"/>
      <c r="H282" s="129"/>
    </row>
    <row r="283" ht="18.75" customHeight="1">
      <c r="E283" s="129"/>
      <c r="H283" s="129"/>
    </row>
    <row r="284" ht="18.75" customHeight="1">
      <c r="E284" s="129"/>
      <c r="H284" s="129"/>
    </row>
    <row r="285" ht="18.75" customHeight="1">
      <c r="E285" s="129"/>
      <c r="H285" s="129"/>
    </row>
    <row r="286" ht="18.75" customHeight="1">
      <c r="E286" s="129"/>
      <c r="H286" s="129"/>
    </row>
    <row r="287" ht="18.75" customHeight="1">
      <c r="E287" s="129"/>
      <c r="H287" s="129"/>
    </row>
    <row r="288" ht="18.75" customHeight="1">
      <c r="E288" s="129"/>
      <c r="H288" s="129"/>
    </row>
    <row r="289" ht="18.75" customHeight="1">
      <c r="E289" s="129"/>
      <c r="H289" s="129"/>
    </row>
    <row r="290" ht="18.75" customHeight="1">
      <c r="E290" s="129"/>
      <c r="H290" s="129"/>
    </row>
    <row r="291" ht="18.75" customHeight="1">
      <c r="E291" s="129"/>
      <c r="H291" s="129"/>
    </row>
    <row r="292" ht="18.75" customHeight="1">
      <c r="E292" s="129"/>
      <c r="H292" s="129"/>
    </row>
    <row r="293" ht="18.75" customHeight="1">
      <c r="E293" s="129"/>
      <c r="H293" s="129"/>
    </row>
    <row r="294" ht="18.75" customHeight="1">
      <c r="E294" s="129"/>
      <c r="H294" s="129"/>
    </row>
    <row r="295" ht="18.75" customHeight="1">
      <c r="E295" s="129"/>
      <c r="H295" s="129"/>
    </row>
    <row r="296" ht="18.75" customHeight="1">
      <c r="E296" s="129"/>
      <c r="H296" s="129"/>
    </row>
    <row r="297" ht="18.75" customHeight="1">
      <c r="E297" s="129"/>
      <c r="H297" s="129"/>
    </row>
    <row r="298" ht="18.75" customHeight="1">
      <c r="E298" s="129"/>
      <c r="H298" s="129"/>
    </row>
    <row r="299" ht="18.75" customHeight="1">
      <c r="E299" s="129"/>
      <c r="H299" s="129"/>
    </row>
    <row r="300" ht="18.75" customHeight="1">
      <c r="E300" s="129"/>
      <c r="H300" s="129"/>
    </row>
    <row r="301" ht="18.75" customHeight="1">
      <c r="E301" s="129"/>
      <c r="H301" s="129"/>
    </row>
    <row r="302" ht="18.75" customHeight="1">
      <c r="E302" s="129"/>
      <c r="H302" s="129"/>
    </row>
    <row r="303" ht="18.75" customHeight="1">
      <c r="E303" s="129"/>
      <c r="H303" s="129"/>
    </row>
    <row r="304" ht="18.75" customHeight="1">
      <c r="E304" s="129"/>
      <c r="H304" s="129"/>
    </row>
    <row r="305" ht="18.75" customHeight="1">
      <c r="E305" s="129"/>
      <c r="H305" s="129"/>
    </row>
    <row r="306" ht="18.75" customHeight="1">
      <c r="E306" s="129"/>
      <c r="H306" s="129"/>
    </row>
    <row r="307" ht="18.75" customHeight="1">
      <c r="E307" s="129"/>
      <c r="H307" s="129"/>
    </row>
    <row r="308" ht="18.75" customHeight="1">
      <c r="E308" s="129"/>
      <c r="H308" s="129"/>
    </row>
    <row r="309" ht="18.75" customHeight="1">
      <c r="E309" s="129"/>
      <c r="H309" s="129"/>
    </row>
    <row r="310" ht="18.75" customHeight="1">
      <c r="E310" s="129"/>
      <c r="H310" s="129"/>
    </row>
    <row r="311" ht="18.75" customHeight="1">
      <c r="E311" s="129"/>
      <c r="H311" s="129"/>
    </row>
    <row r="312" ht="18.75" customHeight="1">
      <c r="E312" s="129"/>
      <c r="H312" s="129"/>
    </row>
    <row r="313" ht="18.75" customHeight="1">
      <c r="E313" s="129"/>
      <c r="H313" s="129"/>
    </row>
    <row r="314" ht="18.75" customHeight="1">
      <c r="E314" s="129"/>
      <c r="H314" s="129"/>
    </row>
    <row r="315" ht="18.75" customHeight="1">
      <c r="E315" s="129"/>
      <c r="H315" s="129"/>
    </row>
    <row r="316" ht="18.75" customHeight="1">
      <c r="E316" s="129"/>
      <c r="H316" s="129"/>
    </row>
    <row r="317" ht="18.75" customHeight="1">
      <c r="E317" s="129"/>
      <c r="H317" s="129"/>
    </row>
    <row r="318" ht="18.75" customHeight="1">
      <c r="E318" s="129"/>
      <c r="H318" s="129"/>
    </row>
    <row r="319" ht="18.75" customHeight="1">
      <c r="E319" s="129"/>
      <c r="H319" s="129"/>
    </row>
    <row r="320" ht="18.75" customHeight="1">
      <c r="E320" s="129"/>
      <c r="H320" s="129"/>
    </row>
    <row r="321" ht="18.75" customHeight="1">
      <c r="E321" s="129"/>
      <c r="H321" s="129"/>
    </row>
    <row r="322" ht="18.75" customHeight="1">
      <c r="E322" s="129"/>
      <c r="H322" s="129"/>
    </row>
    <row r="323" ht="18.75" customHeight="1">
      <c r="E323" s="129"/>
      <c r="H323" s="129"/>
    </row>
    <row r="324" ht="18.75" customHeight="1">
      <c r="E324" s="129"/>
      <c r="H324" s="129"/>
    </row>
    <row r="325" ht="18.75" customHeight="1">
      <c r="E325" s="129"/>
      <c r="H325" s="129"/>
    </row>
    <row r="326" ht="18.75" customHeight="1">
      <c r="E326" s="129"/>
      <c r="H326" s="129"/>
    </row>
    <row r="327" ht="18.75" customHeight="1">
      <c r="E327" s="129"/>
      <c r="H327" s="129"/>
    </row>
    <row r="328" ht="18.75" customHeight="1">
      <c r="E328" s="129"/>
      <c r="H328" s="129"/>
    </row>
    <row r="329" ht="18.75" customHeight="1">
      <c r="E329" s="129"/>
      <c r="H329" s="129"/>
    </row>
    <row r="330" ht="18.75" customHeight="1">
      <c r="E330" s="129"/>
      <c r="H330" s="129"/>
    </row>
    <row r="331" ht="18.75" customHeight="1">
      <c r="E331" s="129"/>
      <c r="H331" s="129"/>
    </row>
    <row r="332" ht="18.75" customHeight="1">
      <c r="E332" s="129"/>
      <c r="H332" s="129"/>
    </row>
    <row r="333" ht="18.75" customHeight="1">
      <c r="E333" s="129"/>
      <c r="H333" s="129"/>
    </row>
    <row r="334" ht="18.75" customHeight="1">
      <c r="E334" s="129"/>
      <c r="H334" s="129"/>
    </row>
    <row r="335" ht="18.75" customHeight="1">
      <c r="E335" s="129"/>
      <c r="H335" s="129"/>
    </row>
    <row r="336" ht="18.75" customHeight="1">
      <c r="E336" s="129"/>
      <c r="H336" s="129"/>
    </row>
    <row r="337" ht="18.75" customHeight="1">
      <c r="E337" s="129"/>
      <c r="H337" s="129"/>
    </row>
    <row r="338" ht="18.75" customHeight="1">
      <c r="E338" s="129"/>
      <c r="H338" s="129"/>
    </row>
    <row r="339" ht="18.75" customHeight="1">
      <c r="E339" s="129"/>
      <c r="H339" s="129"/>
    </row>
    <row r="340" ht="18.75" customHeight="1">
      <c r="E340" s="129"/>
      <c r="H340" s="129"/>
    </row>
    <row r="341" ht="18.75" customHeight="1">
      <c r="E341" s="129"/>
      <c r="H341" s="129"/>
    </row>
    <row r="342" ht="18.75" customHeight="1">
      <c r="E342" s="129"/>
      <c r="H342" s="129"/>
    </row>
    <row r="343" ht="18.75" customHeight="1">
      <c r="E343" s="129"/>
      <c r="H343" s="129"/>
    </row>
    <row r="344" ht="18.75" customHeight="1">
      <c r="E344" s="129"/>
      <c r="H344" s="129"/>
    </row>
    <row r="345" ht="18.75" customHeight="1">
      <c r="E345" s="129"/>
      <c r="H345" s="129"/>
    </row>
    <row r="346" ht="18.75" customHeight="1">
      <c r="E346" s="129"/>
      <c r="H346" s="129"/>
    </row>
    <row r="347" ht="18.75" customHeight="1">
      <c r="E347" s="129"/>
      <c r="H347" s="129"/>
    </row>
    <row r="348" ht="18.75" customHeight="1">
      <c r="E348" s="129"/>
      <c r="H348" s="129"/>
    </row>
    <row r="349" ht="18.75" customHeight="1">
      <c r="E349" s="129"/>
      <c r="H349" s="129"/>
    </row>
    <row r="350" ht="18.75" customHeight="1">
      <c r="E350" s="129"/>
      <c r="H350" s="129"/>
    </row>
    <row r="351" ht="18.75" customHeight="1">
      <c r="E351" s="129"/>
      <c r="H351" s="129"/>
    </row>
    <row r="352" ht="18.75" customHeight="1">
      <c r="E352" s="129"/>
      <c r="H352" s="129"/>
    </row>
    <row r="353" ht="18.75" customHeight="1">
      <c r="E353" s="129"/>
      <c r="H353" s="129"/>
    </row>
    <row r="354" ht="18.75" customHeight="1">
      <c r="E354" s="129"/>
      <c r="H354" s="129"/>
    </row>
    <row r="355" ht="18.75" customHeight="1">
      <c r="E355" s="129"/>
      <c r="H355" s="129"/>
    </row>
    <row r="356" ht="18.75" customHeight="1">
      <c r="E356" s="129"/>
      <c r="H356" s="129"/>
    </row>
    <row r="357" ht="18.75" customHeight="1">
      <c r="E357" s="129"/>
      <c r="H357" s="129"/>
    </row>
    <row r="358" ht="18.75" customHeight="1">
      <c r="E358" s="129"/>
      <c r="H358" s="129"/>
    </row>
    <row r="359" ht="18.75" customHeight="1">
      <c r="E359" s="129"/>
      <c r="H359" s="129"/>
    </row>
    <row r="360" ht="18.75" customHeight="1">
      <c r="E360" s="129"/>
      <c r="H360" s="129"/>
    </row>
    <row r="361" ht="18.75" customHeight="1">
      <c r="E361" s="129"/>
      <c r="H361" s="129"/>
    </row>
    <row r="362" ht="18.75" customHeight="1">
      <c r="E362" s="129"/>
      <c r="H362" s="129"/>
    </row>
    <row r="363" ht="18.75" customHeight="1">
      <c r="E363" s="129"/>
      <c r="H363" s="129"/>
    </row>
    <row r="364" ht="18.75" customHeight="1">
      <c r="E364" s="129"/>
      <c r="H364" s="129"/>
    </row>
    <row r="365" ht="18.75" customHeight="1">
      <c r="E365" s="129"/>
      <c r="H365" s="129"/>
    </row>
    <row r="366" ht="18.75" customHeight="1">
      <c r="E366" s="129"/>
      <c r="H366" s="129"/>
    </row>
    <row r="367" ht="18.75" customHeight="1">
      <c r="E367" s="129"/>
      <c r="H367" s="129"/>
    </row>
    <row r="368" ht="18.75" customHeight="1">
      <c r="E368" s="129"/>
      <c r="H368" s="129"/>
    </row>
    <row r="369" ht="18.75" customHeight="1">
      <c r="E369" s="129"/>
      <c r="H369" s="129"/>
    </row>
    <row r="370" ht="18.75" customHeight="1">
      <c r="E370" s="129"/>
      <c r="H370" s="129"/>
    </row>
    <row r="371" ht="18.75" customHeight="1">
      <c r="E371" s="129"/>
      <c r="H371" s="129"/>
    </row>
    <row r="372" ht="18.75" customHeight="1">
      <c r="E372" s="129"/>
      <c r="H372" s="129"/>
    </row>
    <row r="373" ht="18.75" customHeight="1">
      <c r="E373" s="129"/>
      <c r="H373" s="129"/>
    </row>
    <row r="374" ht="18.75" customHeight="1">
      <c r="E374" s="129"/>
      <c r="H374" s="129"/>
    </row>
    <row r="375" ht="18.75" customHeight="1">
      <c r="E375" s="129"/>
      <c r="H375" s="129"/>
    </row>
    <row r="376" ht="18.75" customHeight="1">
      <c r="E376" s="129"/>
      <c r="H376" s="129"/>
    </row>
    <row r="377" ht="18.75" customHeight="1">
      <c r="E377" s="129"/>
      <c r="H377" s="129"/>
    </row>
    <row r="378" ht="18.75" customHeight="1">
      <c r="E378" s="129"/>
      <c r="H378" s="129"/>
    </row>
    <row r="379" ht="18.75" customHeight="1">
      <c r="E379" s="129"/>
      <c r="H379" s="129"/>
    </row>
    <row r="380" ht="18.75" customHeight="1">
      <c r="E380" s="129"/>
      <c r="H380" s="129"/>
    </row>
    <row r="381" ht="18.75" customHeight="1">
      <c r="E381" s="129"/>
      <c r="H381" s="129"/>
    </row>
    <row r="382" ht="18.75" customHeight="1">
      <c r="E382" s="129"/>
      <c r="H382" s="129"/>
    </row>
    <row r="383" ht="18.75" customHeight="1">
      <c r="E383" s="129"/>
      <c r="H383" s="129"/>
    </row>
    <row r="384" ht="18.75" customHeight="1">
      <c r="E384" s="129"/>
      <c r="H384" s="129"/>
    </row>
    <row r="385" ht="18.75" customHeight="1">
      <c r="E385" s="129"/>
      <c r="H385" s="129"/>
    </row>
    <row r="386" ht="18.75" customHeight="1">
      <c r="E386" s="129"/>
      <c r="H386" s="129"/>
    </row>
    <row r="387" ht="18.75" customHeight="1">
      <c r="E387" s="129"/>
      <c r="H387" s="129"/>
    </row>
    <row r="388" ht="18.75" customHeight="1">
      <c r="E388" s="129"/>
      <c r="H388" s="129"/>
    </row>
    <row r="389" ht="18.75" customHeight="1">
      <c r="E389" s="129"/>
      <c r="H389" s="129"/>
    </row>
    <row r="390" ht="18.75" customHeight="1">
      <c r="E390" s="129"/>
      <c r="H390" s="129"/>
    </row>
    <row r="391" ht="18.75" customHeight="1">
      <c r="E391" s="129"/>
      <c r="H391" s="129"/>
    </row>
    <row r="392" ht="18.75" customHeight="1">
      <c r="E392" s="129"/>
      <c r="H392" s="129"/>
    </row>
    <row r="393" ht="18.75" customHeight="1">
      <c r="E393" s="129"/>
      <c r="H393" s="129"/>
    </row>
    <row r="394" ht="18.75" customHeight="1">
      <c r="E394" s="129"/>
      <c r="H394" s="129"/>
    </row>
    <row r="395" ht="18.75" customHeight="1">
      <c r="E395" s="129"/>
      <c r="H395" s="129"/>
    </row>
    <row r="396" ht="18.75" customHeight="1">
      <c r="E396" s="129"/>
      <c r="H396" s="129"/>
    </row>
    <row r="397" ht="18.75" customHeight="1">
      <c r="E397" s="129"/>
      <c r="H397" s="129"/>
    </row>
    <row r="398" ht="18.75" customHeight="1">
      <c r="E398" s="129"/>
      <c r="H398" s="129"/>
    </row>
    <row r="399" ht="18.75" customHeight="1">
      <c r="E399" s="129"/>
      <c r="H399" s="129"/>
    </row>
    <row r="400" ht="18.75" customHeight="1">
      <c r="E400" s="129"/>
      <c r="H400" s="129"/>
    </row>
    <row r="401" ht="18.75" customHeight="1">
      <c r="E401" s="129"/>
      <c r="H401" s="129"/>
    </row>
    <row r="402" ht="18.75" customHeight="1">
      <c r="E402" s="129"/>
      <c r="H402" s="129"/>
    </row>
    <row r="403" ht="18.75" customHeight="1">
      <c r="E403" s="129"/>
      <c r="H403" s="129"/>
    </row>
    <row r="404" ht="18.75" customHeight="1">
      <c r="E404" s="129"/>
      <c r="H404" s="129"/>
    </row>
    <row r="405" ht="18.75" customHeight="1">
      <c r="E405" s="129"/>
      <c r="H405" s="129"/>
    </row>
    <row r="406" ht="18.75" customHeight="1">
      <c r="E406" s="129"/>
      <c r="H406" s="129"/>
    </row>
    <row r="407" ht="18.75" customHeight="1">
      <c r="E407" s="129"/>
      <c r="H407" s="129"/>
    </row>
    <row r="408" ht="18.75" customHeight="1">
      <c r="E408" s="129"/>
      <c r="H408" s="129"/>
    </row>
    <row r="409" ht="18.75" customHeight="1">
      <c r="E409" s="129"/>
      <c r="H409" s="129"/>
    </row>
    <row r="410" ht="18.75" customHeight="1">
      <c r="E410" s="129"/>
      <c r="H410" s="129"/>
    </row>
    <row r="411" ht="18.75" customHeight="1">
      <c r="E411" s="129"/>
      <c r="H411" s="129"/>
    </row>
    <row r="412" ht="18.75" customHeight="1">
      <c r="E412" s="129"/>
      <c r="H412" s="129"/>
    </row>
    <row r="413" ht="18.75" customHeight="1">
      <c r="E413" s="129"/>
      <c r="H413" s="129"/>
    </row>
    <row r="414" ht="18.75" customHeight="1">
      <c r="E414" s="129"/>
      <c r="H414" s="129"/>
    </row>
    <row r="415" ht="18.75" customHeight="1">
      <c r="E415" s="129"/>
      <c r="H415" s="129"/>
    </row>
    <row r="416" ht="18.75" customHeight="1">
      <c r="E416" s="129"/>
      <c r="H416" s="129"/>
    </row>
    <row r="417" ht="18.75" customHeight="1">
      <c r="E417" s="129"/>
      <c r="H417" s="129"/>
    </row>
    <row r="418" ht="18.75" customHeight="1">
      <c r="E418" s="129"/>
      <c r="H418" s="129"/>
    </row>
    <row r="419" ht="18.75" customHeight="1">
      <c r="E419" s="129"/>
      <c r="H419" s="129"/>
    </row>
    <row r="420" ht="18.75" customHeight="1">
      <c r="E420" s="129"/>
      <c r="H420" s="129"/>
    </row>
    <row r="421" ht="18.75" customHeight="1">
      <c r="E421" s="129"/>
      <c r="H421" s="129"/>
    </row>
    <row r="422" ht="18.75" customHeight="1">
      <c r="E422" s="129"/>
      <c r="H422" s="129"/>
    </row>
    <row r="423" ht="18.75" customHeight="1">
      <c r="E423" s="129"/>
      <c r="H423" s="129"/>
    </row>
    <row r="424" ht="18.75" customHeight="1">
      <c r="E424" s="129"/>
      <c r="H424" s="129"/>
    </row>
    <row r="425" ht="18.75" customHeight="1">
      <c r="E425" s="129"/>
      <c r="H425" s="129"/>
    </row>
    <row r="426" ht="18.75" customHeight="1">
      <c r="E426" s="129"/>
      <c r="H426" s="129"/>
    </row>
    <row r="427" ht="18.75" customHeight="1">
      <c r="E427" s="129"/>
      <c r="H427" s="129"/>
    </row>
    <row r="428" ht="18.75" customHeight="1">
      <c r="E428" s="129"/>
      <c r="H428" s="129"/>
    </row>
    <row r="429" ht="18.75" customHeight="1">
      <c r="E429" s="129"/>
      <c r="H429" s="129"/>
    </row>
    <row r="430" ht="18.75" customHeight="1">
      <c r="E430" s="129"/>
      <c r="H430" s="129"/>
    </row>
    <row r="431" ht="18.75" customHeight="1">
      <c r="E431" s="129"/>
      <c r="H431" s="129"/>
    </row>
    <row r="432" ht="18.75" customHeight="1">
      <c r="E432" s="129"/>
      <c r="H432" s="129"/>
    </row>
    <row r="433" ht="18.75" customHeight="1">
      <c r="E433" s="129"/>
      <c r="H433" s="129"/>
    </row>
    <row r="434" ht="18.75" customHeight="1">
      <c r="E434" s="129"/>
      <c r="H434" s="129"/>
    </row>
    <row r="435" ht="18.75" customHeight="1">
      <c r="E435" s="129"/>
      <c r="H435" s="129"/>
    </row>
    <row r="436" ht="18.75" customHeight="1">
      <c r="E436" s="129"/>
      <c r="H436" s="129"/>
    </row>
    <row r="437" ht="18.75" customHeight="1">
      <c r="E437" s="129"/>
      <c r="H437" s="129"/>
    </row>
    <row r="438" ht="18.75" customHeight="1">
      <c r="E438" s="129"/>
      <c r="H438" s="129"/>
    </row>
    <row r="439" ht="18.75" customHeight="1">
      <c r="E439" s="129"/>
      <c r="H439" s="129"/>
    </row>
    <row r="440" ht="18.75" customHeight="1">
      <c r="E440" s="129"/>
      <c r="H440" s="129"/>
    </row>
    <row r="441" ht="18.75" customHeight="1">
      <c r="E441" s="129"/>
      <c r="H441" s="129"/>
    </row>
    <row r="442" ht="18.75" customHeight="1">
      <c r="E442" s="129"/>
      <c r="H442" s="129"/>
    </row>
    <row r="443" ht="18.75" customHeight="1">
      <c r="E443" s="129"/>
      <c r="H443" s="129"/>
    </row>
    <row r="444" ht="18.75" customHeight="1">
      <c r="E444" s="129"/>
      <c r="H444" s="129"/>
    </row>
    <row r="445" ht="18.75" customHeight="1">
      <c r="E445" s="129"/>
      <c r="H445" s="129"/>
    </row>
    <row r="446" ht="18.75" customHeight="1">
      <c r="E446" s="129"/>
      <c r="H446" s="129"/>
    </row>
    <row r="447" ht="18.75" customHeight="1">
      <c r="E447" s="129"/>
      <c r="H447" s="129"/>
    </row>
    <row r="448" ht="18.75" customHeight="1">
      <c r="E448" s="129"/>
      <c r="H448" s="129"/>
    </row>
    <row r="449" ht="18.75" customHeight="1">
      <c r="E449" s="129"/>
      <c r="H449" s="129"/>
    </row>
    <row r="450" ht="18.75" customHeight="1">
      <c r="E450" s="129"/>
      <c r="H450" s="129"/>
    </row>
    <row r="451" ht="18.75" customHeight="1">
      <c r="E451" s="129"/>
      <c r="H451" s="129"/>
    </row>
    <row r="452" ht="18.75" customHeight="1">
      <c r="E452" s="129"/>
      <c r="H452" s="129"/>
    </row>
    <row r="453" ht="18.75" customHeight="1">
      <c r="E453" s="129"/>
      <c r="H453" s="129"/>
    </row>
    <row r="454" ht="18.75" customHeight="1">
      <c r="E454" s="129"/>
      <c r="H454" s="129"/>
    </row>
    <row r="455" ht="18.75" customHeight="1">
      <c r="E455" s="129"/>
      <c r="H455" s="129"/>
    </row>
    <row r="456" ht="18.75" customHeight="1">
      <c r="E456" s="129"/>
      <c r="H456" s="129"/>
    </row>
    <row r="457" ht="18.75" customHeight="1">
      <c r="E457" s="129"/>
      <c r="H457" s="129"/>
    </row>
    <row r="458" ht="18.75" customHeight="1">
      <c r="E458" s="129"/>
      <c r="H458" s="129"/>
    </row>
    <row r="459" ht="18.75" customHeight="1">
      <c r="E459" s="129"/>
      <c r="H459" s="129"/>
    </row>
    <row r="460" ht="18.75" customHeight="1">
      <c r="E460" s="129"/>
      <c r="H460" s="129"/>
    </row>
    <row r="461" ht="18.75" customHeight="1">
      <c r="E461" s="129"/>
      <c r="H461" s="129"/>
    </row>
    <row r="462" ht="18.75" customHeight="1">
      <c r="E462" s="129"/>
      <c r="H462" s="129"/>
    </row>
    <row r="463" ht="18.75" customHeight="1">
      <c r="E463" s="129"/>
      <c r="H463" s="129"/>
    </row>
    <row r="464" ht="18.75" customHeight="1">
      <c r="E464" s="129"/>
      <c r="H464" s="129"/>
    </row>
    <row r="465" ht="18.75" customHeight="1">
      <c r="E465" s="129"/>
      <c r="H465" s="129"/>
    </row>
    <row r="466" ht="18.75" customHeight="1">
      <c r="E466" s="129"/>
      <c r="H466" s="129"/>
    </row>
    <row r="467" ht="18.75" customHeight="1">
      <c r="E467" s="129"/>
      <c r="H467" s="129"/>
    </row>
    <row r="468" ht="18.75" customHeight="1">
      <c r="E468" s="129"/>
      <c r="H468" s="129"/>
    </row>
    <row r="469" ht="18.75" customHeight="1">
      <c r="E469" s="129"/>
      <c r="H469" s="129"/>
    </row>
    <row r="470" ht="18.75" customHeight="1">
      <c r="E470" s="129"/>
      <c r="H470" s="129"/>
    </row>
    <row r="471" ht="18.75" customHeight="1">
      <c r="E471" s="129"/>
      <c r="H471" s="129"/>
    </row>
    <row r="472" ht="18.75" customHeight="1">
      <c r="E472" s="129"/>
      <c r="H472" s="129"/>
    </row>
    <row r="473" ht="18.75" customHeight="1">
      <c r="E473" s="129"/>
      <c r="H473" s="129"/>
    </row>
    <row r="474" ht="18.75" customHeight="1">
      <c r="E474" s="129"/>
      <c r="H474" s="129"/>
    </row>
    <row r="475" ht="18.75" customHeight="1">
      <c r="E475" s="129"/>
      <c r="H475" s="129"/>
    </row>
    <row r="476" ht="18.75" customHeight="1">
      <c r="E476" s="129"/>
      <c r="H476" s="129"/>
    </row>
    <row r="477" ht="18.75" customHeight="1">
      <c r="E477" s="129"/>
      <c r="H477" s="129"/>
    </row>
    <row r="478" ht="18.75" customHeight="1">
      <c r="E478" s="129"/>
      <c r="H478" s="129"/>
    </row>
    <row r="479" ht="18.75" customHeight="1">
      <c r="E479" s="129"/>
      <c r="H479" s="129"/>
    </row>
    <row r="480" ht="18.75" customHeight="1">
      <c r="E480" s="129"/>
      <c r="H480" s="129"/>
    </row>
    <row r="481" ht="18.75" customHeight="1">
      <c r="E481" s="129"/>
      <c r="H481" s="129"/>
    </row>
    <row r="482" ht="18.75" customHeight="1">
      <c r="E482" s="129"/>
      <c r="H482" s="129"/>
    </row>
    <row r="483" ht="18.75" customHeight="1">
      <c r="E483" s="129"/>
      <c r="H483" s="129"/>
    </row>
    <row r="484" ht="18.75" customHeight="1">
      <c r="E484" s="129"/>
      <c r="H484" s="129"/>
    </row>
    <row r="485" ht="18.75" customHeight="1">
      <c r="E485" s="129"/>
      <c r="H485" s="129"/>
    </row>
    <row r="486" ht="18.75" customHeight="1">
      <c r="E486" s="129"/>
      <c r="H486" s="129"/>
    </row>
    <row r="487" ht="18.75" customHeight="1">
      <c r="E487" s="129"/>
      <c r="H487" s="129"/>
    </row>
    <row r="488" ht="18.75" customHeight="1">
      <c r="E488" s="129"/>
      <c r="H488" s="129"/>
    </row>
    <row r="489" ht="18.75" customHeight="1">
      <c r="E489" s="129"/>
      <c r="H489" s="129"/>
    </row>
    <row r="490" ht="18.75" customHeight="1">
      <c r="E490" s="129"/>
      <c r="H490" s="129"/>
    </row>
    <row r="491" ht="18.75" customHeight="1">
      <c r="E491" s="129"/>
      <c r="H491" s="129"/>
    </row>
    <row r="492" ht="18.75" customHeight="1">
      <c r="E492" s="129"/>
      <c r="H492" s="129"/>
    </row>
    <row r="493" ht="18.75" customHeight="1">
      <c r="E493" s="129"/>
      <c r="H493" s="129"/>
    </row>
    <row r="494" ht="18.75" customHeight="1">
      <c r="E494" s="129"/>
      <c r="H494" s="129"/>
    </row>
    <row r="495" ht="18.75" customHeight="1">
      <c r="E495" s="129"/>
      <c r="H495" s="129"/>
    </row>
    <row r="496" ht="18.75" customHeight="1">
      <c r="E496" s="129"/>
      <c r="H496" s="129"/>
    </row>
    <row r="497" ht="18.75" customHeight="1">
      <c r="E497" s="129"/>
      <c r="H497" s="129"/>
    </row>
    <row r="498" ht="18.75" customHeight="1">
      <c r="E498" s="129"/>
      <c r="H498" s="129"/>
    </row>
    <row r="499" ht="18.75" customHeight="1">
      <c r="E499" s="129"/>
      <c r="H499" s="129"/>
    </row>
    <row r="500" ht="18.75" customHeight="1">
      <c r="E500" s="129"/>
      <c r="H500" s="129"/>
    </row>
    <row r="501" ht="18.75" customHeight="1">
      <c r="E501" s="129"/>
      <c r="H501" s="129"/>
    </row>
    <row r="502" ht="18.75" customHeight="1">
      <c r="E502" s="129"/>
      <c r="H502" s="129"/>
    </row>
    <row r="503" ht="18.75" customHeight="1">
      <c r="E503" s="129"/>
      <c r="H503" s="129"/>
    </row>
    <row r="504" ht="18.75" customHeight="1">
      <c r="E504" s="129"/>
      <c r="H504" s="129"/>
    </row>
    <row r="505" ht="18.75" customHeight="1">
      <c r="E505" s="129"/>
      <c r="H505" s="129"/>
    </row>
    <row r="506" ht="18.75" customHeight="1">
      <c r="E506" s="129"/>
      <c r="H506" s="129"/>
    </row>
    <row r="507" ht="18.75" customHeight="1">
      <c r="E507" s="129"/>
      <c r="H507" s="129"/>
    </row>
    <row r="508" ht="18.75" customHeight="1">
      <c r="E508" s="129"/>
      <c r="H508" s="129"/>
    </row>
    <row r="509" ht="18.75" customHeight="1">
      <c r="E509" s="129"/>
      <c r="H509" s="129"/>
    </row>
    <row r="510" ht="18.75" customHeight="1">
      <c r="E510" s="129"/>
      <c r="H510" s="129"/>
    </row>
    <row r="511" ht="18.75" customHeight="1">
      <c r="E511" s="129"/>
      <c r="H511" s="129"/>
    </row>
    <row r="512" ht="18.75" customHeight="1">
      <c r="E512" s="129"/>
      <c r="H512" s="129"/>
    </row>
    <row r="513" ht="18.75" customHeight="1">
      <c r="E513" s="129"/>
      <c r="H513" s="129"/>
    </row>
    <row r="514" ht="18.75" customHeight="1">
      <c r="E514" s="129"/>
      <c r="H514" s="129"/>
    </row>
    <row r="515" ht="18.75" customHeight="1">
      <c r="E515" s="129"/>
      <c r="H515" s="129"/>
    </row>
    <row r="516" ht="18.75" customHeight="1">
      <c r="E516" s="129"/>
      <c r="H516" s="129"/>
    </row>
    <row r="517" ht="18.75" customHeight="1">
      <c r="E517" s="129"/>
      <c r="H517" s="129"/>
    </row>
    <row r="518" ht="18.75" customHeight="1">
      <c r="E518" s="129"/>
      <c r="H518" s="129"/>
    </row>
    <row r="519" ht="18.75" customHeight="1">
      <c r="E519" s="129"/>
      <c r="H519" s="129"/>
    </row>
    <row r="520" ht="18.75" customHeight="1">
      <c r="E520" s="129"/>
      <c r="H520" s="129"/>
    </row>
    <row r="521" ht="18.75" customHeight="1">
      <c r="E521" s="129"/>
      <c r="H521" s="129"/>
    </row>
    <row r="522" ht="18.75" customHeight="1">
      <c r="E522" s="129"/>
      <c r="H522" s="129"/>
    </row>
    <row r="523" ht="18.75" customHeight="1">
      <c r="E523" s="129"/>
      <c r="H523" s="129"/>
    </row>
    <row r="524" ht="18.75" customHeight="1">
      <c r="E524" s="129"/>
      <c r="H524" s="129"/>
    </row>
    <row r="525" ht="18.75" customHeight="1">
      <c r="E525" s="129"/>
      <c r="H525" s="129"/>
    </row>
    <row r="526" ht="18.75" customHeight="1">
      <c r="E526" s="129"/>
      <c r="H526" s="129"/>
    </row>
    <row r="527" ht="18.75" customHeight="1">
      <c r="E527" s="129"/>
      <c r="H527" s="129"/>
    </row>
    <row r="528" ht="18.75" customHeight="1">
      <c r="E528" s="129"/>
      <c r="H528" s="129"/>
    </row>
    <row r="529" ht="18.75" customHeight="1">
      <c r="E529" s="129"/>
      <c r="H529" s="129"/>
    </row>
    <row r="530" ht="18.75" customHeight="1">
      <c r="E530" s="129"/>
      <c r="H530" s="129"/>
    </row>
    <row r="531" ht="18.75" customHeight="1">
      <c r="E531" s="129"/>
      <c r="H531" s="129"/>
    </row>
    <row r="532" ht="18.75" customHeight="1">
      <c r="E532" s="129"/>
      <c r="H532" s="129"/>
    </row>
    <row r="533" ht="18.75" customHeight="1">
      <c r="E533" s="129"/>
      <c r="H533" s="129"/>
    </row>
    <row r="534" ht="18.75" customHeight="1">
      <c r="E534" s="129"/>
      <c r="H534" s="129"/>
    </row>
    <row r="535" ht="18.75" customHeight="1">
      <c r="E535" s="129"/>
      <c r="H535" s="129"/>
    </row>
    <row r="536" ht="18.75" customHeight="1">
      <c r="E536" s="129"/>
      <c r="H536" s="129"/>
    </row>
    <row r="537" ht="18.75" customHeight="1">
      <c r="E537" s="129"/>
      <c r="H537" s="129"/>
    </row>
    <row r="538" ht="18.75" customHeight="1">
      <c r="E538" s="129"/>
      <c r="H538" s="129"/>
    </row>
    <row r="539" ht="18.75" customHeight="1">
      <c r="E539" s="129"/>
      <c r="H539" s="129"/>
    </row>
    <row r="540" ht="18.75" customHeight="1">
      <c r="E540" s="129"/>
      <c r="H540" s="129"/>
    </row>
    <row r="541" ht="18.75" customHeight="1">
      <c r="E541" s="129"/>
      <c r="H541" s="129"/>
    </row>
    <row r="542" ht="18.75" customHeight="1">
      <c r="E542" s="129"/>
      <c r="H542" s="129"/>
    </row>
    <row r="543" ht="18.75" customHeight="1">
      <c r="E543" s="129"/>
      <c r="H543" s="129"/>
    </row>
    <row r="544" ht="18.75" customHeight="1">
      <c r="E544" s="129"/>
      <c r="H544" s="129"/>
    </row>
    <row r="545" ht="18.75" customHeight="1">
      <c r="E545" s="129"/>
      <c r="H545" s="129"/>
    </row>
    <row r="546" ht="18.75" customHeight="1">
      <c r="E546" s="129"/>
      <c r="H546" s="129"/>
    </row>
    <row r="547" ht="18.75" customHeight="1">
      <c r="E547" s="129"/>
      <c r="H547" s="129"/>
    </row>
    <row r="548" ht="18.75" customHeight="1">
      <c r="E548" s="129"/>
      <c r="H548" s="129"/>
    </row>
    <row r="549" ht="18.75" customHeight="1">
      <c r="E549" s="129"/>
      <c r="H549" s="129"/>
    </row>
    <row r="550" ht="18.75" customHeight="1">
      <c r="E550" s="129"/>
      <c r="H550" s="129"/>
    </row>
    <row r="551" ht="18.75" customHeight="1">
      <c r="E551" s="129"/>
      <c r="H551" s="129"/>
    </row>
    <row r="552" ht="18.75" customHeight="1">
      <c r="E552" s="129"/>
      <c r="H552" s="129"/>
    </row>
    <row r="553" ht="18.75" customHeight="1">
      <c r="E553" s="129"/>
      <c r="H553" s="129"/>
    </row>
    <row r="554" ht="18.75" customHeight="1">
      <c r="E554" s="129"/>
      <c r="H554" s="129"/>
    </row>
    <row r="555" ht="18.75" customHeight="1">
      <c r="E555" s="129"/>
      <c r="H555" s="129"/>
    </row>
    <row r="556" ht="18.75" customHeight="1">
      <c r="E556" s="129"/>
      <c r="H556" s="129"/>
    </row>
    <row r="557" ht="18.75" customHeight="1">
      <c r="E557" s="129"/>
      <c r="H557" s="129"/>
    </row>
    <row r="558" ht="18.75" customHeight="1">
      <c r="E558" s="129"/>
      <c r="H558" s="129"/>
    </row>
    <row r="559" ht="18.75" customHeight="1">
      <c r="E559" s="129"/>
      <c r="H559" s="129"/>
    </row>
    <row r="560" ht="18.75" customHeight="1">
      <c r="E560" s="129"/>
      <c r="H560" s="129"/>
    </row>
    <row r="561" ht="18.75" customHeight="1">
      <c r="E561" s="129"/>
      <c r="H561" s="129"/>
    </row>
    <row r="562" ht="18.75" customHeight="1">
      <c r="E562" s="129"/>
      <c r="H562" s="129"/>
    </row>
    <row r="563" ht="18.75" customHeight="1">
      <c r="E563" s="129"/>
      <c r="H563" s="129"/>
    </row>
    <row r="564" ht="18.75" customHeight="1">
      <c r="E564" s="129"/>
      <c r="H564" s="129"/>
    </row>
    <row r="565" ht="18.75" customHeight="1">
      <c r="E565" s="129"/>
      <c r="H565" s="129"/>
    </row>
    <row r="566" ht="18.75" customHeight="1">
      <c r="E566" s="129"/>
      <c r="H566" s="129"/>
    </row>
    <row r="567" ht="18.75" customHeight="1">
      <c r="E567" s="129"/>
      <c r="H567" s="129"/>
    </row>
    <row r="568" ht="18.75" customHeight="1">
      <c r="E568" s="129"/>
      <c r="H568" s="129"/>
    </row>
    <row r="569" ht="18.75" customHeight="1">
      <c r="E569" s="129"/>
      <c r="H569" s="129"/>
    </row>
    <row r="570" ht="18.75" customHeight="1">
      <c r="E570" s="129"/>
      <c r="H570" s="129"/>
    </row>
    <row r="571" ht="18.75" customHeight="1">
      <c r="E571" s="129"/>
      <c r="H571" s="129"/>
    </row>
    <row r="572" ht="18.75" customHeight="1">
      <c r="E572" s="129"/>
      <c r="H572" s="129"/>
    </row>
    <row r="573" ht="18.75" customHeight="1">
      <c r="E573" s="129"/>
      <c r="H573" s="129"/>
    </row>
    <row r="574" ht="18.75" customHeight="1">
      <c r="E574" s="129"/>
      <c r="H574" s="129"/>
    </row>
    <row r="575" ht="18.75" customHeight="1">
      <c r="E575" s="129"/>
      <c r="H575" s="129"/>
    </row>
    <row r="576" ht="18.75" customHeight="1">
      <c r="E576" s="129"/>
      <c r="H576" s="129"/>
    </row>
    <row r="577" ht="18.75" customHeight="1">
      <c r="E577" s="129"/>
      <c r="H577" s="129"/>
    </row>
    <row r="578" ht="18.75" customHeight="1">
      <c r="E578" s="129"/>
      <c r="H578" s="129"/>
    </row>
    <row r="579" ht="18.75" customHeight="1">
      <c r="E579" s="129"/>
      <c r="H579" s="129"/>
    </row>
    <row r="580" ht="18.75" customHeight="1">
      <c r="E580" s="129"/>
      <c r="H580" s="129"/>
    </row>
    <row r="581" ht="18.75" customHeight="1">
      <c r="E581" s="129"/>
      <c r="H581" s="129"/>
    </row>
    <row r="582" ht="18.75" customHeight="1">
      <c r="E582" s="129"/>
      <c r="H582" s="129"/>
    </row>
    <row r="583" ht="18.75" customHeight="1">
      <c r="E583" s="129"/>
      <c r="H583" s="129"/>
    </row>
    <row r="584" ht="18.75" customHeight="1">
      <c r="E584" s="129"/>
      <c r="H584" s="129"/>
    </row>
    <row r="585" ht="18.75" customHeight="1">
      <c r="E585" s="129"/>
      <c r="H585" s="129"/>
    </row>
    <row r="586" ht="18.75" customHeight="1">
      <c r="E586" s="129"/>
      <c r="H586" s="129"/>
    </row>
    <row r="587" ht="18.75" customHeight="1">
      <c r="E587" s="129"/>
      <c r="H587" s="129"/>
    </row>
    <row r="588" ht="18.75" customHeight="1">
      <c r="E588" s="129"/>
      <c r="H588" s="129"/>
    </row>
    <row r="589" ht="18.75" customHeight="1">
      <c r="E589" s="129"/>
      <c r="H589" s="129"/>
    </row>
    <row r="590" ht="18.75" customHeight="1">
      <c r="E590" s="129"/>
      <c r="H590" s="129"/>
    </row>
    <row r="591" ht="18.75" customHeight="1">
      <c r="E591" s="129"/>
      <c r="H591" s="129"/>
    </row>
    <row r="592" ht="18.75" customHeight="1">
      <c r="E592" s="129"/>
      <c r="H592" s="129"/>
    </row>
    <row r="593" ht="18.75" customHeight="1">
      <c r="E593" s="129"/>
      <c r="H593" s="129"/>
    </row>
    <row r="594" ht="18.75" customHeight="1">
      <c r="E594" s="129"/>
      <c r="H594" s="129"/>
    </row>
    <row r="595" ht="18.75" customHeight="1">
      <c r="E595" s="129"/>
      <c r="H595" s="129"/>
    </row>
    <row r="596" ht="18.75" customHeight="1">
      <c r="E596" s="129"/>
      <c r="H596" s="129"/>
    </row>
    <row r="597" ht="18.75" customHeight="1">
      <c r="E597" s="129"/>
      <c r="H597" s="129"/>
    </row>
    <row r="598" ht="18.75" customHeight="1">
      <c r="E598" s="129"/>
      <c r="H598" s="129"/>
    </row>
    <row r="599" ht="18.75" customHeight="1">
      <c r="E599" s="129"/>
      <c r="H599" s="129"/>
    </row>
    <row r="600" ht="18.75" customHeight="1">
      <c r="E600" s="129"/>
      <c r="H600" s="129"/>
    </row>
    <row r="601" ht="18.75" customHeight="1">
      <c r="E601" s="129"/>
      <c r="H601" s="129"/>
    </row>
    <row r="602" ht="18.75" customHeight="1">
      <c r="E602" s="129"/>
      <c r="H602" s="129"/>
    </row>
    <row r="603" ht="18.75" customHeight="1">
      <c r="E603" s="129"/>
      <c r="H603" s="129"/>
    </row>
    <row r="604" ht="18.75" customHeight="1">
      <c r="E604" s="129"/>
      <c r="H604" s="129"/>
    </row>
    <row r="605" ht="18.75" customHeight="1">
      <c r="E605" s="129"/>
      <c r="H605" s="129"/>
    </row>
    <row r="606" ht="18.75" customHeight="1">
      <c r="E606" s="129"/>
      <c r="H606" s="129"/>
    </row>
    <row r="607" ht="18.75" customHeight="1">
      <c r="E607" s="129"/>
      <c r="H607" s="129"/>
    </row>
    <row r="608" ht="18.75" customHeight="1">
      <c r="E608" s="129"/>
      <c r="H608" s="129"/>
    </row>
    <row r="609" ht="18.75" customHeight="1">
      <c r="E609" s="129"/>
      <c r="H609" s="129"/>
    </row>
    <row r="610" ht="18.75" customHeight="1">
      <c r="E610" s="129"/>
      <c r="H610" s="129"/>
    </row>
    <row r="611" ht="18.75" customHeight="1">
      <c r="E611" s="129"/>
      <c r="H611" s="129"/>
    </row>
    <row r="612" ht="18.75" customHeight="1">
      <c r="E612" s="129"/>
      <c r="H612" s="129"/>
    </row>
    <row r="613" ht="18.75" customHeight="1">
      <c r="E613" s="129"/>
      <c r="H613" s="129"/>
    </row>
    <row r="614" ht="18.75" customHeight="1">
      <c r="E614" s="129"/>
      <c r="H614" s="129"/>
    </row>
    <row r="615" ht="18.75" customHeight="1">
      <c r="E615" s="129"/>
      <c r="H615" s="129"/>
    </row>
    <row r="616" ht="18.75" customHeight="1">
      <c r="E616" s="129"/>
      <c r="H616" s="129"/>
    </row>
    <row r="617" ht="18.75" customHeight="1">
      <c r="E617" s="129"/>
      <c r="H617" s="129"/>
    </row>
    <row r="618" ht="18.75" customHeight="1">
      <c r="E618" s="129"/>
      <c r="H618" s="129"/>
    </row>
    <row r="619" ht="18.75" customHeight="1">
      <c r="E619" s="129"/>
      <c r="H619" s="129"/>
    </row>
    <row r="620" ht="18.75" customHeight="1">
      <c r="E620" s="129"/>
      <c r="H620" s="129"/>
    </row>
    <row r="621" ht="18.75" customHeight="1">
      <c r="E621" s="129"/>
      <c r="H621" s="129"/>
    </row>
    <row r="622" ht="18.75" customHeight="1">
      <c r="E622" s="129"/>
      <c r="H622" s="129"/>
    </row>
    <row r="623" ht="18.75" customHeight="1">
      <c r="E623" s="129"/>
      <c r="H623" s="129"/>
    </row>
    <row r="624" ht="18.75" customHeight="1">
      <c r="E624" s="129"/>
      <c r="H624" s="129"/>
    </row>
    <row r="625" ht="18.75" customHeight="1">
      <c r="E625" s="129"/>
      <c r="H625" s="129"/>
    </row>
    <row r="626" ht="18.75" customHeight="1">
      <c r="E626" s="129"/>
      <c r="H626" s="129"/>
    </row>
    <row r="627" ht="18.75" customHeight="1">
      <c r="E627" s="129"/>
      <c r="H627" s="129"/>
    </row>
    <row r="628" ht="18.75" customHeight="1">
      <c r="E628" s="129"/>
      <c r="H628" s="129"/>
    </row>
    <row r="629" ht="18.75" customHeight="1">
      <c r="E629" s="129"/>
      <c r="H629" s="129"/>
    </row>
    <row r="630" ht="18.75" customHeight="1">
      <c r="E630" s="129"/>
      <c r="H630" s="129"/>
    </row>
    <row r="631" ht="18.75" customHeight="1">
      <c r="E631" s="129"/>
      <c r="H631" s="129"/>
    </row>
    <row r="632" ht="18.75" customHeight="1">
      <c r="E632" s="129"/>
      <c r="H632" s="129"/>
    </row>
    <row r="633" ht="18.75" customHeight="1">
      <c r="E633" s="129"/>
      <c r="H633" s="129"/>
    </row>
    <row r="634" ht="18.75" customHeight="1">
      <c r="E634" s="129"/>
      <c r="H634" s="129"/>
    </row>
    <row r="635" ht="18.75" customHeight="1">
      <c r="E635" s="129"/>
      <c r="H635" s="129"/>
    </row>
    <row r="636" ht="18.75" customHeight="1">
      <c r="E636" s="129"/>
      <c r="H636" s="129"/>
    </row>
    <row r="637" ht="18.75" customHeight="1">
      <c r="E637" s="129"/>
      <c r="H637" s="129"/>
    </row>
    <row r="638" ht="18.75" customHeight="1">
      <c r="E638" s="129"/>
      <c r="H638" s="129"/>
    </row>
    <row r="639" ht="18.75" customHeight="1">
      <c r="E639" s="129"/>
      <c r="H639" s="129"/>
    </row>
    <row r="640" ht="18.75" customHeight="1">
      <c r="E640" s="129"/>
      <c r="H640" s="129"/>
    </row>
    <row r="641" ht="18.75" customHeight="1">
      <c r="E641" s="129"/>
      <c r="H641" s="129"/>
    </row>
    <row r="642" ht="18.75" customHeight="1">
      <c r="E642" s="129"/>
      <c r="H642" s="129"/>
    </row>
    <row r="643" ht="18.75" customHeight="1">
      <c r="E643" s="129"/>
      <c r="H643" s="129"/>
    </row>
    <row r="644" ht="18.75" customHeight="1">
      <c r="E644" s="129"/>
      <c r="H644" s="129"/>
    </row>
    <row r="645" ht="18.75" customHeight="1">
      <c r="E645" s="129"/>
      <c r="H645" s="129"/>
    </row>
    <row r="646" ht="18.75" customHeight="1">
      <c r="E646" s="129"/>
      <c r="H646" s="129"/>
    </row>
    <row r="647" ht="18.75" customHeight="1">
      <c r="E647" s="129"/>
      <c r="H647" s="129"/>
    </row>
    <row r="648" ht="18.75" customHeight="1">
      <c r="E648" s="129"/>
      <c r="H648" s="129"/>
    </row>
    <row r="649" ht="18.75" customHeight="1">
      <c r="E649" s="129"/>
      <c r="H649" s="129"/>
    </row>
    <row r="650" ht="18.75" customHeight="1">
      <c r="E650" s="129"/>
      <c r="H650" s="129"/>
    </row>
    <row r="651" ht="18.75" customHeight="1">
      <c r="E651" s="129"/>
      <c r="H651" s="129"/>
    </row>
    <row r="652" ht="18.75" customHeight="1">
      <c r="E652" s="129"/>
      <c r="H652" s="129"/>
    </row>
    <row r="653" ht="18.75" customHeight="1">
      <c r="E653" s="129"/>
      <c r="H653" s="129"/>
    </row>
    <row r="654" ht="18.75" customHeight="1">
      <c r="E654" s="129"/>
      <c r="H654" s="129"/>
    </row>
    <row r="655" ht="18.75" customHeight="1">
      <c r="E655" s="129"/>
      <c r="H655" s="129"/>
    </row>
    <row r="656" ht="18.75" customHeight="1">
      <c r="E656" s="129"/>
      <c r="H656" s="129"/>
    </row>
    <row r="657" ht="18.75" customHeight="1">
      <c r="E657" s="129"/>
      <c r="H657" s="129"/>
    </row>
    <row r="658" ht="18.75" customHeight="1">
      <c r="E658" s="129"/>
      <c r="H658" s="129"/>
    </row>
    <row r="659" ht="18.75" customHeight="1">
      <c r="E659" s="129"/>
      <c r="H659" s="129"/>
    </row>
    <row r="660" ht="18.75" customHeight="1">
      <c r="E660" s="129"/>
      <c r="H660" s="129"/>
    </row>
    <row r="661" ht="18.75" customHeight="1">
      <c r="E661" s="129"/>
      <c r="H661" s="129"/>
    </row>
    <row r="662" ht="18.75" customHeight="1">
      <c r="E662" s="129"/>
      <c r="H662" s="129"/>
    </row>
    <row r="663" ht="18.75" customHeight="1">
      <c r="E663" s="129"/>
      <c r="H663" s="129"/>
    </row>
    <row r="664" ht="18.75" customHeight="1">
      <c r="E664" s="129"/>
      <c r="H664" s="129"/>
    </row>
    <row r="665" ht="18.75" customHeight="1">
      <c r="E665" s="129"/>
      <c r="H665" s="129"/>
    </row>
    <row r="666" ht="18.75" customHeight="1">
      <c r="E666" s="129"/>
      <c r="H666" s="129"/>
    </row>
    <row r="667" ht="18.75" customHeight="1">
      <c r="E667" s="129"/>
      <c r="H667" s="129"/>
    </row>
    <row r="668" ht="18.75" customHeight="1">
      <c r="E668" s="129"/>
      <c r="H668" s="129"/>
    </row>
    <row r="669" ht="18.75" customHeight="1">
      <c r="E669" s="129"/>
      <c r="H669" s="129"/>
    </row>
    <row r="670" ht="18.75" customHeight="1">
      <c r="E670" s="129"/>
      <c r="H670" s="129"/>
    </row>
    <row r="671" ht="18.75" customHeight="1">
      <c r="E671" s="129"/>
      <c r="H671" s="129"/>
    </row>
    <row r="672" ht="18.75" customHeight="1">
      <c r="E672" s="129"/>
      <c r="H672" s="129"/>
    </row>
    <row r="673" ht="18.75" customHeight="1">
      <c r="E673" s="129"/>
      <c r="H673" s="129"/>
    </row>
    <row r="674" ht="18.75" customHeight="1">
      <c r="E674" s="129"/>
      <c r="H674" s="129"/>
    </row>
    <row r="675" ht="18.75" customHeight="1">
      <c r="E675" s="129"/>
      <c r="H675" s="129"/>
    </row>
    <row r="676" ht="18.75" customHeight="1">
      <c r="E676" s="129"/>
      <c r="H676" s="129"/>
    </row>
    <row r="677" ht="18.75" customHeight="1">
      <c r="E677" s="129"/>
      <c r="H677" s="129"/>
    </row>
    <row r="678" ht="18.75" customHeight="1">
      <c r="E678" s="129"/>
      <c r="H678" s="129"/>
    </row>
    <row r="679" ht="18.75" customHeight="1">
      <c r="E679" s="129"/>
      <c r="H679" s="129"/>
    </row>
    <row r="680" ht="18.75" customHeight="1">
      <c r="E680" s="129"/>
      <c r="H680" s="129"/>
    </row>
    <row r="681" ht="18.75" customHeight="1">
      <c r="E681" s="129"/>
      <c r="H681" s="129"/>
    </row>
    <row r="682" ht="18.75" customHeight="1">
      <c r="E682" s="129"/>
      <c r="H682" s="129"/>
    </row>
    <row r="683" ht="18.75" customHeight="1">
      <c r="E683" s="129"/>
      <c r="H683" s="129"/>
    </row>
    <row r="684" ht="18.75" customHeight="1">
      <c r="E684" s="129"/>
      <c r="H684" s="129"/>
    </row>
    <row r="685" ht="18.75" customHeight="1">
      <c r="E685" s="129"/>
      <c r="H685" s="129"/>
    </row>
    <row r="686" ht="18.75" customHeight="1">
      <c r="E686" s="129"/>
      <c r="H686" s="129"/>
    </row>
    <row r="687" ht="18.75" customHeight="1">
      <c r="E687" s="129"/>
      <c r="H687" s="129"/>
    </row>
    <row r="688" ht="18.75" customHeight="1">
      <c r="E688" s="129"/>
      <c r="H688" s="129"/>
    </row>
    <row r="689" ht="18.75" customHeight="1">
      <c r="E689" s="129"/>
      <c r="H689" s="129"/>
    </row>
    <row r="690" ht="18.75" customHeight="1">
      <c r="E690" s="129"/>
      <c r="H690" s="129"/>
    </row>
    <row r="691" ht="18.75" customHeight="1">
      <c r="E691" s="129"/>
      <c r="H691" s="129"/>
    </row>
    <row r="692" ht="18.75" customHeight="1">
      <c r="E692" s="129"/>
      <c r="H692" s="129"/>
    </row>
    <row r="693" ht="18.75" customHeight="1">
      <c r="E693" s="129"/>
      <c r="H693" s="129"/>
    </row>
    <row r="694" ht="18.75" customHeight="1">
      <c r="E694" s="129"/>
      <c r="H694" s="129"/>
    </row>
    <row r="695" ht="18.75" customHeight="1">
      <c r="E695" s="129"/>
      <c r="H695" s="129"/>
    </row>
    <row r="696" ht="18.75" customHeight="1">
      <c r="E696" s="129"/>
      <c r="H696" s="129"/>
    </row>
    <row r="697" ht="18.75" customHeight="1">
      <c r="E697" s="129"/>
      <c r="H697" s="129"/>
    </row>
    <row r="698" ht="18.75" customHeight="1">
      <c r="E698" s="129"/>
      <c r="H698" s="129"/>
    </row>
    <row r="699" ht="18.75" customHeight="1">
      <c r="E699" s="129"/>
      <c r="H699" s="129"/>
    </row>
    <row r="700" ht="18.75" customHeight="1">
      <c r="E700" s="129"/>
      <c r="H700" s="129"/>
    </row>
    <row r="701" ht="18.75" customHeight="1">
      <c r="E701" s="129"/>
      <c r="H701" s="129"/>
    </row>
    <row r="702" ht="18.75" customHeight="1">
      <c r="E702" s="129"/>
      <c r="H702" s="129"/>
    </row>
    <row r="703" ht="18.75" customHeight="1">
      <c r="E703" s="129"/>
      <c r="H703" s="129"/>
    </row>
    <row r="704" ht="18.75" customHeight="1">
      <c r="E704" s="129"/>
      <c r="H704" s="129"/>
    </row>
    <row r="705" ht="18.75" customHeight="1">
      <c r="E705" s="129"/>
      <c r="H705" s="129"/>
    </row>
    <row r="706" ht="18.75" customHeight="1">
      <c r="E706" s="129"/>
      <c r="H706" s="129"/>
    </row>
    <row r="707" ht="18.75" customHeight="1">
      <c r="E707" s="129"/>
      <c r="H707" s="129"/>
    </row>
    <row r="708" ht="18.75" customHeight="1">
      <c r="E708" s="129"/>
      <c r="H708" s="129"/>
    </row>
    <row r="709" ht="18.75" customHeight="1">
      <c r="E709" s="129"/>
      <c r="H709" s="129"/>
    </row>
    <row r="710" ht="18.75" customHeight="1">
      <c r="E710" s="129"/>
      <c r="H710" s="129"/>
    </row>
    <row r="711" ht="18.75" customHeight="1">
      <c r="E711" s="129"/>
      <c r="H711" s="129"/>
    </row>
    <row r="712" ht="18.75" customHeight="1">
      <c r="E712" s="129"/>
      <c r="H712" s="129"/>
    </row>
    <row r="713" ht="18.75" customHeight="1">
      <c r="E713" s="129"/>
      <c r="H713" s="129"/>
    </row>
    <row r="714" ht="18.75" customHeight="1">
      <c r="E714" s="129"/>
      <c r="H714" s="129"/>
    </row>
    <row r="715" ht="18.75" customHeight="1">
      <c r="E715" s="129"/>
      <c r="H715" s="129"/>
    </row>
    <row r="716" ht="18.75" customHeight="1">
      <c r="E716" s="129"/>
      <c r="H716" s="129"/>
    </row>
    <row r="717" ht="18.75" customHeight="1">
      <c r="E717" s="129"/>
      <c r="H717" s="129"/>
    </row>
    <row r="718" ht="18.75" customHeight="1">
      <c r="E718" s="129"/>
      <c r="H718" s="129"/>
    </row>
    <row r="719" ht="18.75" customHeight="1">
      <c r="E719" s="129"/>
      <c r="H719" s="129"/>
    </row>
    <row r="720" ht="18.75" customHeight="1">
      <c r="E720" s="129"/>
      <c r="H720" s="129"/>
    </row>
    <row r="721" ht="18.75" customHeight="1">
      <c r="E721" s="129"/>
      <c r="H721" s="129"/>
    </row>
    <row r="722" ht="18.75" customHeight="1">
      <c r="E722" s="129"/>
      <c r="H722" s="129"/>
    </row>
    <row r="723" ht="18.75" customHeight="1">
      <c r="E723" s="129"/>
      <c r="H723" s="129"/>
    </row>
    <row r="724" ht="18.75" customHeight="1">
      <c r="E724" s="129"/>
      <c r="H724" s="129"/>
    </row>
    <row r="725" ht="18.75" customHeight="1">
      <c r="E725" s="129"/>
      <c r="H725" s="129"/>
    </row>
    <row r="726" ht="18.75" customHeight="1">
      <c r="E726" s="129"/>
      <c r="H726" s="129"/>
    </row>
    <row r="727" ht="18.75" customHeight="1">
      <c r="E727" s="129"/>
      <c r="H727" s="129"/>
    </row>
    <row r="728" ht="18.75" customHeight="1">
      <c r="E728" s="129"/>
      <c r="H728" s="129"/>
    </row>
    <row r="729" ht="18.75" customHeight="1">
      <c r="E729" s="129"/>
      <c r="H729" s="129"/>
    </row>
    <row r="730" ht="18.75" customHeight="1">
      <c r="E730" s="129"/>
      <c r="H730" s="129"/>
    </row>
    <row r="731" ht="18.75" customHeight="1">
      <c r="E731" s="129"/>
      <c r="H731" s="129"/>
    </row>
    <row r="732" ht="18.75" customHeight="1">
      <c r="E732" s="129"/>
      <c r="H732" s="129"/>
    </row>
    <row r="733" ht="18.75" customHeight="1">
      <c r="E733" s="129"/>
      <c r="H733" s="129"/>
    </row>
    <row r="734" ht="18.75" customHeight="1">
      <c r="E734" s="129"/>
      <c r="H734" s="129"/>
    </row>
    <row r="735" ht="18.75" customHeight="1">
      <c r="E735" s="129"/>
      <c r="H735" s="129"/>
    </row>
    <row r="736" ht="18.75" customHeight="1">
      <c r="E736" s="129"/>
      <c r="H736" s="129"/>
    </row>
    <row r="737" ht="18.75" customHeight="1">
      <c r="E737" s="129"/>
      <c r="H737" s="129"/>
    </row>
    <row r="738" ht="18.75" customHeight="1">
      <c r="E738" s="129"/>
      <c r="H738" s="129"/>
    </row>
    <row r="739" ht="18.75" customHeight="1">
      <c r="E739" s="129"/>
      <c r="H739" s="129"/>
    </row>
    <row r="740" ht="18.75" customHeight="1">
      <c r="E740" s="129"/>
      <c r="H740" s="129"/>
    </row>
    <row r="741" ht="18.75" customHeight="1">
      <c r="E741" s="129"/>
      <c r="H741" s="129"/>
    </row>
    <row r="742" ht="18.75" customHeight="1">
      <c r="E742" s="129"/>
      <c r="H742" s="129"/>
    </row>
    <row r="743" ht="18.75" customHeight="1">
      <c r="E743" s="129"/>
      <c r="H743" s="129"/>
    </row>
    <row r="744" ht="18.75" customHeight="1">
      <c r="E744" s="129"/>
      <c r="H744" s="129"/>
    </row>
    <row r="745" ht="18.75" customHeight="1">
      <c r="E745" s="129"/>
      <c r="H745" s="129"/>
    </row>
    <row r="746" ht="18.75" customHeight="1">
      <c r="E746" s="129"/>
      <c r="H746" s="129"/>
    </row>
    <row r="747" ht="18.75" customHeight="1">
      <c r="E747" s="129"/>
      <c r="H747" s="129"/>
    </row>
    <row r="748" ht="18.75" customHeight="1">
      <c r="E748" s="129"/>
      <c r="H748" s="129"/>
    </row>
    <row r="749" ht="18.75" customHeight="1">
      <c r="E749" s="129"/>
      <c r="H749" s="129"/>
    </row>
    <row r="750" ht="18.75" customHeight="1">
      <c r="E750" s="129"/>
      <c r="H750" s="129"/>
    </row>
    <row r="751" ht="18.75" customHeight="1">
      <c r="E751" s="129"/>
      <c r="H751" s="129"/>
    </row>
    <row r="752" ht="18.75" customHeight="1">
      <c r="E752" s="129"/>
      <c r="H752" s="129"/>
    </row>
    <row r="753" ht="18.75" customHeight="1">
      <c r="E753" s="129"/>
      <c r="H753" s="129"/>
    </row>
    <row r="754" ht="18.75" customHeight="1">
      <c r="E754" s="129"/>
      <c r="H754" s="129"/>
    </row>
    <row r="755" ht="18.75" customHeight="1">
      <c r="E755" s="129"/>
      <c r="H755" s="129"/>
    </row>
    <row r="756" ht="18.75" customHeight="1">
      <c r="E756" s="129"/>
      <c r="H756" s="129"/>
    </row>
    <row r="757" ht="18.75" customHeight="1">
      <c r="E757" s="129"/>
      <c r="H757" s="129"/>
    </row>
    <row r="758" ht="18.75" customHeight="1">
      <c r="E758" s="129"/>
      <c r="H758" s="129"/>
    </row>
    <row r="759" ht="18.75" customHeight="1">
      <c r="E759" s="129"/>
      <c r="H759" s="129"/>
    </row>
    <row r="760" ht="18.75" customHeight="1">
      <c r="E760" s="129"/>
      <c r="H760" s="129"/>
    </row>
    <row r="761" ht="18.75" customHeight="1">
      <c r="E761" s="129"/>
      <c r="H761" s="129"/>
    </row>
    <row r="762" ht="18.75" customHeight="1">
      <c r="E762" s="129"/>
      <c r="H762" s="129"/>
    </row>
    <row r="763" ht="18.75" customHeight="1">
      <c r="E763" s="129"/>
      <c r="H763" s="129"/>
    </row>
    <row r="764" ht="18.75" customHeight="1">
      <c r="E764" s="129"/>
      <c r="H764" s="129"/>
    </row>
    <row r="765" ht="18.75" customHeight="1">
      <c r="E765" s="129"/>
      <c r="H765" s="129"/>
    </row>
    <row r="766" ht="18.75" customHeight="1">
      <c r="E766" s="129"/>
      <c r="H766" s="129"/>
    </row>
    <row r="767" ht="18.75" customHeight="1">
      <c r="E767" s="129"/>
      <c r="H767" s="129"/>
    </row>
    <row r="768" ht="18.75" customHeight="1">
      <c r="E768" s="129"/>
      <c r="H768" s="129"/>
    </row>
    <row r="769" ht="18.75" customHeight="1">
      <c r="E769" s="129"/>
      <c r="H769" s="129"/>
    </row>
    <row r="770" ht="18.75" customHeight="1">
      <c r="E770" s="129"/>
      <c r="H770" s="129"/>
    </row>
    <row r="771" ht="18.75" customHeight="1">
      <c r="E771" s="129"/>
      <c r="H771" s="129"/>
    </row>
    <row r="772" ht="18.75" customHeight="1">
      <c r="E772" s="129"/>
      <c r="H772" s="129"/>
    </row>
    <row r="773" ht="18.75" customHeight="1">
      <c r="E773" s="129"/>
      <c r="H773" s="129"/>
    </row>
    <row r="774" ht="18.75" customHeight="1">
      <c r="E774" s="129"/>
      <c r="H774" s="129"/>
    </row>
    <row r="775" ht="18.75" customHeight="1">
      <c r="E775" s="129"/>
      <c r="H775" s="129"/>
    </row>
    <row r="776" ht="18.75" customHeight="1">
      <c r="E776" s="129"/>
      <c r="H776" s="129"/>
    </row>
    <row r="777" ht="18.75" customHeight="1">
      <c r="E777" s="129"/>
      <c r="H777" s="129"/>
    </row>
    <row r="778" ht="18.75" customHeight="1">
      <c r="E778" s="129"/>
      <c r="H778" s="129"/>
    </row>
    <row r="779" ht="18.75" customHeight="1">
      <c r="E779" s="129"/>
      <c r="H779" s="129"/>
    </row>
    <row r="780" ht="18.75" customHeight="1">
      <c r="E780" s="129"/>
      <c r="H780" s="129"/>
    </row>
    <row r="781" ht="18.75" customHeight="1">
      <c r="E781" s="129"/>
      <c r="H781" s="129"/>
    </row>
    <row r="782" ht="18.75" customHeight="1">
      <c r="E782" s="129"/>
      <c r="H782" s="129"/>
    </row>
    <row r="783" ht="18.75" customHeight="1">
      <c r="E783" s="129"/>
      <c r="H783" s="129"/>
    </row>
    <row r="784" ht="18.75" customHeight="1">
      <c r="E784" s="129"/>
      <c r="H784" s="129"/>
    </row>
    <row r="785" ht="18.75" customHeight="1">
      <c r="E785" s="129"/>
      <c r="H785" s="129"/>
    </row>
    <row r="786" ht="18.75" customHeight="1">
      <c r="E786" s="129"/>
      <c r="H786" s="129"/>
    </row>
    <row r="787" ht="18.75" customHeight="1">
      <c r="E787" s="129"/>
      <c r="H787" s="129"/>
    </row>
    <row r="788" ht="18.75" customHeight="1">
      <c r="E788" s="129"/>
      <c r="H788" s="129"/>
    </row>
    <row r="789" ht="18.75" customHeight="1">
      <c r="E789" s="129"/>
      <c r="H789" s="129"/>
    </row>
    <row r="790" ht="18.75" customHeight="1">
      <c r="E790" s="129"/>
      <c r="H790" s="129"/>
    </row>
    <row r="791" ht="18.75" customHeight="1">
      <c r="E791" s="129"/>
      <c r="H791" s="129"/>
    </row>
    <row r="792" ht="18.75" customHeight="1">
      <c r="E792" s="129"/>
      <c r="H792" s="129"/>
    </row>
    <row r="793" ht="18.75" customHeight="1">
      <c r="E793" s="129"/>
      <c r="H793" s="129"/>
    </row>
    <row r="794" ht="18.75" customHeight="1">
      <c r="E794" s="129"/>
      <c r="H794" s="129"/>
    </row>
    <row r="795" ht="18.75" customHeight="1">
      <c r="E795" s="129"/>
      <c r="H795" s="129"/>
    </row>
    <row r="796" ht="18.75" customHeight="1">
      <c r="E796" s="129"/>
      <c r="H796" s="129"/>
    </row>
    <row r="797" ht="18.75" customHeight="1">
      <c r="E797" s="129"/>
      <c r="H797" s="129"/>
    </row>
    <row r="798" ht="18.75" customHeight="1">
      <c r="E798" s="129"/>
      <c r="H798" s="129"/>
    </row>
    <row r="799" ht="18.75" customHeight="1">
      <c r="E799" s="129"/>
      <c r="H799" s="129"/>
    </row>
    <row r="800" ht="18.75" customHeight="1">
      <c r="E800" s="129"/>
      <c r="H800" s="129"/>
    </row>
    <row r="801" ht="18.75" customHeight="1">
      <c r="E801" s="129"/>
      <c r="H801" s="129"/>
    </row>
    <row r="802" ht="18.75" customHeight="1">
      <c r="E802" s="129"/>
      <c r="H802" s="129"/>
    </row>
    <row r="803" ht="18.75" customHeight="1">
      <c r="E803" s="129"/>
      <c r="H803" s="129"/>
    </row>
    <row r="804" ht="18.75" customHeight="1">
      <c r="E804" s="129"/>
      <c r="H804" s="129"/>
    </row>
    <row r="805" ht="18.75" customHeight="1">
      <c r="E805" s="129"/>
      <c r="H805" s="129"/>
    </row>
    <row r="806" ht="18.75" customHeight="1">
      <c r="E806" s="129"/>
      <c r="H806" s="129"/>
    </row>
    <row r="807" ht="18.75" customHeight="1">
      <c r="E807" s="129"/>
      <c r="H807" s="129"/>
    </row>
    <row r="808" ht="18.75" customHeight="1">
      <c r="E808" s="129"/>
      <c r="H808" s="129"/>
    </row>
    <row r="809" ht="18.75" customHeight="1">
      <c r="E809" s="129"/>
      <c r="H809" s="129"/>
    </row>
    <row r="810" ht="18.75" customHeight="1">
      <c r="E810" s="129"/>
      <c r="H810" s="129"/>
    </row>
    <row r="811" ht="18.75" customHeight="1">
      <c r="E811" s="129"/>
      <c r="H811" s="129"/>
    </row>
    <row r="812" ht="18.75" customHeight="1">
      <c r="E812" s="129"/>
      <c r="H812" s="129"/>
    </row>
    <row r="813" ht="18.75" customHeight="1">
      <c r="E813" s="129"/>
      <c r="H813" s="129"/>
    </row>
    <row r="814" ht="18.75" customHeight="1">
      <c r="E814" s="129"/>
      <c r="H814" s="129"/>
    </row>
    <row r="815" ht="18.75" customHeight="1">
      <c r="E815" s="129"/>
      <c r="H815" s="129"/>
    </row>
    <row r="816" ht="18.75" customHeight="1">
      <c r="E816" s="129"/>
      <c r="H816" s="129"/>
    </row>
    <row r="817" ht="18.75" customHeight="1">
      <c r="E817" s="129"/>
      <c r="H817" s="129"/>
    </row>
    <row r="818" ht="18.75" customHeight="1">
      <c r="E818" s="129"/>
      <c r="H818" s="129"/>
    </row>
    <row r="819" ht="18.75" customHeight="1">
      <c r="E819" s="129"/>
      <c r="H819" s="129"/>
    </row>
    <row r="820" ht="18.75" customHeight="1">
      <c r="E820" s="129"/>
      <c r="H820" s="129"/>
    </row>
    <row r="821" ht="18.75" customHeight="1">
      <c r="E821" s="129"/>
      <c r="H821" s="129"/>
    </row>
    <row r="822" ht="18.75" customHeight="1">
      <c r="E822" s="129"/>
      <c r="H822" s="129"/>
    </row>
    <row r="823" ht="18.75" customHeight="1">
      <c r="E823" s="129"/>
      <c r="H823" s="129"/>
    </row>
    <row r="824" ht="18.75" customHeight="1">
      <c r="E824" s="129"/>
      <c r="H824" s="129"/>
    </row>
    <row r="825" ht="18.75" customHeight="1">
      <c r="E825" s="129"/>
      <c r="H825" s="129"/>
    </row>
    <row r="826" ht="18.75" customHeight="1">
      <c r="E826" s="129"/>
      <c r="H826" s="129"/>
    </row>
    <row r="827" ht="18.75" customHeight="1">
      <c r="E827" s="129"/>
      <c r="H827" s="129"/>
    </row>
    <row r="828" ht="18.75" customHeight="1">
      <c r="E828" s="129"/>
      <c r="H828" s="129"/>
    </row>
    <row r="829" ht="18.75" customHeight="1">
      <c r="E829" s="129"/>
      <c r="H829" s="129"/>
    </row>
    <row r="830" ht="18.75" customHeight="1">
      <c r="E830" s="129"/>
      <c r="H830" s="129"/>
    </row>
    <row r="831" ht="18.75" customHeight="1">
      <c r="E831" s="129"/>
      <c r="H831" s="129"/>
    </row>
    <row r="832" ht="18.75" customHeight="1">
      <c r="E832" s="129"/>
      <c r="H832" s="129"/>
    </row>
    <row r="833" ht="18.75" customHeight="1">
      <c r="E833" s="129"/>
      <c r="H833" s="129"/>
    </row>
    <row r="834" ht="18.75" customHeight="1">
      <c r="E834" s="129"/>
      <c r="H834" s="129"/>
    </row>
    <row r="835" ht="18.75" customHeight="1">
      <c r="E835" s="129"/>
      <c r="H835" s="129"/>
    </row>
    <row r="836" ht="18.75" customHeight="1">
      <c r="E836" s="129"/>
      <c r="H836" s="129"/>
    </row>
    <row r="837" ht="18.75" customHeight="1">
      <c r="E837" s="129"/>
      <c r="H837" s="129"/>
    </row>
    <row r="838" ht="18.75" customHeight="1">
      <c r="E838" s="129"/>
      <c r="H838" s="129"/>
    </row>
    <row r="839" ht="18.75" customHeight="1">
      <c r="E839" s="129"/>
      <c r="H839" s="129"/>
    </row>
    <row r="840" ht="18.75" customHeight="1">
      <c r="E840" s="129"/>
      <c r="H840" s="129"/>
    </row>
    <row r="841" ht="18.75" customHeight="1">
      <c r="E841" s="129"/>
      <c r="H841" s="129"/>
    </row>
    <row r="842" ht="18.75" customHeight="1">
      <c r="E842" s="129"/>
      <c r="H842" s="129"/>
    </row>
    <row r="843" ht="18.75" customHeight="1">
      <c r="E843" s="129"/>
      <c r="H843" s="129"/>
    </row>
    <row r="844" ht="18.75" customHeight="1">
      <c r="E844" s="129"/>
      <c r="H844" s="129"/>
    </row>
    <row r="845" ht="18.75" customHeight="1">
      <c r="E845" s="129"/>
      <c r="H845" s="129"/>
    </row>
    <row r="846" ht="18.75" customHeight="1">
      <c r="E846" s="129"/>
      <c r="H846" s="129"/>
    </row>
    <row r="847" ht="18.75" customHeight="1">
      <c r="E847" s="129"/>
      <c r="H847" s="129"/>
    </row>
    <row r="848" ht="18.75" customHeight="1">
      <c r="E848" s="129"/>
      <c r="H848" s="129"/>
    </row>
    <row r="849" ht="18.75" customHeight="1">
      <c r="E849" s="129"/>
      <c r="H849" s="129"/>
    </row>
    <row r="850" ht="18.75" customHeight="1">
      <c r="E850" s="129"/>
      <c r="H850" s="129"/>
    </row>
    <row r="851" ht="18.75" customHeight="1">
      <c r="E851" s="129"/>
      <c r="H851" s="129"/>
    </row>
    <row r="852" ht="18.75" customHeight="1">
      <c r="E852" s="129"/>
      <c r="H852" s="129"/>
    </row>
    <row r="853" ht="18.75" customHeight="1">
      <c r="E853" s="129"/>
      <c r="H853" s="129"/>
    </row>
    <row r="854" ht="18.75" customHeight="1">
      <c r="E854" s="129"/>
      <c r="H854" s="129"/>
    </row>
    <row r="855" ht="18.75" customHeight="1">
      <c r="E855" s="129"/>
      <c r="H855" s="129"/>
    </row>
    <row r="856" ht="18.75" customHeight="1">
      <c r="E856" s="129"/>
      <c r="H856" s="129"/>
    </row>
    <row r="857" ht="18.75" customHeight="1">
      <c r="E857" s="129"/>
      <c r="H857" s="129"/>
    </row>
    <row r="858" ht="18.75" customHeight="1">
      <c r="E858" s="129"/>
      <c r="H858" s="129"/>
    </row>
    <row r="859" ht="18.75" customHeight="1">
      <c r="E859" s="129"/>
      <c r="H859" s="129"/>
    </row>
    <row r="860" ht="18.75" customHeight="1">
      <c r="E860" s="129"/>
      <c r="H860" s="129"/>
    </row>
    <row r="861" ht="18.75" customHeight="1">
      <c r="E861" s="129"/>
      <c r="H861" s="129"/>
    </row>
    <row r="862" ht="18.75" customHeight="1">
      <c r="E862" s="129"/>
      <c r="H862" s="129"/>
    </row>
    <row r="863" ht="18.75" customHeight="1">
      <c r="E863" s="129"/>
      <c r="H863" s="129"/>
    </row>
    <row r="864" ht="18.75" customHeight="1">
      <c r="E864" s="129"/>
      <c r="H864" s="129"/>
    </row>
    <row r="865" ht="18.75" customHeight="1">
      <c r="E865" s="129"/>
      <c r="H865" s="129"/>
    </row>
    <row r="866" ht="18.75" customHeight="1">
      <c r="E866" s="129"/>
      <c r="H866" s="129"/>
    </row>
    <row r="867" ht="18.75" customHeight="1">
      <c r="E867" s="129"/>
      <c r="H867" s="129"/>
    </row>
    <row r="868" ht="18.75" customHeight="1">
      <c r="E868" s="129"/>
      <c r="H868" s="129"/>
    </row>
    <row r="869" ht="18.75" customHeight="1">
      <c r="E869" s="129"/>
      <c r="H869" s="129"/>
    </row>
    <row r="870" ht="18.75" customHeight="1">
      <c r="E870" s="129"/>
      <c r="H870" s="129"/>
    </row>
    <row r="871" ht="18.75" customHeight="1">
      <c r="E871" s="129"/>
      <c r="H871" s="129"/>
    </row>
    <row r="872" ht="18.75" customHeight="1">
      <c r="E872" s="129"/>
      <c r="H872" s="129"/>
    </row>
    <row r="873" ht="18.75" customHeight="1">
      <c r="E873" s="129"/>
      <c r="H873" s="129"/>
    </row>
    <row r="874" ht="18.75" customHeight="1">
      <c r="E874" s="129"/>
      <c r="H874" s="129"/>
    </row>
    <row r="875" ht="18.75" customHeight="1">
      <c r="E875" s="129"/>
      <c r="H875" s="129"/>
    </row>
    <row r="876" ht="18.75" customHeight="1">
      <c r="E876" s="129"/>
      <c r="H876" s="129"/>
    </row>
    <row r="877" ht="18.75" customHeight="1">
      <c r="E877" s="129"/>
      <c r="H877" s="129"/>
    </row>
    <row r="878" ht="18.75" customHeight="1">
      <c r="E878" s="129"/>
      <c r="H878" s="129"/>
    </row>
    <row r="879" ht="18.75" customHeight="1">
      <c r="E879" s="129"/>
      <c r="H879" s="129"/>
    </row>
    <row r="880" ht="18.75" customHeight="1">
      <c r="E880" s="129"/>
      <c r="H880" s="129"/>
    </row>
    <row r="881" ht="18.75" customHeight="1">
      <c r="E881" s="129"/>
      <c r="H881" s="129"/>
    </row>
    <row r="882" ht="18.75" customHeight="1">
      <c r="E882" s="129"/>
      <c r="H882" s="129"/>
    </row>
    <row r="883" ht="18.75" customHeight="1">
      <c r="E883" s="129"/>
      <c r="H883" s="129"/>
    </row>
    <row r="884" ht="18.75" customHeight="1">
      <c r="E884" s="129"/>
      <c r="H884" s="129"/>
    </row>
    <row r="885" ht="18.75" customHeight="1">
      <c r="E885" s="129"/>
      <c r="H885" s="129"/>
    </row>
    <row r="886" ht="18.75" customHeight="1">
      <c r="E886" s="129"/>
      <c r="H886" s="129"/>
    </row>
    <row r="887" ht="18.75" customHeight="1">
      <c r="E887" s="129"/>
      <c r="H887" s="129"/>
    </row>
    <row r="888" ht="18.75" customHeight="1">
      <c r="E888" s="129"/>
      <c r="H888" s="129"/>
    </row>
    <row r="889" ht="18.75" customHeight="1">
      <c r="E889" s="129"/>
      <c r="H889" s="129"/>
    </row>
    <row r="890" ht="18.75" customHeight="1">
      <c r="E890" s="129"/>
      <c r="H890" s="129"/>
    </row>
    <row r="891" ht="18.75" customHeight="1">
      <c r="E891" s="129"/>
      <c r="H891" s="129"/>
    </row>
    <row r="892" ht="18.75" customHeight="1">
      <c r="E892" s="129"/>
      <c r="H892" s="129"/>
    </row>
    <row r="893" ht="18.75" customHeight="1">
      <c r="E893" s="129"/>
      <c r="H893" s="129"/>
    </row>
    <row r="894" ht="18.75" customHeight="1">
      <c r="E894" s="129"/>
      <c r="H894" s="129"/>
    </row>
    <row r="895" ht="18.75" customHeight="1">
      <c r="E895" s="129"/>
      <c r="H895" s="129"/>
    </row>
    <row r="896" ht="18.75" customHeight="1">
      <c r="E896" s="129"/>
      <c r="H896" s="129"/>
    </row>
    <row r="897" ht="18.75" customHeight="1">
      <c r="E897" s="129"/>
      <c r="H897" s="129"/>
    </row>
    <row r="898" ht="18.75" customHeight="1">
      <c r="E898" s="129"/>
      <c r="H898" s="129"/>
    </row>
    <row r="899" ht="18.75" customHeight="1">
      <c r="H899" s="129"/>
    </row>
    <row r="900" ht="18.75" customHeight="1">
      <c r="H900" s="129"/>
    </row>
    <row r="901" ht="18.75" customHeight="1">
      <c r="H901" s="129"/>
    </row>
    <row r="902" ht="18.75" customHeight="1">
      <c r="H902" s="129"/>
    </row>
    <row r="903" ht="18.75" customHeight="1">
      <c r="H903" s="129"/>
    </row>
    <row r="904" ht="18.75" customHeight="1">
      <c r="H904" s="129"/>
    </row>
    <row r="905" ht="18.75" customHeight="1">
      <c r="H905" s="129"/>
    </row>
    <row r="906" ht="18.75" customHeight="1">
      <c r="H906" s="129"/>
    </row>
    <row r="907" ht="18.75" customHeight="1">
      <c r="H907" s="129"/>
    </row>
    <row r="908" ht="18.75" customHeight="1">
      <c r="H908" s="129"/>
    </row>
    <row r="909" ht="18.75" customHeight="1">
      <c r="H909" s="129"/>
    </row>
    <row r="910" ht="18.75" customHeight="1">
      <c r="H910" s="129"/>
    </row>
    <row r="911" ht="18.75" customHeight="1">
      <c r="H911" s="129"/>
    </row>
    <row r="912" ht="18.75" customHeight="1">
      <c r="H912" s="129"/>
    </row>
    <row r="913" ht="18.75" customHeight="1">
      <c r="H913" s="129"/>
    </row>
    <row r="914" ht="18.75" customHeight="1">
      <c r="H914" s="129"/>
    </row>
    <row r="915" ht="18.75" customHeight="1">
      <c r="H915" s="129"/>
    </row>
    <row r="916" ht="18.75" customHeight="1">
      <c r="H916" s="129"/>
    </row>
    <row r="917" ht="18.75" customHeight="1">
      <c r="H917" s="129"/>
    </row>
    <row r="918" ht="18.75" customHeight="1">
      <c r="H918" s="129"/>
    </row>
    <row r="919" ht="18.75" customHeight="1">
      <c r="H919" s="129"/>
    </row>
    <row r="920" ht="18.75" customHeight="1">
      <c r="H920" s="129"/>
    </row>
    <row r="921" ht="18.75" customHeight="1">
      <c r="H921" s="129"/>
    </row>
    <row r="922" ht="18.75" customHeight="1">
      <c r="H922" s="129"/>
    </row>
    <row r="923" ht="18.75" customHeight="1">
      <c r="H923" s="129"/>
    </row>
    <row r="924" ht="18.75" customHeight="1">
      <c r="H924" s="129"/>
    </row>
    <row r="925" ht="18.75" customHeight="1">
      <c r="H925" s="129"/>
    </row>
    <row r="926" ht="18.75" customHeight="1">
      <c r="H926" s="129"/>
    </row>
    <row r="927" ht="18.75" customHeight="1">
      <c r="H927" s="129"/>
    </row>
    <row r="928" ht="18.75" customHeight="1">
      <c r="H928" s="129"/>
    </row>
    <row r="929" ht="18.75" customHeight="1">
      <c r="H929" s="129"/>
    </row>
    <row r="930" ht="18.75" customHeight="1">
      <c r="H930" s="129"/>
    </row>
    <row r="931" ht="18.75" customHeight="1">
      <c r="H931" s="129"/>
    </row>
    <row r="932" ht="18.75" customHeight="1">
      <c r="H932" s="129"/>
    </row>
    <row r="933" ht="18.75" customHeight="1">
      <c r="H933" s="129"/>
    </row>
    <row r="934" ht="18.75" customHeight="1">
      <c r="H934" s="129"/>
    </row>
    <row r="935" ht="18.75" customHeight="1">
      <c r="H935" s="129"/>
    </row>
    <row r="936" ht="18.75" customHeight="1">
      <c r="H936" s="129"/>
    </row>
    <row r="937" ht="18.75" customHeight="1">
      <c r="H937" s="129"/>
    </row>
    <row r="938" ht="18.75" customHeight="1">
      <c r="H938" s="129"/>
    </row>
    <row r="939" ht="18.75" customHeight="1">
      <c r="H939" s="129"/>
    </row>
    <row r="940" ht="18.75" customHeight="1">
      <c r="H940" s="129"/>
    </row>
    <row r="941" ht="18.75" customHeight="1">
      <c r="H941" s="129"/>
    </row>
    <row r="942" ht="18.75" customHeight="1">
      <c r="H942" s="129"/>
    </row>
    <row r="943" ht="18.75" customHeight="1">
      <c r="H943" s="129"/>
    </row>
    <row r="944" ht="18.75" customHeight="1">
      <c r="H944" s="129"/>
    </row>
    <row r="945" ht="18.75" customHeight="1">
      <c r="H945" s="129"/>
    </row>
    <row r="946" ht="18.75" customHeight="1">
      <c r="H946" s="129"/>
    </row>
    <row r="947" ht="18.75" customHeight="1">
      <c r="H947" s="129"/>
    </row>
    <row r="948" ht="18.75" customHeight="1">
      <c r="H948" s="129"/>
    </row>
    <row r="949" ht="18.75" customHeight="1">
      <c r="H949" s="129"/>
    </row>
    <row r="950" ht="18.75" customHeight="1">
      <c r="H950" s="129"/>
    </row>
    <row r="951" ht="18.75" customHeight="1">
      <c r="H951" s="129"/>
    </row>
    <row r="952" ht="18.75" customHeight="1">
      <c r="H952" s="129"/>
    </row>
    <row r="953" ht="18.75" customHeight="1">
      <c r="H953" s="129"/>
    </row>
    <row r="954" ht="18.75" customHeight="1">
      <c r="H954" s="129"/>
    </row>
    <row r="955" ht="18.75" customHeight="1">
      <c r="H955" s="129"/>
    </row>
    <row r="956" ht="18.75" customHeight="1">
      <c r="H956" s="129"/>
    </row>
    <row r="957" ht="18.75" customHeight="1">
      <c r="H957" s="129"/>
    </row>
    <row r="958" ht="18.75" customHeight="1">
      <c r="H958" s="129"/>
    </row>
    <row r="959" ht="18.75" customHeight="1">
      <c r="H959" s="129"/>
    </row>
    <row r="960" ht="18.75" customHeight="1">
      <c r="H960" s="129"/>
    </row>
    <row r="961" ht="18.75" customHeight="1">
      <c r="H961" s="129"/>
    </row>
    <row r="962" ht="18.75" customHeight="1">
      <c r="H962" s="129"/>
    </row>
    <row r="963" ht="18.75" customHeight="1">
      <c r="H963" s="129"/>
    </row>
    <row r="964" ht="18.75" customHeight="1">
      <c r="H964" s="129"/>
    </row>
    <row r="965" ht="18.75" customHeight="1">
      <c r="H965" s="129"/>
    </row>
    <row r="966" ht="18.75" customHeight="1">
      <c r="H966" s="129"/>
    </row>
    <row r="967" ht="18.75" customHeight="1">
      <c r="H967" s="129"/>
    </row>
    <row r="968" ht="18.75" customHeight="1">
      <c r="H968" s="129"/>
    </row>
    <row r="969" ht="18.75" customHeight="1">
      <c r="H969" s="129"/>
    </row>
    <row r="970" ht="18.75" customHeight="1">
      <c r="H970" s="129"/>
    </row>
    <row r="971" ht="18.75" customHeight="1">
      <c r="H971" s="129"/>
    </row>
    <row r="972" ht="18.75" customHeight="1">
      <c r="H972" s="129"/>
    </row>
    <row r="973" ht="18.75" customHeight="1">
      <c r="H973" s="129"/>
    </row>
    <row r="974" ht="18.75" customHeight="1">
      <c r="H974" s="129"/>
    </row>
    <row r="975" ht="18.75" customHeight="1">
      <c r="H975" s="129"/>
    </row>
    <row r="976" ht="18.75" customHeight="1">
      <c r="H976" s="129"/>
    </row>
    <row r="977" ht="18.75" customHeight="1">
      <c r="H977" s="129"/>
    </row>
    <row r="978" ht="18.75" customHeight="1">
      <c r="H978" s="129"/>
    </row>
    <row r="979" ht="18.75" customHeight="1">
      <c r="H979" s="129"/>
    </row>
    <row r="980" ht="18.75" customHeight="1">
      <c r="H980" s="129"/>
    </row>
    <row r="981" ht="18.75" customHeight="1">
      <c r="H981" s="129"/>
    </row>
    <row r="982" ht="18.75" customHeight="1">
      <c r="H982" s="129"/>
    </row>
    <row r="983" ht="18.75" customHeight="1">
      <c r="H983" s="129"/>
    </row>
    <row r="984" ht="18.75" customHeight="1">
      <c r="H984" s="129"/>
    </row>
    <row r="985" ht="18.75" customHeight="1">
      <c r="H985" s="129"/>
    </row>
    <row r="986" ht="18.75" customHeight="1">
      <c r="H986" s="129"/>
    </row>
    <row r="987" ht="18.75" customHeight="1">
      <c r="H987" s="129"/>
    </row>
    <row r="988" ht="18.75" customHeight="1">
      <c r="H988" s="129"/>
    </row>
    <row r="989" ht="18.75" customHeight="1">
      <c r="H989" s="129"/>
    </row>
    <row r="990" ht="18.75" customHeight="1">
      <c r="H990" s="129"/>
    </row>
    <row r="991" ht="18.75" customHeight="1">
      <c r="H991" s="129"/>
    </row>
    <row r="992" ht="18.75" customHeight="1">
      <c r="H992" s="129"/>
    </row>
    <row r="993" ht="18.75" customHeight="1">
      <c r="H993" s="129"/>
    </row>
    <row r="994" ht="18.75" customHeight="1">
      <c r="H994" s="129"/>
    </row>
    <row r="995" ht="18.75" customHeight="1">
      <c r="H995" s="129"/>
    </row>
    <row r="996" ht="18.75" customHeight="1">
      <c r="H996" s="129"/>
    </row>
    <row r="997" ht="18.75" customHeight="1">
      <c r="H997" s="129"/>
    </row>
    <row r="998" ht="18.75" customHeight="1">
      <c r="H998" s="129"/>
    </row>
    <row r="999" ht="18.75" customHeight="1">
      <c r="H999" s="129"/>
    </row>
  </sheetData>
  <mergeCells count="21">
    <mergeCell ref="A1:F1"/>
    <mergeCell ref="H1:J1"/>
    <mergeCell ref="A2:F2"/>
    <mergeCell ref="A3:A6"/>
    <mergeCell ref="B3:B6"/>
    <mergeCell ref="E3:E6"/>
    <mergeCell ref="F3:F6"/>
    <mergeCell ref="L5:P5"/>
    <mergeCell ref="L20:L22"/>
    <mergeCell ref="H21:J21"/>
    <mergeCell ref="L23:M23"/>
    <mergeCell ref="L24:L26"/>
    <mergeCell ref="L27:M27"/>
    <mergeCell ref="H43:K43"/>
    <mergeCell ref="C3:D3"/>
    <mergeCell ref="C4:C5"/>
    <mergeCell ref="D4:D5"/>
    <mergeCell ref="L7:L13"/>
    <mergeCell ref="L14:M14"/>
    <mergeCell ref="L15:L18"/>
    <mergeCell ref="L19:M19"/>
  </mergeCells>
  <dataValidations>
    <dataValidation type="list" allowBlank="1" showErrorMessage="1" sqref="E8:E98">
      <formula1>"1,1,1,2,1,3,2,1,2,2,2,3,2,4,2,5,2,6,2,7,2,8,2,9,2,11,2,12"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2.71"/>
    <col customWidth="1" min="3" max="4" width="13.86"/>
    <col customWidth="1" min="5" max="5" width="10.0"/>
    <col customWidth="1" min="6" max="6" width="42.29"/>
    <col customWidth="1" min="7" max="7" width="7.0"/>
    <col customWidth="1" min="8" max="8" width="14.0"/>
    <col customWidth="1" min="9" max="9" width="46.0"/>
    <col customWidth="1" min="10" max="10" width="16.0"/>
    <col customWidth="1" min="11" max="11" width="7.29"/>
    <col customWidth="1" min="12" max="12" width="11.86"/>
    <col customWidth="1" min="13" max="13" width="15.14"/>
    <col customWidth="1" min="14" max="15" width="15.86"/>
    <col customWidth="1" min="16" max="16" width="27.71"/>
    <col customWidth="1" min="17" max="17" width="14.29"/>
    <col customWidth="1" min="18" max="25" width="14.0"/>
  </cols>
  <sheetData>
    <row r="1" ht="18.75" customHeight="1">
      <c r="A1" s="9" t="s">
        <v>20</v>
      </c>
      <c r="F1" s="10"/>
      <c r="G1" s="11"/>
      <c r="H1" s="115" t="s">
        <v>119</v>
      </c>
      <c r="I1" s="13"/>
      <c r="J1" s="14"/>
      <c r="K1" s="11"/>
      <c r="O1" s="130"/>
    </row>
    <row r="2" ht="18.75" customHeight="1">
      <c r="A2" s="36" t="s">
        <v>289</v>
      </c>
      <c r="G2" s="11"/>
      <c r="H2" s="116" t="s">
        <v>23</v>
      </c>
      <c r="I2" s="17" t="s">
        <v>24</v>
      </c>
      <c r="J2" s="18" t="s">
        <v>25</v>
      </c>
      <c r="K2" s="11"/>
      <c r="O2" s="130"/>
    </row>
    <row r="3" ht="18.75" customHeight="1">
      <c r="A3" s="19" t="s">
        <v>26</v>
      </c>
      <c r="B3" s="19" t="s">
        <v>27</v>
      </c>
      <c r="C3" s="20" t="s">
        <v>28</v>
      </c>
      <c r="D3" s="21"/>
      <c r="E3" s="117" t="s">
        <v>23</v>
      </c>
      <c r="F3" s="19" t="s">
        <v>24</v>
      </c>
      <c r="G3" s="11"/>
      <c r="H3" s="118" t="s">
        <v>223</v>
      </c>
      <c r="I3" s="24" t="s">
        <v>29</v>
      </c>
      <c r="J3" s="25">
        <f>SUM(J4:J6)</f>
        <v>295697978</v>
      </c>
      <c r="K3" s="11"/>
      <c r="O3" s="130"/>
    </row>
    <row r="4" ht="18.75" customHeight="1">
      <c r="A4" s="26"/>
      <c r="B4" s="26"/>
      <c r="C4" s="19" t="s">
        <v>30</v>
      </c>
      <c r="D4" s="19" t="s">
        <v>31</v>
      </c>
      <c r="E4" s="27"/>
      <c r="F4" s="26"/>
      <c r="G4" s="11"/>
      <c r="H4" s="119" t="s">
        <v>224</v>
      </c>
      <c r="I4" s="33" t="s">
        <v>121</v>
      </c>
      <c r="J4" s="25">
        <f>SUMIF($E$8:$E$100,1.1,$C$8:$C$100)</f>
        <v>0</v>
      </c>
      <c r="K4" s="11"/>
      <c r="O4" s="130"/>
    </row>
    <row r="5" ht="18.75" customHeight="1">
      <c r="A5" s="26"/>
      <c r="B5" s="26"/>
      <c r="C5" s="30"/>
      <c r="D5" s="30"/>
      <c r="E5" s="27"/>
      <c r="F5" s="26"/>
      <c r="G5" s="11"/>
      <c r="H5" s="119" t="s">
        <v>225</v>
      </c>
      <c r="I5" s="33" t="s">
        <v>122</v>
      </c>
      <c r="J5" s="25">
        <f>SUMIF($E$8:$E$100,1.2,$C$8:$C$100)</f>
        <v>295697978</v>
      </c>
      <c r="K5" s="11"/>
      <c r="L5" s="131" t="s">
        <v>266</v>
      </c>
    </row>
    <row r="6" ht="18.75" customHeight="1">
      <c r="A6" s="30"/>
      <c r="B6" s="30"/>
      <c r="C6" s="31"/>
      <c r="D6" s="31"/>
      <c r="E6" s="32"/>
      <c r="F6" s="30"/>
      <c r="G6" s="11"/>
      <c r="H6" s="119" t="s">
        <v>226</v>
      </c>
      <c r="I6" s="33" t="s">
        <v>34</v>
      </c>
      <c r="J6" s="25">
        <f>SUMIF($E$8:$E$100,1.3,$C$8:$C$100)</f>
        <v>0</v>
      </c>
      <c r="K6" s="11"/>
      <c r="L6" s="132" t="s">
        <v>35</v>
      </c>
      <c r="M6" s="133" t="s">
        <v>36</v>
      </c>
      <c r="N6" s="133" t="s">
        <v>37</v>
      </c>
      <c r="O6" s="133" t="s">
        <v>38</v>
      </c>
      <c r="P6" s="132" t="s">
        <v>39</v>
      </c>
    </row>
    <row r="7" ht="21.75" customHeight="1">
      <c r="A7" s="36"/>
      <c r="B7" s="36" t="s">
        <v>267</v>
      </c>
      <c r="C7" s="42">
        <f t="shared" ref="C7:D7" si="1">SUM(C8:C100)</f>
        <v>295697978</v>
      </c>
      <c r="D7" s="42">
        <f t="shared" si="1"/>
        <v>369183401</v>
      </c>
      <c r="E7" s="39"/>
      <c r="F7" s="40"/>
      <c r="G7" s="40"/>
      <c r="H7" s="134" t="s">
        <v>228</v>
      </c>
      <c r="I7" s="53" t="s">
        <v>45</v>
      </c>
      <c r="J7" s="25">
        <f>SUM(J8:J18)</f>
        <v>369183401</v>
      </c>
      <c r="K7" s="40"/>
      <c r="L7" s="135" t="s">
        <v>290</v>
      </c>
      <c r="M7" s="136">
        <v>45999.0</v>
      </c>
      <c r="N7" s="137"/>
      <c r="O7" s="138">
        <v>4.58E7</v>
      </c>
      <c r="P7" s="137" t="s">
        <v>284</v>
      </c>
    </row>
    <row r="8" ht="18.75" customHeight="1">
      <c r="A8" s="111">
        <v>1.0</v>
      </c>
      <c r="B8" s="112">
        <v>45992.0</v>
      </c>
      <c r="C8" s="113"/>
      <c r="D8" s="139">
        <v>7000000.0</v>
      </c>
      <c r="E8" s="120" t="s">
        <v>62</v>
      </c>
      <c r="F8" s="33" t="s">
        <v>291</v>
      </c>
      <c r="G8" s="11"/>
      <c r="H8" s="120" t="s">
        <v>230</v>
      </c>
      <c r="I8" s="58" t="s">
        <v>49</v>
      </c>
      <c r="J8" s="59">
        <f>SUMIF($E$8:$E$100,2.1,$D$8:$D$100)</f>
        <v>0</v>
      </c>
      <c r="K8" s="11"/>
      <c r="L8" s="54"/>
      <c r="M8" s="136">
        <v>46001.0</v>
      </c>
      <c r="N8" s="137"/>
      <c r="O8" s="138">
        <v>1.0756E7</v>
      </c>
      <c r="P8" s="137" t="s">
        <v>286</v>
      </c>
    </row>
    <row r="9" ht="18.75" customHeight="1">
      <c r="A9" s="55">
        <v>2.0</v>
      </c>
      <c r="B9" s="112">
        <v>45995.0</v>
      </c>
      <c r="C9" s="107"/>
      <c r="D9" s="107">
        <v>1.26E7</v>
      </c>
      <c r="E9" s="121" t="s">
        <v>127</v>
      </c>
      <c r="F9" s="58" t="s">
        <v>292</v>
      </c>
      <c r="G9" s="56"/>
      <c r="H9" s="121" t="s">
        <v>231</v>
      </c>
      <c r="I9" s="58" t="s">
        <v>53</v>
      </c>
      <c r="J9" s="25">
        <f>SUMIF($E$8:$E$100,2.2,$D$8:$D$100)</f>
        <v>57416333</v>
      </c>
      <c r="K9" s="11"/>
      <c r="L9" s="54"/>
      <c r="M9" s="136">
        <v>45999.0</v>
      </c>
      <c r="N9" s="137"/>
      <c r="O9" s="138">
        <v>1.26E7</v>
      </c>
      <c r="P9" s="137" t="s">
        <v>287</v>
      </c>
    </row>
    <row r="10" ht="18.75" customHeight="1">
      <c r="A10" s="111">
        <v>3.0</v>
      </c>
      <c r="B10" s="112">
        <v>45995.0</v>
      </c>
      <c r="C10" s="103"/>
      <c r="D10" s="103">
        <v>1.0756068E7</v>
      </c>
      <c r="E10" s="121" t="s">
        <v>47</v>
      </c>
      <c r="F10" s="58" t="s">
        <v>293</v>
      </c>
      <c r="G10" s="56"/>
      <c r="H10" s="121" t="s">
        <v>234</v>
      </c>
      <c r="I10" s="58" t="s">
        <v>56</v>
      </c>
      <c r="J10" s="25">
        <f>SUMIF($E$8:$E$100,2.3,$D$8:$D$100)</f>
        <v>268400000</v>
      </c>
      <c r="K10" s="11"/>
      <c r="L10" s="54"/>
      <c r="M10" s="136">
        <v>45999.0</v>
      </c>
      <c r="N10" s="138">
        <v>6.27E7</v>
      </c>
      <c r="O10" s="138"/>
      <c r="P10" s="137" t="s">
        <v>294</v>
      </c>
    </row>
    <row r="11" ht="18.75" customHeight="1">
      <c r="A11" s="55">
        <v>4.0</v>
      </c>
      <c r="B11" s="112">
        <v>45995.0</v>
      </c>
      <c r="C11" s="103"/>
      <c r="D11" s="103">
        <v>4.5416333E7</v>
      </c>
      <c r="E11" s="121" t="s">
        <v>62</v>
      </c>
      <c r="F11" s="58" t="s">
        <v>295</v>
      </c>
      <c r="G11" s="56"/>
      <c r="H11" s="121" t="s">
        <v>236</v>
      </c>
      <c r="I11" s="58" t="s">
        <v>59</v>
      </c>
      <c r="J11" s="25">
        <f>SUMIF($E$8:$E$100,2.4,$D$8:$D$100)</f>
        <v>0</v>
      </c>
      <c r="K11" s="11"/>
      <c r="L11" s="54"/>
      <c r="M11" s="136">
        <v>46001.0</v>
      </c>
      <c r="N11" s="138"/>
      <c r="O11" s="138">
        <f>5600000*2</f>
        <v>11200000</v>
      </c>
      <c r="P11" s="137" t="s">
        <v>296</v>
      </c>
    </row>
    <row r="12" ht="18.75" customHeight="1">
      <c r="A12" s="111">
        <v>5.0</v>
      </c>
      <c r="B12" s="112">
        <v>46003.0</v>
      </c>
      <c r="C12" s="103"/>
      <c r="D12" s="103">
        <v>2661000.0</v>
      </c>
      <c r="E12" s="121" t="s">
        <v>123</v>
      </c>
      <c r="F12" s="58" t="s">
        <v>297</v>
      </c>
      <c r="G12" s="56"/>
      <c r="H12" s="121" t="s">
        <v>238</v>
      </c>
      <c r="I12" s="58" t="s">
        <v>64</v>
      </c>
      <c r="J12" s="25">
        <f>SUMIF($E$8:$E$100,2.5,$D$8:$D$100)</f>
        <v>0</v>
      </c>
      <c r="K12" s="11"/>
      <c r="L12" s="54"/>
      <c r="M12" s="136">
        <v>46004.0</v>
      </c>
      <c r="N12" s="138">
        <v>1.5E8</v>
      </c>
      <c r="O12" s="138"/>
      <c r="P12" s="137" t="s">
        <v>298</v>
      </c>
    </row>
    <row r="13" ht="18.75" customHeight="1">
      <c r="A13" s="55">
        <v>6.0</v>
      </c>
      <c r="B13" s="112">
        <v>46006.0</v>
      </c>
      <c r="C13" s="103"/>
      <c r="D13" s="103">
        <v>1000000.0</v>
      </c>
      <c r="E13" s="121" t="s">
        <v>67</v>
      </c>
      <c r="F13" s="58" t="s">
        <v>299</v>
      </c>
      <c r="G13" s="56"/>
      <c r="H13" s="121" t="s">
        <v>240</v>
      </c>
      <c r="I13" s="58" t="s">
        <v>66</v>
      </c>
      <c r="J13" s="25">
        <f>SUMIF($E$8:$E$100,2.6,$D$8:$D$100)</f>
        <v>10756068</v>
      </c>
      <c r="K13" s="11"/>
      <c r="L13" s="54"/>
      <c r="M13" s="136">
        <v>45999.0</v>
      </c>
      <c r="N13" s="138"/>
      <c r="O13" s="138">
        <v>1.19422076E8</v>
      </c>
      <c r="P13" s="137" t="s">
        <v>300</v>
      </c>
    </row>
    <row r="14" ht="18.75" customHeight="1">
      <c r="A14" s="111">
        <v>7.0</v>
      </c>
      <c r="B14" s="112">
        <v>46021.0</v>
      </c>
      <c r="C14" s="103"/>
      <c r="D14" s="103">
        <v>1.735E7</v>
      </c>
      <c r="E14" s="121" t="s">
        <v>301</v>
      </c>
      <c r="F14" s="58" t="s">
        <v>302</v>
      </c>
      <c r="G14" s="56"/>
      <c r="H14" s="121" t="s">
        <v>242</v>
      </c>
      <c r="I14" s="58" t="s">
        <v>69</v>
      </c>
      <c r="J14" s="25">
        <f>SUMIF($E$8:$E$100,2.7,$D$8:$D$100)</f>
        <v>2661000</v>
      </c>
      <c r="K14" s="11"/>
      <c r="L14" s="54"/>
      <c r="M14" s="136">
        <v>46004.0</v>
      </c>
      <c r="N14" s="138"/>
      <c r="O14" s="138">
        <v>7.9377022E7</v>
      </c>
      <c r="P14" s="137" t="s">
        <v>303</v>
      </c>
    </row>
    <row r="15" ht="18.75" customHeight="1">
      <c r="A15" s="55">
        <v>8.0</v>
      </c>
      <c r="B15" s="112">
        <v>46022.0</v>
      </c>
      <c r="C15" s="139"/>
      <c r="D15" s="149">
        <v>5000000.0</v>
      </c>
      <c r="E15" s="121" t="s">
        <v>62</v>
      </c>
      <c r="F15" s="144" t="s">
        <v>304</v>
      </c>
      <c r="G15" s="56"/>
      <c r="H15" s="121" t="s">
        <v>243</v>
      </c>
      <c r="I15" s="58" t="s">
        <v>71</v>
      </c>
      <c r="J15" s="25">
        <f>SUMIF($E$8:$E$100,2.8,$D$8:$D$100)</f>
        <v>12600000</v>
      </c>
      <c r="K15" s="11"/>
      <c r="L15" s="141" t="s">
        <v>72</v>
      </c>
      <c r="M15" s="67"/>
      <c r="N15" s="142">
        <f t="shared" ref="N15:O15" si="2">SUM(N7:N14)</f>
        <v>212700000</v>
      </c>
      <c r="O15" s="142">
        <f t="shared" si="2"/>
        <v>279155098</v>
      </c>
      <c r="P15" s="143"/>
    </row>
    <row r="16" ht="18.75" customHeight="1">
      <c r="A16" s="111">
        <v>9.0</v>
      </c>
      <c r="B16" s="112">
        <v>45992.0</v>
      </c>
      <c r="C16" s="139"/>
      <c r="D16" s="139">
        <v>1.0E7</v>
      </c>
      <c r="E16" s="120" t="s">
        <v>67</v>
      </c>
      <c r="F16" s="33" t="s">
        <v>241</v>
      </c>
      <c r="G16" s="56"/>
      <c r="H16" s="121" t="s">
        <v>245</v>
      </c>
      <c r="I16" s="58" t="s">
        <v>74</v>
      </c>
      <c r="J16" s="25">
        <f>SUMIF($E$8:$E$100,2.9,$D$8:$D$100)</f>
        <v>17350000</v>
      </c>
      <c r="K16" s="11"/>
      <c r="L16" s="135" t="s">
        <v>305</v>
      </c>
      <c r="M16" s="136">
        <v>46006.0</v>
      </c>
      <c r="N16" s="138"/>
      <c r="O16" s="138">
        <f>5600000*3</f>
        <v>16800000</v>
      </c>
      <c r="P16" s="137" t="s">
        <v>306</v>
      </c>
    </row>
    <row r="17" ht="18.75" customHeight="1">
      <c r="A17" s="55">
        <v>10.0</v>
      </c>
      <c r="B17" s="112">
        <v>45994.0</v>
      </c>
      <c r="C17" s="139"/>
      <c r="D17" s="113">
        <v>1.5E7</v>
      </c>
      <c r="E17" s="120" t="s">
        <v>67</v>
      </c>
      <c r="F17" s="33" t="s">
        <v>241</v>
      </c>
      <c r="G17" s="56"/>
      <c r="H17" s="121" t="s">
        <v>247</v>
      </c>
      <c r="I17" s="58" t="s">
        <v>77</v>
      </c>
      <c r="J17" s="25">
        <f>SUMIF($E$8:$E$100,2.11,$D$8:$D$100)</f>
        <v>0</v>
      </c>
      <c r="K17" s="11"/>
      <c r="L17" s="54"/>
      <c r="M17" s="136">
        <v>46006.0</v>
      </c>
      <c r="N17" s="138">
        <v>6.875E7</v>
      </c>
      <c r="O17" s="138"/>
      <c r="P17" s="137" t="s">
        <v>307</v>
      </c>
    </row>
    <row r="18" ht="18.75" customHeight="1">
      <c r="A18" s="111">
        <v>11.0</v>
      </c>
      <c r="B18" s="112">
        <v>45996.0</v>
      </c>
      <c r="C18" s="139"/>
      <c r="D18" s="139">
        <v>5000000.0</v>
      </c>
      <c r="E18" s="120" t="s">
        <v>67</v>
      </c>
      <c r="F18" s="33" t="s">
        <v>241</v>
      </c>
      <c r="G18" s="56"/>
      <c r="H18" s="121" t="s">
        <v>248</v>
      </c>
      <c r="I18" s="58" t="s">
        <v>80</v>
      </c>
      <c r="J18" s="25">
        <f>SUMIF($E$8:$E$100,2.12,$D$8:$D$100)</f>
        <v>0</v>
      </c>
      <c r="K18" s="11"/>
      <c r="L18" s="54"/>
      <c r="M18" s="136">
        <v>46006.0</v>
      </c>
      <c r="N18" s="138"/>
      <c r="O18" s="138">
        <v>1000000.0</v>
      </c>
      <c r="P18" s="137" t="s">
        <v>308</v>
      </c>
    </row>
    <row r="19" ht="18.75" customHeight="1">
      <c r="A19" s="55">
        <v>12.0</v>
      </c>
      <c r="B19" s="112">
        <v>45997.0</v>
      </c>
      <c r="C19" s="139"/>
      <c r="D19" s="139">
        <v>2.0E7</v>
      </c>
      <c r="E19" s="120" t="s">
        <v>67</v>
      </c>
      <c r="F19" s="33" t="s">
        <v>241</v>
      </c>
      <c r="G19" s="56"/>
      <c r="H19" s="145" t="s">
        <v>249</v>
      </c>
      <c r="I19" s="74" t="s">
        <v>82</v>
      </c>
      <c r="J19" s="75">
        <f>J3-J7</f>
        <v>-73485423</v>
      </c>
      <c r="K19" s="11"/>
      <c r="L19" s="54"/>
      <c r="M19" s="136">
        <v>46006.0</v>
      </c>
      <c r="N19" s="138"/>
      <c r="O19" s="150">
        <v>1.17755409E8</v>
      </c>
      <c r="P19" s="137" t="s">
        <v>309</v>
      </c>
    </row>
    <row r="20" ht="18.75" customHeight="1">
      <c r="A20" s="111">
        <v>13.0</v>
      </c>
      <c r="B20" s="112">
        <v>45999.0</v>
      </c>
      <c r="C20" s="139"/>
      <c r="D20" s="139">
        <v>2.0E7</v>
      </c>
      <c r="E20" s="120" t="s">
        <v>67</v>
      </c>
      <c r="F20" s="33" t="s">
        <v>241</v>
      </c>
      <c r="G20" s="56"/>
      <c r="H20" s="123"/>
      <c r="I20" s="74"/>
      <c r="J20" s="75"/>
      <c r="K20" s="11"/>
      <c r="L20" s="54"/>
      <c r="M20" s="136">
        <v>46006.0</v>
      </c>
      <c r="N20" s="138"/>
      <c r="O20" s="138">
        <v>7.9377022E7</v>
      </c>
      <c r="P20" s="137" t="s">
        <v>303</v>
      </c>
    </row>
    <row r="21" ht="18.75" customHeight="1">
      <c r="A21" s="55">
        <v>14.0</v>
      </c>
      <c r="B21" s="112">
        <v>46001.0</v>
      </c>
      <c r="C21" s="139"/>
      <c r="D21" s="139">
        <v>5000000.0</v>
      </c>
      <c r="E21" s="120" t="s">
        <v>67</v>
      </c>
      <c r="F21" s="33" t="s">
        <v>241</v>
      </c>
      <c r="G21" s="56"/>
      <c r="K21" s="11"/>
      <c r="L21" s="54"/>
      <c r="M21" s="136">
        <v>46011.0</v>
      </c>
      <c r="N21" s="138">
        <v>5.775E7</v>
      </c>
      <c r="P21" s="137" t="s">
        <v>310</v>
      </c>
    </row>
    <row r="22" ht="18.75" customHeight="1">
      <c r="A22" s="111">
        <v>15.0</v>
      </c>
      <c r="B22" s="112">
        <v>46002.0</v>
      </c>
      <c r="C22" s="139"/>
      <c r="D22" s="139">
        <v>8000000.0</v>
      </c>
      <c r="E22" s="120" t="s">
        <v>67</v>
      </c>
      <c r="F22" s="33" t="s">
        <v>241</v>
      </c>
      <c r="G22" s="11"/>
      <c r="K22" s="11"/>
      <c r="L22" s="141" t="s">
        <v>72</v>
      </c>
      <c r="M22" s="67"/>
      <c r="N22" s="142">
        <f t="shared" ref="N22:O22" si="3">SUM(N16:N21)</f>
        <v>126500000</v>
      </c>
      <c r="O22" s="142">
        <f t="shared" si="3"/>
        <v>214932431</v>
      </c>
      <c r="P22" s="143"/>
    </row>
    <row r="23" ht="18.75" customHeight="1">
      <c r="A23" s="55">
        <v>16.0</v>
      </c>
      <c r="B23" s="112">
        <v>46003.0</v>
      </c>
      <c r="C23" s="139"/>
      <c r="D23" s="139">
        <v>1500000.0</v>
      </c>
      <c r="E23" s="120" t="s">
        <v>67</v>
      </c>
      <c r="F23" s="33" t="s">
        <v>241</v>
      </c>
      <c r="G23" s="11"/>
      <c r="H23" s="115" t="s">
        <v>132</v>
      </c>
      <c r="I23" s="13"/>
      <c r="J23" s="14"/>
      <c r="K23" s="11"/>
      <c r="L23" s="135" t="s">
        <v>311</v>
      </c>
      <c r="M23" s="136"/>
      <c r="N23" s="137"/>
      <c r="O23" s="138"/>
      <c r="P23" s="137"/>
    </row>
    <row r="24" ht="18.75" customHeight="1">
      <c r="A24" s="111">
        <v>17.0</v>
      </c>
      <c r="B24" s="112">
        <v>46003.0</v>
      </c>
      <c r="C24" s="139"/>
      <c r="D24" s="139">
        <v>1000000.0</v>
      </c>
      <c r="E24" s="120" t="s">
        <v>67</v>
      </c>
      <c r="F24" s="33" t="s">
        <v>241</v>
      </c>
      <c r="G24" s="11"/>
      <c r="H24" s="125"/>
      <c r="I24" s="74" t="s">
        <v>24</v>
      </c>
      <c r="J24" s="57" t="s">
        <v>25</v>
      </c>
      <c r="K24" s="11"/>
      <c r="L24" s="54"/>
      <c r="M24" s="136"/>
      <c r="N24" s="138"/>
      <c r="O24" s="138"/>
      <c r="P24" s="137"/>
    </row>
    <row r="25" ht="18.75" customHeight="1">
      <c r="A25" s="55">
        <v>18.0</v>
      </c>
      <c r="B25" s="112">
        <v>46004.0</v>
      </c>
      <c r="C25" s="139"/>
      <c r="D25" s="139">
        <v>1.0E7</v>
      </c>
      <c r="E25" s="120" t="s">
        <v>67</v>
      </c>
      <c r="F25" s="33" t="s">
        <v>241</v>
      </c>
      <c r="G25" s="11"/>
      <c r="H25" s="126" t="s">
        <v>86</v>
      </c>
      <c r="I25" s="74" t="s">
        <v>87</v>
      </c>
      <c r="J25" s="80">
        <v>0.0</v>
      </c>
      <c r="K25" s="11"/>
      <c r="L25" s="54"/>
      <c r="M25" s="136"/>
      <c r="N25" s="138"/>
      <c r="O25" s="138"/>
      <c r="P25" s="137"/>
    </row>
    <row r="26" ht="18.75" customHeight="1">
      <c r="A26" s="111">
        <v>19.0</v>
      </c>
      <c r="B26" s="112">
        <v>46004.0</v>
      </c>
      <c r="C26" s="139"/>
      <c r="D26" s="139">
        <v>1.5E7</v>
      </c>
      <c r="E26" s="120" t="s">
        <v>67</v>
      </c>
      <c r="F26" s="33" t="s">
        <v>241</v>
      </c>
      <c r="G26" s="11"/>
      <c r="H26" s="126" t="s">
        <v>88</v>
      </c>
      <c r="I26" s="74" t="s">
        <v>89</v>
      </c>
      <c r="J26" s="82">
        <f>SUM(J27:J29)</f>
        <v>295697978</v>
      </c>
      <c r="K26" s="11"/>
      <c r="L26" s="141" t="s">
        <v>72</v>
      </c>
      <c r="M26" s="67"/>
      <c r="N26" s="142">
        <f t="shared" ref="N26:O26" si="4">SUM(N23:N25)</f>
        <v>0</v>
      </c>
      <c r="O26" s="142">
        <f t="shared" si="4"/>
        <v>0</v>
      </c>
      <c r="P26" s="143"/>
    </row>
    <row r="27" ht="18.75" customHeight="1">
      <c r="A27" s="55">
        <v>20.0</v>
      </c>
      <c r="B27" s="112">
        <v>46005.0</v>
      </c>
      <c r="C27" s="139"/>
      <c r="D27" s="139">
        <v>7000000.0</v>
      </c>
      <c r="E27" s="120" t="s">
        <v>67</v>
      </c>
      <c r="F27" s="33" t="s">
        <v>241</v>
      </c>
      <c r="G27" s="56"/>
      <c r="H27" s="125"/>
      <c r="I27" s="58" t="s">
        <v>90</v>
      </c>
      <c r="J27" s="82">
        <f>J3</f>
        <v>295697978</v>
      </c>
      <c r="K27" s="11"/>
    </row>
    <row r="28" ht="18.75" customHeight="1">
      <c r="A28" s="111">
        <v>21.0</v>
      </c>
      <c r="B28" s="112">
        <v>46005.0</v>
      </c>
      <c r="C28" s="139"/>
      <c r="D28" s="139">
        <v>5000000.0</v>
      </c>
      <c r="E28" s="120" t="s">
        <v>67</v>
      </c>
      <c r="F28" s="33" t="s">
        <v>241</v>
      </c>
      <c r="G28" s="56"/>
      <c r="H28" s="125"/>
      <c r="I28" s="58" t="s">
        <v>91</v>
      </c>
      <c r="J28" s="74"/>
      <c r="K28" s="11"/>
    </row>
    <row r="29" ht="18.75" customHeight="1">
      <c r="A29" s="55">
        <v>22.0</v>
      </c>
      <c r="B29" s="112">
        <v>46006.0</v>
      </c>
      <c r="C29" s="139"/>
      <c r="D29" s="139">
        <v>3.0E7</v>
      </c>
      <c r="E29" s="120" t="s">
        <v>67</v>
      </c>
      <c r="F29" s="33" t="s">
        <v>241</v>
      </c>
      <c r="G29" s="56"/>
      <c r="H29" s="125"/>
      <c r="I29" s="58" t="s">
        <v>92</v>
      </c>
      <c r="J29" s="74"/>
      <c r="K29" s="11"/>
    </row>
    <row r="30" ht="18.75" customHeight="1">
      <c r="A30" s="111">
        <v>23.0</v>
      </c>
      <c r="B30" s="112">
        <v>46007.0</v>
      </c>
      <c r="C30" s="139"/>
      <c r="D30" s="139">
        <v>1.0E7</v>
      </c>
      <c r="E30" s="120" t="s">
        <v>67</v>
      </c>
      <c r="F30" s="33" t="s">
        <v>241</v>
      </c>
      <c r="G30" s="56"/>
      <c r="H30" s="126" t="s">
        <v>93</v>
      </c>
      <c r="I30" s="74" t="s">
        <v>94</v>
      </c>
      <c r="J30" s="82">
        <f>SUM(J31:J42)</f>
        <v>369183401</v>
      </c>
      <c r="K30" s="11"/>
    </row>
    <row r="31" ht="18.75" customHeight="1">
      <c r="A31" s="55">
        <v>24.0</v>
      </c>
      <c r="B31" s="112">
        <v>46009.0</v>
      </c>
      <c r="C31" s="139"/>
      <c r="D31" s="139">
        <v>1.0E7</v>
      </c>
      <c r="E31" s="120" t="s">
        <v>67</v>
      </c>
      <c r="F31" s="33" t="s">
        <v>241</v>
      </c>
      <c r="G31" s="56"/>
      <c r="H31" s="121" t="s">
        <v>230</v>
      </c>
      <c r="I31" s="58" t="s">
        <v>49</v>
      </c>
      <c r="J31" s="82">
        <f>J8</f>
        <v>0</v>
      </c>
      <c r="K31" s="11"/>
    </row>
    <row r="32" ht="18.75" customHeight="1">
      <c r="A32" s="111">
        <v>25.0</v>
      </c>
      <c r="B32" s="112">
        <v>46010.0</v>
      </c>
      <c r="C32" s="139"/>
      <c r="D32" s="139">
        <v>1.5E7</v>
      </c>
      <c r="E32" s="120" t="s">
        <v>67</v>
      </c>
      <c r="F32" s="33" t="s">
        <v>241</v>
      </c>
      <c r="G32" s="56"/>
      <c r="H32" s="119" t="s">
        <v>226</v>
      </c>
      <c r="I32" s="58" t="s">
        <v>96</v>
      </c>
      <c r="J32" s="80"/>
      <c r="K32" s="11"/>
      <c r="N32" s="148"/>
    </row>
    <row r="33" ht="18.75" customHeight="1">
      <c r="A33" s="55">
        <v>26.0</v>
      </c>
      <c r="B33" s="112">
        <v>46013.0</v>
      </c>
      <c r="C33" s="139"/>
      <c r="D33" s="139">
        <v>7900000.0</v>
      </c>
      <c r="E33" s="120" t="s">
        <v>67</v>
      </c>
      <c r="F33" s="33" t="s">
        <v>241</v>
      </c>
      <c r="G33" s="56"/>
      <c r="H33" s="121" t="s">
        <v>231</v>
      </c>
      <c r="I33" s="58" t="s">
        <v>53</v>
      </c>
      <c r="J33" s="82">
        <f t="shared" ref="J33:J42" si="5">J9</f>
        <v>57416333</v>
      </c>
      <c r="K33" s="11"/>
    </row>
    <row r="34" ht="18.75" customHeight="1">
      <c r="A34" s="111">
        <v>27.0</v>
      </c>
      <c r="B34" s="112">
        <v>46014.0</v>
      </c>
      <c r="C34" s="139"/>
      <c r="D34" s="139">
        <v>2000000.0</v>
      </c>
      <c r="E34" s="120" t="s">
        <v>67</v>
      </c>
      <c r="F34" s="33" t="s">
        <v>241</v>
      </c>
      <c r="G34" s="56"/>
      <c r="H34" s="121" t="s">
        <v>234</v>
      </c>
      <c r="I34" s="58" t="s">
        <v>56</v>
      </c>
      <c r="J34" s="82">
        <f t="shared" si="5"/>
        <v>268400000</v>
      </c>
      <c r="K34" s="11"/>
    </row>
    <row r="35" ht="18.75" customHeight="1">
      <c r="A35" s="55">
        <v>28.0</v>
      </c>
      <c r="B35" s="112">
        <v>46014.0</v>
      </c>
      <c r="C35" s="139"/>
      <c r="D35" s="139">
        <v>1.5E7</v>
      </c>
      <c r="E35" s="120" t="s">
        <v>67</v>
      </c>
      <c r="F35" s="33" t="s">
        <v>241</v>
      </c>
      <c r="G35" s="56"/>
      <c r="H35" s="121" t="s">
        <v>236</v>
      </c>
      <c r="I35" s="58" t="s">
        <v>59</v>
      </c>
      <c r="J35" s="82">
        <f t="shared" si="5"/>
        <v>0</v>
      </c>
      <c r="K35" s="11"/>
    </row>
    <row r="36" ht="18.75" customHeight="1">
      <c r="A36" s="111">
        <v>29.0</v>
      </c>
      <c r="B36" s="112">
        <v>46015.0</v>
      </c>
      <c r="C36" s="139"/>
      <c r="D36" s="139">
        <v>8000000.0</v>
      </c>
      <c r="E36" s="120" t="s">
        <v>67</v>
      </c>
      <c r="F36" s="33" t="s">
        <v>241</v>
      </c>
      <c r="G36" s="56"/>
      <c r="H36" s="121" t="s">
        <v>238</v>
      </c>
      <c r="I36" s="58" t="s">
        <v>64</v>
      </c>
      <c r="J36" s="82">
        <f t="shared" si="5"/>
        <v>0</v>
      </c>
      <c r="K36" s="11"/>
    </row>
    <row r="37" ht="18.75" customHeight="1">
      <c r="A37" s="55">
        <v>30.0</v>
      </c>
      <c r="B37" s="112">
        <v>46016.0</v>
      </c>
      <c r="C37" s="139"/>
      <c r="D37" s="139">
        <v>5000000.0</v>
      </c>
      <c r="E37" s="120" t="s">
        <v>67</v>
      </c>
      <c r="F37" s="33" t="s">
        <v>241</v>
      </c>
      <c r="G37" s="56"/>
      <c r="H37" s="121" t="s">
        <v>240</v>
      </c>
      <c r="I37" s="58" t="s">
        <v>66</v>
      </c>
      <c r="J37" s="82">
        <f t="shared" si="5"/>
        <v>10756068</v>
      </c>
      <c r="K37" s="11"/>
    </row>
    <row r="38" ht="18.75" customHeight="1">
      <c r="A38" s="111">
        <v>31.0</v>
      </c>
      <c r="B38" s="112">
        <v>46017.0</v>
      </c>
      <c r="C38" s="139"/>
      <c r="D38" s="139">
        <v>1.0E7</v>
      </c>
      <c r="E38" s="120" t="s">
        <v>67</v>
      </c>
      <c r="F38" s="33" t="s">
        <v>241</v>
      </c>
      <c r="G38" s="56"/>
      <c r="H38" s="121" t="s">
        <v>242</v>
      </c>
      <c r="I38" s="58" t="s">
        <v>69</v>
      </c>
      <c r="J38" s="82">
        <f t="shared" si="5"/>
        <v>2661000</v>
      </c>
      <c r="K38" s="11"/>
    </row>
    <row r="39" ht="18.75" customHeight="1">
      <c r="A39" s="55">
        <v>32.0</v>
      </c>
      <c r="B39" s="112">
        <v>46017.0</v>
      </c>
      <c r="C39" s="139"/>
      <c r="D39" s="139">
        <v>2000000.0</v>
      </c>
      <c r="E39" s="120" t="s">
        <v>67</v>
      </c>
      <c r="F39" s="33" t="s">
        <v>241</v>
      </c>
      <c r="G39" s="56"/>
      <c r="H39" s="121" t="s">
        <v>243</v>
      </c>
      <c r="I39" s="58" t="s">
        <v>71</v>
      </c>
      <c r="J39" s="82">
        <f t="shared" si="5"/>
        <v>12600000</v>
      </c>
      <c r="K39" s="11"/>
    </row>
    <row r="40" ht="18.75" customHeight="1">
      <c r="A40" s="111">
        <v>33.0</v>
      </c>
      <c r="B40" s="112">
        <v>46017.0</v>
      </c>
      <c r="C40" s="139"/>
      <c r="D40" s="139">
        <v>5000000.0</v>
      </c>
      <c r="E40" s="120" t="s">
        <v>67</v>
      </c>
      <c r="F40" s="33" t="s">
        <v>241</v>
      </c>
      <c r="G40" s="56"/>
      <c r="H40" s="121" t="s">
        <v>245</v>
      </c>
      <c r="I40" s="58" t="s">
        <v>74</v>
      </c>
      <c r="J40" s="82">
        <f t="shared" si="5"/>
        <v>17350000</v>
      </c>
      <c r="K40" s="11"/>
    </row>
    <row r="41" ht="18.75" customHeight="1">
      <c r="A41" s="55">
        <v>34.0</v>
      </c>
      <c r="B41" s="112">
        <v>46018.0</v>
      </c>
      <c r="C41" s="139"/>
      <c r="D41" s="139">
        <v>5000000.0</v>
      </c>
      <c r="E41" s="120" t="s">
        <v>67</v>
      </c>
      <c r="F41" s="33" t="s">
        <v>241</v>
      </c>
      <c r="G41" s="56"/>
      <c r="H41" s="121" t="s">
        <v>247</v>
      </c>
      <c r="I41" s="58" t="s">
        <v>77</v>
      </c>
      <c r="J41" s="82">
        <f t="shared" si="5"/>
        <v>0</v>
      </c>
      <c r="K41" s="11"/>
    </row>
    <row r="42" ht="18.75" customHeight="1">
      <c r="A42" s="111">
        <v>35.0</v>
      </c>
      <c r="B42" s="112">
        <v>46019.0</v>
      </c>
      <c r="C42" s="139"/>
      <c r="D42" s="139">
        <v>1.0E7</v>
      </c>
      <c r="E42" s="120" t="s">
        <v>67</v>
      </c>
      <c r="F42" s="33" t="s">
        <v>241</v>
      </c>
      <c r="G42" s="56"/>
      <c r="H42" s="121" t="s">
        <v>248</v>
      </c>
      <c r="I42" s="58" t="s">
        <v>97</v>
      </c>
      <c r="J42" s="82">
        <f t="shared" si="5"/>
        <v>0</v>
      </c>
      <c r="K42" s="11"/>
    </row>
    <row r="43" ht="18.75" customHeight="1">
      <c r="A43" s="55">
        <v>36.0</v>
      </c>
      <c r="B43" s="112">
        <v>46019.0</v>
      </c>
      <c r="C43" s="139"/>
      <c r="D43" s="151">
        <v>1.0E7</v>
      </c>
      <c r="E43" s="120" t="s">
        <v>67</v>
      </c>
      <c r="F43" s="144" t="s">
        <v>241</v>
      </c>
      <c r="G43" s="56"/>
      <c r="H43" s="126" t="s">
        <v>98</v>
      </c>
      <c r="I43" s="74" t="s">
        <v>5</v>
      </c>
      <c r="J43" s="25">
        <f>J25+J26-J30</f>
        <v>-73485423</v>
      </c>
      <c r="K43" s="11"/>
    </row>
    <row r="44" ht="18.75" customHeight="1">
      <c r="A44" s="55">
        <v>37.0</v>
      </c>
      <c r="B44" s="112">
        <v>46018.0</v>
      </c>
      <c r="C44" s="139">
        <v>1.1825E8</v>
      </c>
      <c r="D44" s="151"/>
      <c r="E44" s="120" t="s">
        <v>111</v>
      </c>
      <c r="F44" s="144" t="s">
        <v>312</v>
      </c>
      <c r="G44" s="11"/>
      <c r="K44" s="11"/>
    </row>
    <row r="45" ht="18.75" customHeight="1">
      <c r="A45" s="55">
        <v>38.0</v>
      </c>
      <c r="B45" s="112">
        <v>46014.0</v>
      </c>
      <c r="C45" s="139">
        <v>1.5E7</v>
      </c>
      <c r="D45" s="151"/>
      <c r="E45" s="120" t="s">
        <v>111</v>
      </c>
      <c r="F45" s="144" t="s">
        <v>313</v>
      </c>
      <c r="G45" s="11"/>
      <c r="H45" s="127" t="s">
        <v>99</v>
      </c>
      <c r="I45" s="87"/>
      <c r="J45" s="87"/>
      <c r="K45" s="21"/>
    </row>
    <row r="46" ht="18.75" customHeight="1">
      <c r="A46" s="55">
        <v>39.0</v>
      </c>
      <c r="B46" s="112">
        <v>46021.0</v>
      </c>
      <c r="C46" s="139">
        <v>1.0E7</v>
      </c>
      <c r="D46" s="151"/>
      <c r="E46" s="120" t="s">
        <v>111</v>
      </c>
      <c r="F46" s="144" t="s">
        <v>313</v>
      </c>
      <c r="G46" s="56"/>
      <c r="H46" s="126" t="s">
        <v>23</v>
      </c>
      <c r="I46" s="74" t="s">
        <v>24</v>
      </c>
      <c r="J46" s="57" t="s">
        <v>25</v>
      </c>
      <c r="K46" s="88" t="s">
        <v>100</v>
      </c>
    </row>
    <row r="47" ht="18.75" customHeight="1">
      <c r="A47" s="55">
        <v>40.0</v>
      </c>
      <c r="B47" s="112">
        <v>46004.0</v>
      </c>
      <c r="C47" s="139">
        <v>8.25E7</v>
      </c>
      <c r="D47" s="151"/>
      <c r="E47" s="120" t="s">
        <v>111</v>
      </c>
      <c r="F47" s="144" t="s">
        <v>314</v>
      </c>
      <c r="G47" s="56"/>
      <c r="H47" s="126" t="s">
        <v>86</v>
      </c>
      <c r="I47" s="74" t="s">
        <v>87</v>
      </c>
      <c r="J47" s="82">
        <f>J43</f>
        <v>-73485423</v>
      </c>
      <c r="K47" s="89"/>
    </row>
    <row r="48" ht="18.75" customHeight="1">
      <c r="A48" s="55">
        <v>41.0</v>
      </c>
      <c r="B48" s="112">
        <v>45999.0</v>
      </c>
      <c r="C48" s="139">
        <v>6.27E7</v>
      </c>
      <c r="D48" s="151"/>
      <c r="E48" s="120" t="s">
        <v>111</v>
      </c>
      <c r="F48" s="144" t="s">
        <v>315</v>
      </c>
      <c r="G48" s="56"/>
      <c r="H48" s="126" t="s">
        <v>88</v>
      </c>
      <c r="I48" s="74" t="s">
        <v>89</v>
      </c>
      <c r="J48" s="82">
        <f>SUM(J49:J55)</f>
        <v>0</v>
      </c>
      <c r="K48" s="89"/>
    </row>
    <row r="49" ht="18.75" customHeight="1">
      <c r="A49" s="55">
        <v>42.0</v>
      </c>
      <c r="B49" s="112">
        <v>45996.0</v>
      </c>
      <c r="C49" s="139">
        <v>8.6625E7</v>
      </c>
      <c r="D49" s="151"/>
      <c r="E49" s="120" t="s">
        <v>111</v>
      </c>
      <c r="F49" s="144" t="s">
        <v>316</v>
      </c>
      <c r="G49" s="56"/>
      <c r="H49" s="125"/>
      <c r="I49" s="58"/>
      <c r="J49" s="138"/>
      <c r="K49" s="89"/>
    </row>
    <row r="50" ht="18.75" customHeight="1">
      <c r="A50" s="55">
        <v>43.0</v>
      </c>
      <c r="B50" s="112">
        <v>46017.0</v>
      </c>
      <c r="C50" s="139">
        <v>-7.9377022E7</v>
      </c>
      <c r="D50" s="113"/>
      <c r="E50" s="120" t="s">
        <v>111</v>
      </c>
      <c r="F50" s="114" t="s">
        <v>317</v>
      </c>
      <c r="G50" s="56"/>
      <c r="H50" s="125"/>
      <c r="I50" s="58"/>
      <c r="J50" s="90"/>
      <c r="K50" s="89"/>
    </row>
    <row r="51" ht="18.75" customHeight="1">
      <c r="A51" s="91"/>
      <c r="B51" s="92"/>
      <c r="C51" s="91"/>
      <c r="D51" s="91"/>
      <c r="E51" s="128"/>
      <c r="F51" s="91"/>
      <c r="G51" s="56"/>
      <c r="H51" s="125"/>
      <c r="I51" s="58"/>
      <c r="J51" s="90"/>
      <c r="K51" s="89"/>
    </row>
    <row r="52" ht="18.75" customHeight="1">
      <c r="A52" s="91"/>
      <c r="B52" s="92"/>
      <c r="C52" s="91"/>
      <c r="D52" s="91"/>
      <c r="E52" s="128"/>
      <c r="F52" s="91"/>
      <c r="G52" s="56"/>
      <c r="H52" s="125"/>
      <c r="I52" s="58"/>
      <c r="J52" s="90"/>
      <c r="K52" s="89"/>
    </row>
    <row r="53" ht="18.75" customHeight="1">
      <c r="A53" s="91"/>
      <c r="B53" s="92"/>
      <c r="C53" s="91"/>
      <c r="D53" s="91"/>
      <c r="E53" s="128"/>
      <c r="F53" s="91"/>
      <c r="G53" s="56"/>
      <c r="H53" s="125"/>
      <c r="I53" s="58"/>
      <c r="J53" s="74"/>
      <c r="K53" s="89"/>
    </row>
    <row r="54" ht="18.75" customHeight="1">
      <c r="A54" s="91"/>
      <c r="B54" s="92"/>
      <c r="C54" s="91"/>
      <c r="D54" s="91"/>
      <c r="E54" s="128"/>
      <c r="G54" s="56"/>
      <c r="H54" s="125"/>
      <c r="I54" s="58"/>
      <c r="J54" s="74"/>
      <c r="K54" s="89"/>
    </row>
    <row r="55" ht="18.75" customHeight="1">
      <c r="A55" s="91"/>
      <c r="B55" s="92"/>
      <c r="C55" s="91"/>
      <c r="D55" s="91"/>
      <c r="E55" s="128"/>
      <c r="F55" s="91"/>
      <c r="G55" s="56"/>
      <c r="H55" s="125"/>
      <c r="I55" s="58"/>
      <c r="J55" s="74"/>
      <c r="K55" s="89"/>
    </row>
    <row r="56" ht="18.75" customHeight="1">
      <c r="A56" s="91"/>
      <c r="B56" s="92"/>
      <c r="C56" s="91"/>
      <c r="D56" s="91"/>
      <c r="E56" s="128"/>
      <c r="F56" s="91"/>
      <c r="G56" s="56"/>
      <c r="H56" s="126" t="s">
        <v>93</v>
      </c>
      <c r="I56" s="74" t="s">
        <v>94</v>
      </c>
      <c r="J56" s="90">
        <f>SUM(J57:J66)</f>
        <v>0</v>
      </c>
      <c r="K56" s="89"/>
    </row>
    <row r="57" ht="18.75" customHeight="1">
      <c r="A57" s="91"/>
      <c r="B57" s="92"/>
      <c r="C57" s="91"/>
      <c r="D57" s="91"/>
      <c r="E57" s="128"/>
      <c r="F57" s="91"/>
      <c r="G57" s="56"/>
      <c r="H57" s="125"/>
      <c r="I57" s="58"/>
      <c r="J57" s="90"/>
      <c r="K57" s="83"/>
    </row>
    <row r="58" ht="18.75" customHeight="1">
      <c r="A58" s="91"/>
      <c r="B58" s="92"/>
      <c r="C58" s="91"/>
      <c r="D58" s="91"/>
      <c r="E58" s="128"/>
      <c r="F58" s="91"/>
      <c r="G58" s="56"/>
      <c r="H58" s="125"/>
      <c r="I58" s="58"/>
      <c r="J58" s="90"/>
      <c r="K58" s="83"/>
    </row>
    <row r="59" ht="18.75" customHeight="1">
      <c r="A59" s="91"/>
      <c r="B59" s="92"/>
      <c r="C59" s="91"/>
      <c r="D59" s="91"/>
      <c r="E59" s="128"/>
      <c r="F59" s="91"/>
      <c r="G59" s="56"/>
      <c r="H59" s="125"/>
      <c r="I59" s="58"/>
      <c r="J59" s="90"/>
      <c r="K59" s="83"/>
    </row>
    <row r="60" ht="18.75" customHeight="1">
      <c r="A60" s="91"/>
      <c r="B60" s="92"/>
      <c r="C60" s="91"/>
      <c r="D60" s="91"/>
      <c r="E60" s="128"/>
      <c r="F60" s="91"/>
      <c r="G60" s="56"/>
      <c r="H60" s="125"/>
      <c r="I60" s="58"/>
      <c r="J60" s="90"/>
      <c r="K60" s="83"/>
    </row>
    <row r="61" ht="18.75" customHeight="1">
      <c r="A61" s="91"/>
      <c r="B61" s="92"/>
      <c r="C61" s="91"/>
      <c r="D61" s="91"/>
      <c r="E61" s="128"/>
      <c r="F61" s="91"/>
      <c r="G61" s="56"/>
      <c r="H61" s="125"/>
      <c r="I61" s="58"/>
      <c r="J61" s="90"/>
      <c r="K61" s="83"/>
    </row>
    <row r="62" ht="18.75" customHeight="1">
      <c r="A62" s="91"/>
      <c r="B62" s="92"/>
      <c r="C62" s="91"/>
      <c r="D62" s="91"/>
      <c r="E62" s="128"/>
      <c r="F62" s="91"/>
      <c r="G62" s="56"/>
      <c r="H62" s="125"/>
      <c r="I62" s="58"/>
      <c r="J62" s="90"/>
      <c r="K62" s="89"/>
    </row>
    <row r="63" ht="18.75" customHeight="1">
      <c r="A63" s="91"/>
      <c r="B63" s="92"/>
      <c r="C63" s="91"/>
      <c r="D63" s="91"/>
      <c r="E63" s="128"/>
      <c r="F63" s="91"/>
      <c r="G63" s="56"/>
      <c r="H63" s="125"/>
      <c r="I63" s="58"/>
      <c r="J63" s="90"/>
      <c r="K63" s="89"/>
    </row>
    <row r="64" ht="18.75" customHeight="1">
      <c r="A64" s="91"/>
      <c r="B64" s="92"/>
      <c r="C64" s="91"/>
      <c r="D64" s="91"/>
      <c r="E64" s="128"/>
      <c r="F64" s="91"/>
      <c r="G64" s="56"/>
      <c r="H64" s="125"/>
      <c r="I64" s="58"/>
      <c r="J64" s="90"/>
      <c r="K64" s="89"/>
    </row>
    <row r="65" ht="18.75" customHeight="1">
      <c r="A65" s="91"/>
      <c r="B65" s="92"/>
      <c r="C65" s="91"/>
      <c r="D65" s="91"/>
      <c r="E65" s="128"/>
      <c r="F65" s="91"/>
      <c r="G65" s="56"/>
      <c r="H65" s="125"/>
      <c r="I65" s="58"/>
      <c r="J65" s="90"/>
      <c r="K65" s="89"/>
    </row>
    <row r="66" ht="18.75" customHeight="1">
      <c r="A66" s="91"/>
      <c r="B66" s="92"/>
      <c r="C66" s="91"/>
      <c r="D66" s="91"/>
      <c r="E66" s="128"/>
      <c r="F66" s="91"/>
      <c r="G66" s="56"/>
      <c r="H66" s="125"/>
      <c r="I66" s="58"/>
      <c r="J66" s="90"/>
      <c r="K66" s="89"/>
    </row>
    <row r="67" ht="18.75" customHeight="1">
      <c r="A67" s="91"/>
      <c r="B67" s="92"/>
      <c r="C67" s="91"/>
      <c r="D67" s="91"/>
      <c r="E67" s="128"/>
      <c r="F67" s="91"/>
      <c r="G67" s="56"/>
      <c r="H67" s="126" t="s">
        <v>98</v>
      </c>
      <c r="I67" s="74" t="s">
        <v>5</v>
      </c>
      <c r="J67" s="25">
        <f>J47+J48-J56</f>
        <v>-73485423</v>
      </c>
      <c r="K67" s="89"/>
    </row>
    <row r="68" ht="18.75" customHeight="1">
      <c r="A68" s="91"/>
      <c r="B68" s="92"/>
      <c r="C68" s="91"/>
      <c r="D68" s="91"/>
      <c r="E68" s="128"/>
      <c r="F68" s="91"/>
      <c r="G68" s="91"/>
      <c r="H68" s="128"/>
      <c r="I68" s="91"/>
      <c r="J68" s="91"/>
      <c r="K68" s="91"/>
    </row>
    <row r="69" ht="18.75" customHeight="1">
      <c r="A69" s="91"/>
      <c r="B69" s="92"/>
      <c r="C69" s="91"/>
      <c r="D69" s="91"/>
      <c r="E69" s="128"/>
      <c r="F69" s="91"/>
      <c r="G69" s="91"/>
      <c r="H69" s="128"/>
      <c r="I69" s="91"/>
      <c r="J69" s="91"/>
      <c r="K69" s="91"/>
    </row>
    <row r="70" ht="18.75" customHeight="1">
      <c r="A70" s="91"/>
      <c r="B70" s="92"/>
      <c r="C70" s="91"/>
      <c r="D70" s="91"/>
      <c r="E70" s="128"/>
      <c r="F70" s="91"/>
      <c r="G70" s="91"/>
      <c r="H70" s="128"/>
      <c r="I70" s="91"/>
      <c r="J70" s="91"/>
      <c r="K70" s="91"/>
    </row>
    <row r="71" ht="18.75" customHeight="1">
      <c r="A71" s="91"/>
      <c r="B71" s="92"/>
      <c r="C71" s="91"/>
      <c r="D71" s="91"/>
      <c r="E71" s="128"/>
      <c r="F71" s="91"/>
      <c r="G71" s="91"/>
      <c r="H71" s="128"/>
      <c r="I71" s="91"/>
      <c r="J71" s="91"/>
      <c r="K71" s="91"/>
    </row>
    <row r="72" ht="18.75" customHeight="1">
      <c r="A72" s="91"/>
      <c r="B72" s="92"/>
      <c r="C72" s="91"/>
      <c r="D72" s="91"/>
      <c r="E72" s="128"/>
      <c r="F72" s="91"/>
      <c r="G72" s="91"/>
      <c r="H72" s="128"/>
      <c r="I72" s="91"/>
      <c r="J72" s="91"/>
      <c r="K72" s="91"/>
    </row>
    <row r="73" ht="18.75" customHeight="1">
      <c r="A73" s="91"/>
      <c r="B73" s="92"/>
      <c r="C73" s="91"/>
      <c r="D73" s="91"/>
      <c r="E73" s="128"/>
      <c r="F73" s="91"/>
      <c r="G73" s="91"/>
      <c r="H73" s="128"/>
      <c r="I73" s="91"/>
      <c r="J73" s="91"/>
      <c r="K73" s="91"/>
    </row>
    <row r="74" ht="18.75" customHeight="1">
      <c r="A74" s="91"/>
      <c r="B74" s="92"/>
      <c r="C74" s="91"/>
      <c r="D74" s="91"/>
      <c r="E74" s="128"/>
      <c r="F74" s="91"/>
      <c r="G74" s="91"/>
      <c r="H74" s="128"/>
      <c r="I74" s="91"/>
      <c r="J74" s="91"/>
      <c r="K74" s="91"/>
    </row>
    <row r="75" ht="18.75" customHeight="1">
      <c r="A75" s="91"/>
      <c r="B75" s="92"/>
      <c r="C75" s="91"/>
      <c r="D75" s="91"/>
      <c r="E75" s="128"/>
      <c r="F75" s="91"/>
      <c r="G75" s="91"/>
      <c r="H75" s="128"/>
      <c r="I75" s="91"/>
      <c r="J75" s="91"/>
      <c r="K75" s="91"/>
    </row>
    <row r="76" ht="18.75" customHeight="1">
      <c r="A76" s="91"/>
      <c r="B76" s="92"/>
      <c r="C76" s="91"/>
      <c r="D76" s="91"/>
      <c r="E76" s="128"/>
      <c r="F76" s="91"/>
      <c r="G76" s="91"/>
      <c r="H76" s="128"/>
      <c r="I76" s="91"/>
      <c r="J76" s="91"/>
      <c r="K76" s="91"/>
    </row>
    <row r="77" ht="18.75" customHeight="1">
      <c r="A77" s="91"/>
      <c r="B77" s="92"/>
      <c r="C77" s="91"/>
      <c r="D77" s="91"/>
      <c r="E77" s="128"/>
      <c r="F77" s="91"/>
      <c r="G77" s="91"/>
      <c r="H77" s="128"/>
      <c r="I77" s="91"/>
      <c r="J77" s="91"/>
      <c r="K77" s="91"/>
    </row>
    <row r="78" ht="18.75" customHeight="1">
      <c r="A78" s="91"/>
      <c r="B78" s="92"/>
      <c r="C78" s="91"/>
      <c r="D78" s="91"/>
      <c r="E78" s="128"/>
      <c r="F78" s="91"/>
      <c r="G78" s="91"/>
      <c r="H78" s="128"/>
      <c r="I78" s="91"/>
      <c r="J78" s="91"/>
      <c r="K78" s="91"/>
    </row>
    <row r="79" ht="18.75" customHeight="1">
      <c r="A79" s="91"/>
      <c r="B79" s="92"/>
      <c r="C79" s="91"/>
      <c r="D79" s="91"/>
      <c r="E79" s="128"/>
      <c r="F79" s="91"/>
      <c r="G79" s="91"/>
      <c r="H79" s="128"/>
      <c r="I79" s="91"/>
      <c r="J79" s="91"/>
      <c r="K79" s="91"/>
    </row>
    <row r="80" ht="18.75" customHeight="1">
      <c r="A80" s="91"/>
      <c r="B80" s="92"/>
      <c r="C80" s="91"/>
      <c r="D80" s="91"/>
      <c r="E80" s="128"/>
      <c r="F80" s="91"/>
      <c r="G80" s="91"/>
      <c r="H80" s="128"/>
      <c r="I80" s="91"/>
      <c r="J80" s="91"/>
      <c r="K80" s="91"/>
    </row>
    <row r="81" ht="18.75" customHeight="1">
      <c r="A81" s="91"/>
      <c r="B81" s="92"/>
      <c r="C81" s="91"/>
      <c r="D81" s="91"/>
      <c r="E81" s="128"/>
      <c r="F81" s="91"/>
      <c r="G81" s="91"/>
      <c r="H81" s="128"/>
      <c r="I81" s="91"/>
      <c r="J81" s="91"/>
      <c r="K81" s="91"/>
    </row>
    <row r="82" ht="18.75" customHeight="1">
      <c r="A82" s="91"/>
      <c r="B82" s="92"/>
      <c r="C82" s="91"/>
      <c r="D82" s="91"/>
      <c r="E82" s="128"/>
      <c r="F82" s="91"/>
      <c r="G82" s="91"/>
      <c r="H82" s="128"/>
      <c r="I82" s="91"/>
      <c r="J82" s="91"/>
      <c r="K82" s="91"/>
    </row>
    <row r="83" ht="18.75" customHeight="1">
      <c r="A83" s="91"/>
      <c r="B83" s="92"/>
      <c r="C83" s="91"/>
      <c r="D83" s="91"/>
      <c r="E83" s="128"/>
      <c r="F83" s="91"/>
      <c r="G83" s="91"/>
      <c r="H83" s="128"/>
      <c r="I83" s="91"/>
      <c r="J83" s="91"/>
      <c r="K83" s="91"/>
    </row>
    <row r="84" ht="18.75" customHeight="1">
      <c r="A84" s="91"/>
      <c r="B84" s="92"/>
      <c r="C84" s="91"/>
      <c r="D84" s="91"/>
      <c r="E84" s="128"/>
      <c r="F84" s="91"/>
      <c r="G84" s="91"/>
      <c r="H84" s="128"/>
      <c r="I84" s="91"/>
      <c r="J84" s="91"/>
      <c r="K84" s="91"/>
    </row>
    <row r="85" ht="18.75" customHeight="1">
      <c r="A85" s="91"/>
      <c r="B85" s="92"/>
      <c r="C85" s="91"/>
      <c r="D85" s="91"/>
      <c r="E85" s="128"/>
      <c r="F85" s="91"/>
      <c r="G85" s="91"/>
      <c r="H85" s="128"/>
      <c r="I85" s="91"/>
      <c r="J85" s="91"/>
      <c r="K85" s="91"/>
    </row>
    <row r="86" ht="18.75" customHeight="1">
      <c r="A86" s="91"/>
      <c r="B86" s="92"/>
      <c r="C86" s="91"/>
      <c r="D86" s="91"/>
      <c r="E86" s="128"/>
      <c r="F86" s="91"/>
      <c r="G86" s="91"/>
      <c r="H86" s="128"/>
      <c r="I86" s="91"/>
      <c r="J86" s="91"/>
      <c r="K86" s="91"/>
    </row>
    <row r="87" ht="18.75" customHeight="1">
      <c r="A87" s="91"/>
      <c r="B87" s="92"/>
      <c r="C87" s="91"/>
      <c r="D87" s="91"/>
      <c r="E87" s="128"/>
      <c r="F87" s="91"/>
      <c r="G87" s="91"/>
      <c r="H87" s="128"/>
      <c r="I87" s="91"/>
      <c r="J87" s="91"/>
      <c r="K87" s="91"/>
    </row>
    <row r="88" ht="18.75" customHeight="1">
      <c r="A88" s="91"/>
      <c r="B88" s="92"/>
      <c r="C88" s="91"/>
      <c r="D88" s="91"/>
      <c r="E88" s="128"/>
      <c r="F88" s="91"/>
      <c r="G88" s="91"/>
      <c r="H88" s="128"/>
      <c r="I88" s="91"/>
      <c r="J88" s="91"/>
      <c r="K88" s="91"/>
    </row>
    <row r="89" ht="18.75" customHeight="1">
      <c r="A89" s="91"/>
      <c r="B89" s="92"/>
      <c r="C89" s="91"/>
      <c r="D89" s="91"/>
      <c r="E89" s="128"/>
      <c r="F89" s="91"/>
      <c r="G89" s="91"/>
      <c r="H89" s="128"/>
      <c r="I89" s="91"/>
      <c r="J89" s="91"/>
      <c r="K89" s="91"/>
    </row>
    <row r="90" ht="18.75" customHeight="1">
      <c r="A90" s="91"/>
      <c r="B90" s="92"/>
      <c r="C90" s="91"/>
      <c r="D90" s="91"/>
      <c r="E90" s="128"/>
      <c r="F90" s="91"/>
      <c r="G90" s="91"/>
      <c r="H90" s="128"/>
      <c r="I90" s="91"/>
      <c r="J90" s="91"/>
      <c r="K90" s="91"/>
    </row>
    <row r="91" ht="18.75" customHeight="1">
      <c r="A91" s="91"/>
      <c r="B91" s="92"/>
      <c r="C91" s="91"/>
      <c r="D91" s="91"/>
      <c r="E91" s="128"/>
      <c r="F91" s="91"/>
      <c r="G91" s="91"/>
      <c r="H91" s="128"/>
      <c r="I91" s="91"/>
      <c r="J91" s="91"/>
      <c r="K91" s="91"/>
    </row>
    <row r="92" ht="18.75" customHeight="1">
      <c r="A92" s="91"/>
      <c r="B92" s="92"/>
      <c r="C92" s="91"/>
      <c r="D92" s="91"/>
      <c r="E92" s="128"/>
      <c r="F92" s="91"/>
      <c r="G92" s="91"/>
      <c r="H92" s="128"/>
      <c r="I92" s="91"/>
      <c r="J92" s="91"/>
      <c r="K92" s="91"/>
    </row>
    <row r="93" ht="18.75" customHeight="1">
      <c r="A93" s="91"/>
      <c r="B93" s="92"/>
      <c r="C93" s="91"/>
      <c r="D93" s="91"/>
      <c r="E93" s="128"/>
      <c r="F93" s="91"/>
      <c r="G93" s="91"/>
      <c r="H93" s="128"/>
      <c r="I93" s="91"/>
      <c r="J93" s="91"/>
      <c r="K93" s="91"/>
    </row>
    <row r="94" ht="18.75" customHeight="1">
      <c r="A94" s="91"/>
      <c r="B94" s="92"/>
      <c r="C94" s="91"/>
      <c r="D94" s="91"/>
      <c r="E94" s="128"/>
      <c r="F94" s="91"/>
      <c r="G94" s="91"/>
      <c r="H94" s="128"/>
      <c r="I94" s="91"/>
      <c r="J94" s="91"/>
      <c r="K94" s="91"/>
    </row>
    <row r="95" ht="18.75" customHeight="1">
      <c r="A95" s="91"/>
      <c r="B95" s="92"/>
      <c r="C95" s="91"/>
      <c r="D95" s="91"/>
      <c r="E95" s="128"/>
      <c r="F95" s="91"/>
      <c r="G95" s="91"/>
      <c r="H95" s="128"/>
      <c r="I95" s="91"/>
      <c r="J95" s="91"/>
      <c r="K95" s="91"/>
    </row>
    <row r="96" ht="18.75" customHeight="1">
      <c r="A96" s="91"/>
      <c r="B96" s="92"/>
      <c r="C96" s="91"/>
      <c r="D96" s="91"/>
      <c r="E96" s="128"/>
      <c r="F96" s="91"/>
      <c r="G96" s="91"/>
      <c r="H96" s="128"/>
      <c r="I96" s="91"/>
      <c r="J96" s="91"/>
      <c r="K96" s="91"/>
    </row>
    <row r="97" ht="18.75" customHeight="1">
      <c r="A97" s="91"/>
      <c r="B97" s="92"/>
      <c r="C97" s="91"/>
      <c r="D97" s="91"/>
      <c r="E97" s="128"/>
      <c r="F97" s="91"/>
      <c r="G97" s="91"/>
      <c r="H97" s="128"/>
      <c r="I97" s="91"/>
      <c r="J97" s="91"/>
      <c r="K97" s="91"/>
    </row>
    <row r="98" ht="18.75" customHeight="1">
      <c r="A98" s="91"/>
      <c r="B98" s="92"/>
      <c r="C98" s="91"/>
      <c r="D98" s="91"/>
      <c r="E98" s="128"/>
      <c r="F98" s="91"/>
      <c r="G98" s="91"/>
      <c r="H98" s="128"/>
      <c r="I98" s="91"/>
      <c r="J98" s="91"/>
      <c r="K98" s="91"/>
    </row>
    <row r="99" ht="18.75" customHeight="1">
      <c r="A99" s="91"/>
      <c r="B99" s="92"/>
      <c r="C99" s="91"/>
      <c r="D99" s="91"/>
      <c r="E99" s="128"/>
      <c r="F99" s="91"/>
      <c r="G99" s="91"/>
      <c r="H99" s="128"/>
      <c r="I99" s="91"/>
      <c r="J99" s="91"/>
      <c r="K99" s="91"/>
    </row>
    <row r="100" ht="18.75" customHeight="1">
      <c r="A100" s="91"/>
      <c r="B100" s="92"/>
      <c r="C100" s="91"/>
      <c r="D100" s="91"/>
      <c r="E100" s="128"/>
      <c r="F100" s="91"/>
      <c r="G100" s="91"/>
      <c r="H100" s="128"/>
      <c r="I100" s="91"/>
      <c r="J100" s="91"/>
      <c r="K100" s="91"/>
    </row>
    <row r="101" ht="18.75" customHeight="1">
      <c r="E101" s="129"/>
      <c r="G101" s="91"/>
      <c r="H101" s="128"/>
      <c r="I101" s="91"/>
      <c r="J101" s="91"/>
      <c r="K101" s="91"/>
    </row>
    <row r="102" ht="18.75" customHeight="1">
      <c r="E102" s="129"/>
      <c r="G102" s="91"/>
      <c r="H102" s="128"/>
      <c r="I102" s="91"/>
      <c r="J102" s="91"/>
      <c r="K102" s="91"/>
    </row>
    <row r="103" ht="18.75" customHeight="1">
      <c r="E103" s="129"/>
      <c r="G103" s="91"/>
      <c r="H103" s="128"/>
      <c r="I103" s="91"/>
      <c r="J103" s="91"/>
      <c r="K103" s="91"/>
    </row>
    <row r="104" ht="18.75" customHeight="1">
      <c r="E104" s="129"/>
      <c r="G104" s="91"/>
      <c r="H104" s="128"/>
      <c r="I104" s="91"/>
      <c r="J104" s="91"/>
      <c r="K104" s="91"/>
    </row>
    <row r="105" ht="18.75" customHeight="1">
      <c r="E105" s="129"/>
      <c r="G105" s="91"/>
      <c r="H105" s="128"/>
      <c r="I105" s="91"/>
      <c r="J105" s="91"/>
      <c r="K105" s="91"/>
    </row>
    <row r="106" ht="18.75" customHeight="1">
      <c r="E106" s="129"/>
      <c r="G106" s="91"/>
      <c r="H106" s="128"/>
      <c r="I106" s="91"/>
      <c r="J106" s="91"/>
      <c r="K106" s="91"/>
    </row>
    <row r="107" ht="18.75" customHeight="1">
      <c r="E107" s="129"/>
      <c r="G107" s="91"/>
      <c r="H107" s="128"/>
      <c r="I107" s="91"/>
      <c r="J107" s="91"/>
      <c r="K107" s="91"/>
    </row>
    <row r="108" ht="18.75" customHeight="1">
      <c r="E108" s="129"/>
      <c r="G108" s="91"/>
      <c r="H108" s="128"/>
      <c r="I108" s="91"/>
      <c r="J108" s="91"/>
      <c r="K108" s="91"/>
    </row>
    <row r="109" ht="18.75" customHeight="1">
      <c r="E109" s="129"/>
      <c r="G109" s="91"/>
      <c r="H109" s="128"/>
      <c r="I109" s="91"/>
      <c r="J109" s="91"/>
      <c r="K109" s="91"/>
    </row>
    <row r="110" ht="18.75" customHeight="1">
      <c r="E110" s="129"/>
      <c r="G110" s="91"/>
      <c r="H110" s="128"/>
      <c r="I110" s="91"/>
      <c r="J110" s="91"/>
      <c r="K110" s="91"/>
    </row>
    <row r="111" ht="18.75" customHeight="1">
      <c r="E111" s="129"/>
      <c r="G111" s="91"/>
      <c r="H111" s="128"/>
      <c r="I111" s="91"/>
      <c r="J111" s="91"/>
      <c r="K111" s="91"/>
    </row>
    <row r="112" ht="18.75" customHeight="1">
      <c r="E112" s="129"/>
      <c r="G112" s="91"/>
      <c r="H112" s="128"/>
      <c r="I112" s="91"/>
      <c r="J112" s="91"/>
      <c r="K112" s="91"/>
    </row>
    <row r="113" ht="18.75" customHeight="1">
      <c r="E113" s="129"/>
      <c r="G113" s="91"/>
      <c r="H113" s="128"/>
      <c r="I113" s="91"/>
      <c r="J113" s="91"/>
      <c r="K113" s="91"/>
    </row>
    <row r="114" ht="18.75" customHeight="1">
      <c r="E114" s="129"/>
      <c r="G114" s="91"/>
      <c r="H114" s="128"/>
      <c r="I114" s="91"/>
      <c r="J114" s="91"/>
      <c r="K114" s="91"/>
    </row>
    <row r="115" ht="18.75" customHeight="1">
      <c r="E115" s="129"/>
      <c r="G115" s="91"/>
      <c r="H115" s="128"/>
      <c r="I115" s="91"/>
      <c r="J115" s="91"/>
      <c r="K115" s="91"/>
    </row>
    <row r="116" ht="18.75" customHeight="1">
      <c r="E116" s="129"/>
      <c r="G116" s="91"/>
      <c r="H116" s="128"/>
      <c r="I116" s="91"/>
      <c r="J116" s="91"/>
      <c r="K116" s="91"/>
    </row>
    <row r="117" ht="18.75" customHeight="1">
      <c r="E117" s="129"/>
      <c r="G117" s="91"/>
      <c r="H117" s="128"/>
      <c r="I117" s="91"/>
      <c r="J117" s="91"/>
      <c r="K117" s="91"/>
    </row>
    <row r="118" ht="18.75" customHeight="1">
      <c r="E118" s="129"/>
      <c r="G118" s="91"/>
      <c r="H118" s="128"/>
      <c r="I118" s="91"/>
      <c r="J118" s="91"/>
      <c r="K118" s="91"/>
    </row>
    <row r="119" ht="18.75" customHeight="1">
      <c r="E119" s="129"/>
      <c r="G119" s="91"/>
      <c r="H119" s="128"/>
      <c r="I119" s="91"/>
      <c r="J119" s="91"/>
      <c r="K119" s="91"/>
    </row>
    <row r="120" ht="18.75" customHeight="1">
      <c r="E120" s="129"/>
      <c r="G120" s="91"/>
      <c r="H120" s="128"/>
      <c r="I120" s="91"/>
      <c r="J120" s="91"/>
      <c r="K120" s="91"/>
    </row>
    <row r="121" ht="18.75" customHeight="1">
      <c r="E121" s="129"/>
      <c r="G121" s="91"/>
      <c r="H121" s="128"/>
      <c r="I121" s="91"/>
      <c r="J121" s="91"/>
      <c r="K121" s="91"/>
    </row>
    <row r="122" ht="18.75" customHeight="1">
      <c r="E122" s="129"/>
      <c r="G122" s="91"/>
      <c r="H122" s="128"/>
      <c r="I122" s="91"/>
      <c r="J122" s="91"/>
      <c r="K122" s="91"/>
    </row>
    <row r="123" ht="18.75" customHeight="1">
      <c r="E123" s="129"/>
      <c r="G123" s="91"/>
      <c r="H123" s="128"/>
      <c r="I123" s="91"/>
      <c r="J123" s="91"/>
      <c r="K123" s="91"/>
    </row>
    <row r="124" ht="18.75" customHeight="1">
      <c r="E124" s="129"/>
      <c r="G124" s="91"/>
      <c r="H124" s="128"/>
      <c r="I124" s="91"/>
      <c r="J124" s="91"/>
      <c r="K124" s="91"/>
    </row>
    <row r="125" ht="18.75" customHeight="1">
      <c r="E125" s="129"/>
      <c r="G125" s="91"/>
      <c r="H125" s="128"/>
      <c r="I125" s="91"/>
      <c r="J125" s="91"/>
      <c r="K125" s="91"/>
    </row>
    <row r="126" ht="18.75" customHeight="1">
      <c r="E126" s="129"/>
      <c r="G126" s="91"/>
      <c r="H126" s="128"/>
      <c r="I126" s="91"/>
      <c r="J126" s="91"/>
      <c r="K126" s="91"/>
    </row>
    <row r="127" ht="18.75" customHeight="1">
      <c r="E127" s="129"/>
      <c r="G127" s="91"/>
      <c r="H127" s="128"/>
      <c r="I127" s="91"/>
      <c r="J127" s="91"/>
      <c r="K127" s="91"/>
    </row>
    <row r="128" ht="18.75" customHeight="1">
      <c r="E128" s="129"/>
      <c r="G128" s="91"/>
      <c r="H128" s="128"/>
      <c r="I128" s="91"/>
      <c r="J128" s="91"/>
      <c r="K128" s="91"/>
    </row>
    <row r="129" ht="18.75" customHeight="1">
      <c r="E129" s="129"/>
      <c r="G129" s="91"/>
      <c r="H129" s="128"/>
      <c r="I129" s="91"/>
      <c r="J129" s="91"/>
      <c r="K129" s="91"/>
    </row>
    <row r="130" ht="18.75" customHeight="1">
      <c r="E130" s="129"/>
      <c r="G130" s="91"/>
      <c r="H130" s="128"/>
      <c r="I130" s="91"/>
      <c r="J130" s="91"/>
      <c r="K130" s="91"/>
    </row>
    <row r="131" ht="18.75" customHeight="1">
      <c r="E131" s="129"/>
      <c r="G131" s="91"/>
      <c r="H131" s="128"/>
      <c r="I131" s="91"/>
      <c r="J131" s="91"/>
      <c r="K131" s="91"/>
    </row>
    <row r="132" ht="18.75" customHeight="1">
      <c r="E132" s="129"/>
      <c r="G132" s="91"/>
      <c r="H132" s="128"/>
      <c r="I132" s="91"/>
      <c r="J132" s="91"/>
      <c r="K132" s="91"/>
    </row>
    <row r="133" ht="18.75" customHeight="1">
      <c r="E133" s="129"/>
      <c r="G133" s="91"/>
      <c r="H133" s="128"/>
      <c r="I133" s="91"/>
      <c r="J133" s="91"/>
      <c r="K133" s="91"/>
    </row>
    <row r="134" ht="18.75" customHeight="1">
      <c r="E134" s="129"/>
      <c r="G134" s="91"/>
      <c r="H134" s="128"/>
      <c r="I134" s="91"/>
      <c r="J134" s="91"/>
      <c r="K134" s="91"/>
    </row>
    <row r="135" ht="18.75" customHeight="1">
      <c r="E135" s="129"/>
      <c r="G135" s="91"/>
      <c r="H135" s="128"/>
      <c r="I135" s="91"/>
      <c r="J135" s="91"/>
      <c r="K135" s="91"/>
    </row>
    <row r="136" ht="18.75" customHeight="1">
      <c r="E136" s="129"/>
      <c r="G136" s="91"/>
      <c r="H136" s="128"/>
      <c r="I136" s="91"/>
      <c r="J136" s="91"/>
      <c r="K136" s="91"/>
    </row>
    <row r="137" ht="18.75" customHeight="1">
      <c r="E137" s="129"/>
      <c r="G137" s="91"/>
      <c r="H137" s="128"/>
      <c r="I137" s="91"/>
      <c r="J137" s="91"/>
      <c r="K137" s="91"/>
    </row>
    <row r="138" ht="18.75" customHeight="1">
      <c r="E138" s="129"/>
      <c r="G138" s="91"/>
      <c r="H138" s="128"/>
      <c r="I138" s="91"/>
      <c r="J138" s="91"/>
      <c r="K138" s="91"/>
    </row>
    <row r="139" ht="18.75" customHeight="1">
      <c r="E139" s="129"/>
      <c r="G139" s="91"/>
      <c r="H139" s="128"/>
      <c r="I139" s="91"/>
      <c r="J139" s="91"/>
      <c r="K139" s="91"/>
    </row>
    <row r="140" ht="18.75" customHeight="1">
      <c r="E140" s="129"/>
      <c r="G140" s="91"/>
      <c r="H140" s="128"/>
      <c r="I140" s="91"/>
      <c r="J140" s="91"/>
      <c r="K140" s="91"/>
    </row>
    <row r="141" ht="18.75" customHeight="1">
      <c r="E141" s="129"/>
      <c r="G141" s="91"/>
      <c r="H141" s="128"/>
      <c r="I141" s="91"/>
      <c r="J141" s="91"/>
      <c r="K141" s="91"/>
    </row>
    <row r="142" ht="18.75" customHeight="1">
      <c r="E142" s="129"/>
      <c r="G142" s="91"/>
      <c r="H142" s="128"/>
      <c r="I142" s="91"/>
      <c r="J142" s="91"/>
      <c r="K142" s="91"/>
    </row>
    <row r="143" ht="18.75" customHeight="1">
      <c r="E143" s="129"/>
      <c r="G143" s="91"/>
      <c r="H143" s="128"/>
      <c r="I143" s="91"/>
      <c r="J143" s="91"/>
      <c r="K143" s="91"/>
    </row>
    <row r="144" ht="18.75" customHeight="1">
      <c r="E144" s="129"/>
      <c r="G144" s="91"/>
      <c r="H144" s="128"/>
      <c r="I144" s="91"/>
      <c r="J144" s="91"/>
      <c r="K144" s="91"/>
    </row>
    <row r="145" ht="18.75" customHeight="1">
      <c r="E145" s="129"/>
      <c r="G145" s="91"/>
      <c r="H145" s="128"/>
      <c r="I145" s="91"/>
      <c r="J145" s="91"/>
      <c r="K145" s="91"/>
    </row>
    <row r="146" ht="18.75" customHeight="1">
      <c r="E146" s="129"/>
      <c r="G146" s="91"/>
      <c r="H146" s="128"/>
      <c r="I146" s="91"/>
      <c r="J146" s="91"/>
      <c r="K146" s="91"/>
    </row>
    <row r="147" ht="18.75" customHeight="1">
      <c r="E147" s="129"/>
      <c r="G147" s="91"/>
      <c r="H147" s="128"/>
      <c r="I147" s="91"/>
      <c r="J147" s="91"/>
      <c r="K147" s="91"/>
    </row>
    <row r="148" ht="18.75" customHeight="1">
      <c r="E148" s="129"/>
      <c r="G148" s="91"/>
      <c r="H148" s="128"/>
      <c r="I148" s="91"/>
      <c r="J148" s="91"/>
      <c r="K148" s="91"/>
    </row>
    <row r="149" ht="18.75" customHeight="1">
      <c r="E149" s="129"/>
      <c r="G149" s="91"/>
      <c r="H149" s="128"/>
      <c r="I149" s="91"/>
      <c r="J149" s="91"/>
      <c r="K149" s="91"/>
    </row>
    <row r="150" ht="18.75" customHeight="1">
      <c r="E150" s="129"/>
      <c r="G150" s="91"/>
      <c r="H150" s="128"/>
      <c r="I150" s="91"/>
      <c r="J150" s="91"/>
      <c r="K150" s="91"/>
    </row>
    <row r="151" ht="18.75" customHeight="1">
      <c r="E151" s="129"/>
      <c r="G151" s="91"/>
      <c r="H151" s="128"/>
      <c r="I151" s="91"/>
      <c r="J151" s="91"/>
      <c r="K151" s="91"/>
    </row>
    <row r="152" ht="18.75" customHeight="1">
      <c r="E152" s="129"/>
      <c r="G152" s="91"/>
      <c r="H152" s="128"/>
      <c r="I152" s="91"/>
      <c r="J152" s="91"/>
      <c r="K152" s="91"/>
    </row>
    <row r="153" ht="18.75" customHeight="1">
      <c r="E153" s="129"/>
      <c r="G153" s="91"/>
      <c r="H153" s="128"/>
      <c r="I153" s="91"/>
      <c r="J153" s="91"/>
      <c r="K153" s="91"/>
    </row>
    <row r="154" ht="18.75" customHeight="1">
      <c r="E154" s="129"/>
      <c r="G154" s="91"/>
      <c r="H154" s="128"/>
      <c r="I154" s="91"/>
      <c r="J154" s="91"/>
      <c r="K154" s="91"/>
    </row>
    <row r="155" ht="18.75" customHeight="1">
      <c r="E155" s="129"/>
      <c r="G155" s="91"/>
      <c r="H155" s="128"/>
      <c r="I155" s="91"/>
      <c r="J155" s="91"/>
      <c r="K155" s="91"/>
    </row>
    <row r="156" ht="18.75" customHeight="1">
      <c r="E156" s="129"/>
      <c r="G156" s="91"/>
      <c r="H156" s="128"/>
      <c r="I156" s="91"/>
      <c r="J156" s="91"/>
      <c r="K156" s="91"/>
    </row>
    <row r="157" ht="18.75" customHeight="1">
      <c r="E157" s="129"/>
      <c r="G157" s="91"/>
      <c r="H157" s="128"/>
      <c r="I157" s="91"/>
      <c r="J157" s="91"/>
      <c r="K157" s="91"/>
    </row>
    <row r="158" ht="18.75" customHeight="1">
      <c r="E158" s="129"/>
      <c r="G158" s="91"/>
      <c r="H158" s="128"/>
      <c r="I158" s="91"/>
      <c r="J158" s="91"/>
      <c r="K158" s="91"/>
    </row>
    <row r="159" ht="18.75" customHeight="1">
      <c r="E159" s="129"/>
      <c r="G159" s="91"/>
      <c r="H159" s="128"/>
      <c r="I159" s="91"/>
      <c r="J159" s="91"/>
      <c r="K159" s="91"/>
    </row>
    <row r="160" ht="18.75" customHeight="1">
      <c r="E160" s="129"/>
      <c r="G160" s="91"/>
      <c r="H160" s="128"/>
      <c r="I160" s="91"/>
      <c r="J160" s="91"/>
      <c r="K160" s="91"/>
    </row>
    <row r="161" ht="18.75" customHeight="1">
      <c r="E161" s="129"/>
      <c r="G161" s="91"/>
      <c r="H161" s="128"/>
      <c r="I161" s="91"/>
      <c r="J161" s="91"/>
      <c r="K161" s="91"/>
    </row>
    <row r="162" ht="18.75" customHeight="1">
      <c r="E162" s="129"/>
      <c r="G162" s="91"/>
      <c r="H162" s="128"/>
      <c r="I162" s="91"/>
      <c r="J162" s="91"/>
      <c r="K162" s="91"/>
    </row>
    <row r="163" ht="18.75" customHeight="1">
      <c r="E163" s="129"/>
      <c r="G163" s="91"/>
      <c r="H163" s="128"/>
      <c r="I163" s="91"/>
      <c r="J163" s="91"/>
      <c r="K163" s="91"/>
    </row>
    <row r="164" ht="18.75" customHeight="1">
      <c r="E164" s="129"/>
      <c r="G164" s="91"/>
      <c r="H164" s="128"/>
      <c r="I164" s="91"/>
      <c r="J164" s="91"/>
      <c r="K164" s="91"/>
    </row>
    <row r="165" ht="18.75" customHeight="1">
      <c r="E165" s="129"/>
      <c r="G165" s="91"/>
      <c r="H165" s="128"/>
      <c r="I165" s="91"/>
      <c r="J165" s="91"/>
      <c r="K165" s="91"/>
    </row>
    <row r="166" ht="18.75" customHeight="1">
      <c r="E166" s="129"/>
      <c r="G166" s="91"/>
      <c r="H166" s="128"/>
      <c r="I166" s="91"/>
      <c r="J166" s="91"/>
      <c r="K166" s="91"/>
    </row>
    <row r="167" ht="18.75" customHeight="1">
      <c r="E167" s="129"/>
      <c r="G167" s="91"/>
      <c r="H167" s="128"/>
      <c r="I167" s="91"/>
      <c r="J167" s="91"/>
      <c r="K167" s="91"/>
    </row>
    <row r="168" ht="18.75" customHeight="1">
      <c r="E168" s="129"/>
      <c r="G168" s="91"/>
      <c r="H168" s="128"/>
      <c r="I168" s="91"/>
      <c r="J168" s="91"/>
      <c r="K168" s="91"/>
    </row>
    <row r="169" ht="18.75" customHeight="1">
      <c r="E169" s="129"/>
      <c r="G169" s="91"/>
      <c r="H169" s="128"/>
      <c r="I169" s="91"/>
      <c r="J169" s="91"/>
      <c r="K169" s="91"/>
    </row>
    <row r="170" ht="18.75" customHeight="1">
      <c r="E170" s="129"/>
      <c r="G170" s="91"/>
      <c r="H170" s="128"/>
      <c r="I170" s="91"/>
      <c r="J170" s="91"/>
      <c r="K170" s="91"/>
    </row>
    <row r="171" ht="18.75" customHeight="1">
      <c r="E171" s="129"/>
      <c r="G171" s="91"/>
      <c r="H171" s="128"/>
      <c r="I171" s="91"/>
      <c r="J171" s="91"/>
      <c r="K171" s="91"/>
    </row>
    <row r="172" ht="18.75" customHeight="1">
      <c r="E172" s="129"/>
      <c r="G172" s="91"/>
      <c r="H172" s="128"/>
      <c r="I172" s="91"/>
      <c r="J172" s="91"/>
      <c r="K172" s="91"/>
    </row>
    <row r="173" ht="18.75" customHeight="1">
      <c r="E173" s="129"/>
      <c r="G173" s="91"/>
      <c r="H173" s="128"/>
      <c r="I173" s="91"/>
      <c r="J173" s="91"/>
      <c r="K173" s="91"/>
    </row>
    <row r="174" ht="18.75" customHeight="1">
      <c r="E174" s="129"/>
      <c r="G174" s="91"/>
      <c r="H174" s="128"/>
      <c r="I174" s="91"/>
      <c r="J174" s="91"/>
      <c r="K174" s="91"/>
    </row>
    <row r="175" ht="18.75" customHeight="1">
      <c r="E175" s="129"/>
      <c r="G175" s="91"/>
      <c r="H175" s="128"/>
      <c r="I175" s="91"/>
      <c r="J175" s="91"/>
      <c r="K175" s="91"/>
    </row>
    <row r="176" ht="18.75" customHeight="1">
      <c r="E176" s="129"/>
      <c r="G176" s="91"/>
      <c r="H176" s="128"/>
      <c r="I176" s="91"/>
      <c r="J176" s="91"/>
      <c r="K176" s="91"/>
    </row>
    <row r="177" ht="18.75" customHeight="1">
      <c r="E177" s="129"/>
      <c r="G177" s="91"/>
      <c r="H177" s="128"/>
      <c r="I177" s="91"/>
      <c r="J177" s="91"/>
      <c r="K177" s="91"/>
    </row>
    <row r="178" ht="18.75" customHeight="1">
      <c r="E178" s="129"/>
      <c r="G178" s="91"/>
      <c r="H178" s="128"/>
      <c r="I178" s="91"/>
      <c r="J178" s="91"/>
      <c r="K178" s="91"/>
    </row>
    <row r="179" ht="18.75" customHeight="1">
      <c r="E179" s="129"/>
      <c r="G179" s="91"/>
      <c r="H179" s="128"/>
      <c r="I179" s="91"/>
      <c r="J179" s="91"/>
      <c r="K179" s="91"/>
    </row>
    <row r="180" ht="18.75" customHeight="1">
      <c r="E180" s="129"/>
      <c r="G180" s="91"/>
      <c r="H180" s="128"/>
      <c r="I180" s="91"/>
      <c r="J180" s="91"/>
      <c r="K180" s="91"/>
    </row>
    <row r="181" ht="18.75" customHeight="1">
      <c r="E181" s="129"/>
      <c r="G181" s="91"/>
      <c r="H181" s="128"/>
      <c r="I181" s="91"/>
      <c r="J181" s="91"/>
      <c r="K181" s="91"/>
    </row>
    <row r="182" ht="18.75" customHeight="1">
      <c r="E182" s="129"/>
      <c r="G182" s="91"/>
      <c r="H182" s="128"/>
      <c r="I182" s="91"/>
      <c r="J182" s="91"/>
      <c r="K182" s="91"/>
    </row>
    <row r="183" ht="18.75" customHeight="1">
      <c r="E183" s="129"/>
      <c r="G183" s="91"/>
      <c r="H183" s="128"/>
      <c r="I183" s="91"/>
      <c r="J183" s="91"/>
      <c r="K183" s="91"/>
    </row>
    <row r="184" ht="18.75" customHeight="1">
      <c r="E184" s="129"/>
      <c r="G184" s="91"/>
      <c r="H184" s="128"/>
      <c r="I184" s="91"/>
      <c r="J184" s="91"/>
      <c r="K184" s="91"/>
    </row>
    <row r="185" ht="18.75" customHeight="1">
      <c r="E185" s="129"/>
      <c r="G185" s="91"/>
      <c r="H185" s="128"/>
      <c r="I185" s="91"/>
      <c r="J185" s="91"/>
      <c r="K185" s="91"/>
    </row>
    <row r="186" ht="18.75" customHeight="1">
      <c r="E186" s="129"/>
      <c r="G186" s="91"/>
      <c r="H186" s="128"/>
      <c r="I186" s="91"/>
      <c r="J186" s="91"/>
      <c r="K186" s="91"/>
    </row>
    <row r="187" ht="18.75" customHeight="1">
      <c r="E187" s="129"/>
      <c r="G187" s="91"/>
      <c r="H187" s="128"/>
      <c r="I187" s="91"/>
      <c r="J187" s="91"/>
      <c r="K187" s="91"/>
    </row>
    <row r="188" ht="18.75" customHeight="1">
      <c r="E188" s="129"/>
      <c r="G188" s="91"/>
      <c r="H188" s="128"/>
      <c r="I188" s="91"/>
      <c r="J188" s="91"/>
      <c r="K188" s="91"/>
    </row>
    <row r="189" ht="18.75" customHeight="1">
      <c r="E189" s="129"/>
      <c r="G189" s="91"/>
      <c r="H189" s="128"/>
      <c r="I189" s="91"/>
      <c r="J189" s="91"/>
      <c r="K189" s="91"/>
    </row>
    <row r="190" ht="18.75" customHeight="1">
      <c r="E190" s="129"/>
      <c r="G190" s="91"/>
      <c r="H190" s="128"/>
      <c r="I190" s="91"/>
      <c r="J190" s="91"/>
      <c r="K190" s="91"/>
    </row>
    <row r="191" ht="18.75" customHeight="1">
      <c r="E191" s="129"/>
      <c r="G191" s="91"/>
      <c r="H191" s="128"/>
      <c r="I191" s="91"/>
      <c r="J191" s="91"/>
      <c r="K191" s="91"/>
    </row>
    <row r="192" ht="18.75" customHeight="1">
      <c r="E192" s="129"/>
      <c r="G192" s="91"/>
      <c r="H192" s="128"/>
      <c r="I192" s="91"/>
      <c r="J192" s="91"/>
      <c r="K192" s="91"/>
    </row>
    <row r="193" ht="18.75" customHeight="1">
      <c r="E193" s="129"/>
      <c r="G193" s="91"/>
      <c r="H193" s="128"/>
      <c r="I193" s="91"/>
      <c r="J193" s="91"/>
      <c r="K193" s="91"/>
    </row>
    <row r="194" ht="18.75" customHeight="1">
      <c r="E194" s="129"/>
      <c r="G194" s="91"/>
      <c r="H194" s="128"/>
      <c r="I194" s="91"/>
      <c r="J194" s="91"/>
      <c r="K194" s="91"/>
    </row>
    <row r="195" ht="18.75" customHeight="1">
      <c r="E195" s="129"/>
      <c r="G195" s="91"/>
      <c r="H195" s="128"/>
      <c r="I195" s="91"/>
      <c r="J195" s="91"/>
      <c r="K195" s="91"/>
    </row>
    <row r="196" ht="18.75" customHeight="1">
      <c r="E196" s="129"/>
      <c r="G196" s="91"/>
      <c r="H196" s="128"/>
      <c r="I196" s="91"/>
      <c r="J196" s="91"/>
      <c r="K196" s="91"/>
    </row>
    <row r="197" ht="18.75" customHeight="1">
      <c r="E197" s="129"/>
      <c r="G197" s="91"/>
      <c r="H197" s="128"/>
      <c r="I197" s="91"/>
      <c r="J197" s="91"/>
      <c r="K197" s="91"/>
    </row>
    <row r="198" ht="18.75" customHeight="1">
      <c r="E198" s="129"/>
      <c r="G198" s="91"/>
      <c r="H198" s="128"/>
      <c r="I198" s="91"/>
      <c r="J198" s="91"/>
      <c r="K198" s="91"/>
    </row>
    <row r="199" ht="18.75" customHeight="1">
      <c r="E199" s="129"/>
      <c r="G199" s="91"/>
      <c r="H199" s="128"/>
      <c r="I199" s="91"/>
      <c r="J199" s="91"/>
      <c r="K199" s="91"/>
    </row>
    <row r="200" ht="18.75" customHeight="1">
      <c r="E200" s="129"/>
      <c r="G200" s="91"/>
      <c r="H200" s="128"/>
      <c r="I200" s="91"/>
      <c r="J200" s="91"/>
      <c r="K200" s="91"/>
    </row>
    <row r="201" ht="18.75" customHeight="1">
      <c r="E201" s="129"/>
      <c r="G201" s="91"/>
      <c r="H201" s="128"/>
      <c r="I201" s="91"/>
      <c r="J201" s="91"/>
      <c r="K201" s="91"/>
    </row>
    <row r="202" ht="18.75" customHeight="1">
      <c r="E202" s="129"/>
      <c r="H202" s="129"/>
    </row>
    <row r="203" ht="18.75" customHeight="1">
      <c r="E203" s="129"/>
      <c r="H203" s="129"/>
    </row>
    <row r="204" ht="18.75" customHeight="1">
      <c r="E204" s="129"/>
      <c r="H204" s="129"/>
    </row>
    <row r="205" ht="18.75" customHeight="1">
      <c r="E205" s="129"/>
      <c r="H205" s="129"/>
    </row>
    <row r="206" ht="18.75" customHeight="1">
      <c r="E206" s="129"/>
      <c r="H206" s="129"/>
    </row>
    <row r="207" ht="18.75" customHeight="1">
      <c r="E207" s="129"/>
      <c r="H207" s="129"/>
    </row>
    <row r="208" ht="18.75" customHeight="1">
      <c r="E208" s="129"/>
      <c r="H208" s="129"/>
    </row>
    <row r="209" ht="18.75" customHeight="1">
      <c r="E209" s="129"/>
      <c r="H209" s="129"/>
    </row>
    <row r="210" ht="18.75" customHeight="1">
      <c r="E210" s="129"/>
      <c r="H210" s="129"/>
    </row>
    <row r="211" ht="18.75" customHeight="1">
      <c r="E211" s="129"/>
      <c r="H211" s="129"/>
    </row>
    <row r="212" ht="18.75" customHeight="1">
      <c r="E212" s="129"/>
      <c r="H212" s="129"/>
    </row>
    <row r="213" ht="18.75" customHeight="1">
      <c r="E213" s="129"/>
      <c r="H213" s="129"/>
    </row>
    <row r="214" ht="18.75" customHeight="1">
      <c r="E214" s="129"/>
      <c r="H214" s="129"/>
    </row>
    <row r="215" ht="18.75" customHeight="1">
      <c r="E215" s="129"/>
      <c r="H215" s="129"/>
    </row>
    <row r="216" ht="18.75" customHeight="1">
      <c r="E216" s="129"/>
      <c r="H216" s="129"/>
    </row>
    <row r="217" ht="18.75" customHeight="1">
      <c r="E217" s="129"/>
      <c r="H217" s="129"/>
    </row>
    <row r="218" ht="18.75" customHeight="1">
      <c r="E218" s="129"/>
      <c r="H218" s="129"/>
    </row>
    <row r="219" ht="18.75" customHeight="1">
      <c r="E219" s="129"/>
      <c r="H219" s="129"/>
    </row>
    <row r="220" ht="18.75" customHeight="1">
      <c r="E220" s="129"/>
      <c r="H220" s="129"/>
    </row>
    <row r="221" ht="18.75" customHeight="1">
      <c r="E221" s="129"/>
      <c r="H221" s="129"/>
    </row>
    <row r="222" ht="18.75" customHeight="1">
      <c r="E222" s="129"/>
      <c r="H222" s="129"/>
    </row>
    <row r="223" ht="18.75" customHeight="1">
      <c r="E223" s="129"/>
      <c r="H223" s="129"/>
    </row>
    <row r="224" ht="18.75" customHeight="1">
      <c r="E224" s="129"/>
      <c r="H224" s="129"/>
    </row>
    <row r="225" ht="18.75" customHeight="1">
      <c r="E225" s="129"/>
      <c r="H225" s="129"/>
    </row>
    <row r="226" ht="18.75" customHeight="1">
      <c r="E226" s="129"/>
      <c r="H226" s="129"/>
    </row>
    <row r="227" ht="18.75" customHeight="1">
      <c r="E227" s="129"/>
      <c r="H227" s="129"/>
    </row>
    <row r="228" ht="18.75" customHeight="1">
      <c r="E228" s="129"/>
      <c r="H228" s="129"/>
    </row>
    <row r="229" ht="18.75" customHeight="1">
      <c r="E229" s="129"/>
      <c r="H229" s="129"/>
    </row>
    <row r="230" ht="18.75" customHeight="1">
      <c r="E230" s="129"/>
      <c r="H230" s="129"/>
    </row>
    <row r="231" ht="18.75" customHeight="1">
      <c r="E231" s="129"/>
      <c r="H231" s="129"/>
    </row>
    <row r="232" ht="18.75" customHeight="1">
      <c r="E232" s="129"/>
      <c r="H232" s="129"/>
    </row>
    <row r="233" ht="18.75" customHeight="1">
      <c r="E233" s="129"/>
      <c r="H233" s="129"/>
    </row>
    <row r="234" ht="18.75" customHeight="1">
      <c r="E234" s="129"/>
      <c r="H234" s="129"/>
    </row>
    <row r="235" ht="18.75" customHeight="1">
      <c r="E235" s="129"/>
      <c r="H235" s="129"/>
    </row>
    <row r="236" ht="18.75" customHeight="1">
      <c r="E236" s="129"/>
      <c r="H236" s="129"/>
    </row>
    <row r="237" ht="18.75" customHeight="1">
      <c r="E237" s="129"/>
      <c r="H237" s="129"/>
    </row>
    <row r="238" ht="18.75" customHeight="1">
      <c r="E238" s="129"/>
      <c r="H238" s="129"/>
    </row>
    <row r="239" ht="18.75" customHeight="1">
      <c r="E239" s="129"/>
      <c r="H239" s="129"/>
    </row>
    <row r="240" ht="18.75" customHeight="1">
      <c r="E240" s="129"/>
      <c r="H240" s="129"/>
    </row>
    <row r="241" ht="18.75" customHeight="1">
      <c r="E241" s="129"/>
      <c r="H241" s="129"/>
    </row>
    <row r="242" ht="18.75" customHeight="1">
      <c r="E242" s="129"/>
      <c r="H242" s="129"/>
    </row>
    <row r="243" ht="18.75" customHeight="1">
      <c r="E243" s="129"/>
      <c r="H243" s="129"/>
    </row>
    <row r="244" ht="18.75" customHeight="1">
      <c r="E244" s="129"/>
      <c r="H244" s="129"/>
    </row>
    <row r="245" ht="18.75" customHeight="1">
      <c r="E245" s="129"/>
      <c r="H245" s="129"/>
    </row>
    <row r="246" ht="18.75" customHeight="1">
      <c r="E246" s="129"/>
      <c r="H246" s="129"/>
    </row>
    <row r="247" ht="18.75" customHeight="1">
      <c r="E247" s="129"/>
      <c r="H247" s="129"/>
    </row>
    <row r="248" ht="18.75" customHeight="1">
      <c r="E248" s="129"/>
      <c r="H248" s="129"/>
    </row>
    <row r="249" ht="18.75" customHeight="1">
      <c r="E249" s="129"/>
      <c r="H249" s="129"/>
    </row>
    <row r="250" ht="18.75" customHeight="1">
      <c r="E250" s="129"/>
      <c r="H250" s="129"/>
    </row>
    <row r="251" ht="18.75" customHeight="1">
      <c r="E251" s="129"/>
      <c r="H251" s="129"/>
    </row>
    <row r="252" ht="18.75" customHeight="1">
      <c r="E252" s="129"/>
      <c r="H252" s="129"/>
    </row>
    <row r="253" ht="18.75" customHeight="1">
      <c r="E253" s="129"/>
      <c r="H253" s="129"/>
    </row>
    <row r="254" ht="18.75" customHeight="1">
      <c r="E254" s="129"/>
      <c r="H254" s="129"/>
    </row>
    <row r="255" ht="18.75" customHeight="1">
      <c r="E255" s="129"/>
      <c r="H255" s="129"/>
    </row>
    <row r="256" ht="18.75" customHeight="1">
      <c r="E256" s="129"/>
      <c r="H256" s="129"/>
    </row>
    <row r="257" ht="18.75" customHeight="1">
      <c r="E257" s="129"/>
      <c r="H257" s="129"/>
    </row>
    <row r="258" ht="18.75" customHeight="1">
      <c r="E258" s="129"/>
      <c r="H258" s="129"/>
    </row>
    <row r="259" ht="18.75" customHeight="1">
      <c r="E259" s="129"/>
      <c r="H259" s="129"/>
    </row>
    <row r="260" ht="18.75" customHeight="1">
      <c r="E260" s="129"/>
      <c r="H260" s="129"/>
    </row>
    <row r="261" ht="18.75" customHeight="1">
      <c r="E261" s="129"/>
      <c r="H261" s="129"/>
    </row>
    <row r="262" ht="18.75" customHeight="1">
      <c r="E262" s="129"/>
      <c r="H262" s="129"/>
    </row>
    <row r="263" ht="18.75" customHeight="1">
      <c r="E263" s="129"/>
      <c r="H263" s="129"/>
    </row>
    <row r="264" ht="18.75" customHeight="1">
      <c r="E264" s="129"/>
      <c r="H264" s="129"/>
    </row>
    <row r="265" ht="18.75" customHeight="1">
      <c r="E265" s="129"/>
      <c r="H265" s="129"/>
    </row>
    <row r="266" ht="18.75" customHeight="1">
      <c r="E266" s="129"/>
      <c r="H266" s="129"/>
    </row>
    <row r="267" ht="18.75" customHeight="1">
      <c r="E267" s="129"/>
      <c r="H267" s="129"/>
    </row>
    <row r="268" ht="18.75" customHeight="1">
      <c r="E268" s="129"/>
      <c r="H268" s="129"/>
    </row>
    <row r="269" ht="18.75" customHeight="1">
      <c r="E269" s="129"/>
      <c r="H269" s="129"/>
    </row>
    <row r="270" ht="18.75" customHeight="1">
      <c r="E270" s="129"/>
      <c r="H270" s="129"/>
    </row>
    <row r="271" ht="18.75" customHeight="1">
      <c r="E271" s="129"/>
      <c r="H271" s="129"/>
    </row>
    <row r="272" ht="18.75" customHeight="1">
      <c r="E272" s="129"/>
      <c r="H272" s="129"/>
    </row>
    <row r="273" ht="18.75" customHeight="1">
      <c r="E273" s="129"/>
      <c r="H273" s="129"/>
    </row>
    <row r="274" ht="18.75" customHeight="1">
      <c r="E274" s="129"/>
      <c r="H274" s="129"/>
    </row>
    <row r="275" ht="18.75" customHeight="1">
      <c r="E275" s="129"/>
      <c r="H275" s="129"/>
    </row>
    <row r="276" ht="18.75" customHeight="1">
      <c r="E276" s="129"/>
      <c r="H276" s="129"/>
    </row>
    <row r="277" ht="18.75" customHeight="1">
      <c r="E277" s="129"/>
      <c r="H277" s="129"/>
    </row>
    <row r="278" ht="18.75" customHeight="1">
      <c r="E278" s="129"/>
      <c r="H278" s="129"/>
    </row>
    <row r="279" ht="18.75" customHeight="1">
      <c r="E279" s="129"/>
      <c r="H279" s="129"/>
    </row>
    <row r="280" ht="18.75" customHeight="1">
      <c r="E280" s="129"/>
      <c r="H280" s="129"/>
    </row>
    <row r="281" ht="18.75" customHeight="1">
      <c r="E281" s="129"/>
      <c r="H281" s="129"/>
    </row>
    <row r="282" ht="18.75" customHeight="1">
      <c r="E282" s="129"/>
      <c r="H282" s="129"/>
    </row>
    <row r="283" ht="18.75" customHeight="1">
      <c r="E283" s="129"/>
      <c r="H283" s="129"/>
    </row>
    <row r="284" ht="18.75" customHeight="1">
      <c r="E284" s="129"/>
      <c r="H284" s="129"/>
    </row>
    <row r="285" ht="18.75" customHeight="1">
      <c r="E285" s="129"/>
      <c r="H285" s="129"/>
    </row>
    <row r="286" ht="18.75" customHeight="1">
      <c r="E286" s="129"/>
      <c r="H286" s="129"/>
    </row>
    <row r="287" ht="18.75" customHeight="1">
      <c r="E287" s="129"/>
      <c r="H287" s="129"/>
    </row>
    <row r="288" ht="18.75" customHeight="1">
      <c r="E288" s="129"/>
      <c r="H288" s="129"/>
    </row>
    <row r="289" ht="18.75" customHeight="1">
      <c r="E289" s="129"/>
      <c r="H289" s="129"/>
    </row>
    <row r="290" ht="18.75" customHeight="1">
      <c r="E290" s="129"/>
      <c r="H290" s="129"/>
    </row>
    <row r="291" ht="18.75" customHeight="1">
      <c r="E291" s="129"/>
      <c r="H291" s="129"/>
    </row>
    <row r="292" ht="18.75" customHeight="1">
      <c r="E292" s="129"/>
      <c r="H292" s="129"/>
    </row>
    <row r="293" ht="18.75" customHeight="1">
      <c r="E293" s="129"/>
      <c r="H293" s="129"/>
    </row>
    <row r="294" ht="18.75" customHeight="1">
      <c r="E294" s="129"/>
      <c r="H294" s="129"/>
    </row>
    <row r="295" ht="18.75" customHeight="1">
      <c r="E295" s="129"/>
      <c r="H295" s="129"/>
    </row>
    <row r="296" ht="18.75" customHeight="1">
      <c r="E296" s="129"/>
      <c r="H296" s="129"/>
    </row>
    <row r="297" ht="18.75" customHeight="1">
      <c r="E297" s="129"/>
      <c r="H297" s="129"/>
    </row>
    <row r="298" ht="18.75" customHeight="1">
      <c r="E298" s="129"/>
      <c r="H298" s="129"/>
    </row>
    <row r="299" ht="18.75" customHeight="1">
      <c r="E299" s="129"/>
      <c r="H299" s="129"/>
    </row>
    <row r="300" ht="18.75" customHeight="1">
      <c r="E300" s="129"/>
      <c r="H300" s="129"/>
    </row>
    <row r="301" ht="18.75" customHeight="1">
      <c r="E301" s="129"/>
      <c r="H301" s="129"/>
    </row>
    <row r="302" ht="18.75" customHeight="1">
      <c r="E302" s="129"/>
      <c r="H302" s="129"/>
    </row>
    <row r="303" ht="18.75" customHeight="1">
      <c r="E303" s="129"/>
      <c r="H303" s="129"/>
    </row>
    <row r="304" ht="18.75" customHeight="1">
      <c r="E304" s="129"/>
      <c r="H304" s="129"/>
    </row>
    <row r="305" ht="18.75" customHeight="1">
      <c r="E305" s="129"/>
      <c r="H305" s="129"/>
    </row>
    <row r="306" ht="18.75" customHeight="1">
      <c r="E306" s="129"/>
      <c r="H306" s="129"/>
    </row>
    <row r="307" ht="18.75" customHeight="1">
      <c r="E307" s="129"/>
      <c r="H307" s="129"/>
    </row>
    <row r="308" ht="18.75" customHeight="1">
      <c r="E308" s="129"/>
      <c r="H308" s="129"/>
    </row>
    <row r="309" ht="18.75" customHeight="1">
      <c r="E309" s="129"/>
      <c r="H309" s="129"/>
    </row>
    <row r="310" ht="18.75" customHeight="1">
      <c r="E310" s="129"/>
      <c r="H310" s="129"/>
    </row>
    <row r="311" ht="18.75" customHeight="1">
      <c r="E311" s="129"/>
      <c r="H311" s="129"/>
    </row>
    <row r="312" ht="18.75" customHeight="1">
      <c r="E312" s="129"/>
      <c r="H312" s="129"/>
    </row>
    <row r="313" ht="18.75" customHeight="1">
      <c r="E313" s="129"/>
      <c r="H313" s="129"/>
    </row>
    <row r="314" ht="18.75" customHeight="1">
      <c r="E314" s="129"/>
      <c r="H314" s="129"/>
    </row>
    <row r="315" ht="18.75" customHeight="1">
      <c r="E315" s="129"/>
      <c r="H315" s="129"/>
    </row>
    <row r="316" ht="18.75" customHeight="1">
      <c r="E316" s="129"/>
      <c r="H316" s="129"/>
    </row>
    <row r="317" ht="18.75" customHeight="1">
      <c r="E317" s="129"/>
      <c r="H317" s="129"/>
    </row>
    <row r="318" ht="18.75" customHeight="1">
      <c r="E318" s="129"/>
      <c r="H318" s="129"/>
    </row>
    <row r="319" ht="18.75" customHeight="1">
      <c r="E319" s="129"/>
      <c r="H319" s="129"/>
    </row>
    <row r="320" ht="18.75" customHeight="1">
      <c r="E320" s="129"/>
      <c r="H320" s="129"/>
    </row>
    <row r="321" ht="18.75" customHeight="1">
      <c r="E321" s="129"/>
      <c r="H321" s="129"/>
    </row>
    <row r="322" ht="18.75" customHeight="1">
      <c r="E322" s="129"/>
      <c r="H322" s="129"/>
    </row>
    <row r="323" ht="18.75" customHeight="1">
      <c r="E323" s="129"/>
      <c r="H323" s="129"/>
    </row>
    <row r="324" ht="18.75" customHeight="1">
      <c r="E324" s="129"/>
      <c r="H324" s="129"/>
    </row>
    <row r="325" ht="18.75" customHeight="1">
      <c r="E325" s="129"/>
      <c r="H325" s="129"/>
    </row>
    <row r="326" ht="18.75" customHeight="1">
      <c r="E326" s="129"/>
      <c r="H326" s="129"/>
    </row>
    <row r="327" ht="18.75" customHeight="1">
      <c r="E327" s="129"/>
      <c r="H327" s="129"/>
    </row>
    <row r="328" ht="18.75" customHeight="1">
      <c r="E328" s="129"/>
      <c r="H328" s="129"/>
    </row>
    <row r="329" ht="18.75" customHeight="1">
      <c r="E329" s="129"/>
      <c r="H329" s="129"/>
    </row>
    <row r="330" ht="18.75" customHeight="1">
      <c r="E330" s="129"/>
      <c r="H330" s="129"/>
    </row>
    <row r="331" ht="18.75" customHeight="1">
      <c r="E331" s="129"/>
      <c r="H331" s="129"/>
    </row>
    <row r="332" ht="18.75" customHeight="1">
      <c r="E332" s="129"/>
      <c r="H332" s="129"/>
    </row>
    <row r="333" ht="18.75" customHeight="1">
      <c r="E333" s="129"/>
      <c r="H333" s="129"/>
    </row>
    <row r="334" ht="18.75" customHeight="1">
      <c r="E334" s="129"/>
      <c r="H334" s="129"/>
    </row>
    <row r="335" ht="18.75" customHeight="1">
      <c r="E335" s="129"/>
      <c r="H335" s="129"/>
    </row>
    <row r="336" ht="18.75" customHeight="1">
      <c r="E336" s="129"/>
      <c r="H336" s="129"/>
    </row>
    <row r="337" ht="18.75" customHeight="1">
      <c r="E337" s="129"/>
      <c r="H337" s="129"/>
    </row>
    <row r="338" ht="18.75" customHeight="1">
      <c r="E338" s="129"/>
      <c r="H338" s="129"/>
    </row>
    <row r="339" ht="18.75" customHeight="1">
      <c r="E339" s="129"/>
      <c r="H339" s="129"/>
    </row>
    <row r="340" ht="18.75" customHeight="1">
      <c r="E340" s="129"/>
      <c r="H340" s="129"/>
    </row>
    <row r="341" ht="18.75" customHeight="1">
      <c r="E341" s="129"/>
      <c r="H341" s="129"/>
    </row>
    <row r="342" ht="18.75" customHeight="1">
      <c r="E342" s="129"/>
      <c r="H342" s="129"/>
    </row>
    <row r="343" ht="18.75" customHeight="1">
      <c r="E343" s="129"/>
      <c r="H343" s="129"/>
    </row>
    <row r="344" ht="18.75" customHeight="1">
      <c r="E344" s="129"/>
      <c r="H344" s="129"/>
    </row>
    <row r="345" ht="18.75" customHeight="1">
      <c r="E345" s="129"/>
      <c r="H345" s="129"/>
    </row>
    <row r="346" ht="18.75" customHeight="1">
      <c r="E346" s="129"/>
      <c r="H346" s="129"/>
    </row>
    <row r="347" ht="18.75" customHeight="1">
      <c r="E347" s="129"/>
      <c r="H347" s="129"/>
    </row>
    <row r="348" ht="18.75" customHeight="1">
      <c r="E348" s="129"/>
      <c r="H348" s="129"/>
    </row>
    <row r="349" ht="18.75" customHeight="1">
      <c r="E349" s="129"/>
      <c r="H349" s="129"/>
    </row>
    <row r="350" ht="18.75" customHeight="1">
      <c r="E350" s="129"/>
      <c r="H350" s="129"/>
    </row>
    <row r="351" ht="18.75" customHeight="1">
      <c r="E351" s="129"/>
      <c r="H351" s="129"/>
    </row>
    <row r="352" ht="18.75" customHeight="1">
      <c r="E352" s="129"/>
      <c r="H352" s="129"/>
    </row>
    <row r="353" ht="18.75" customHeight="1">
      <c r="E353" s="129"/>
      <c r="H353" s="129"/>
    </row>
    <row r="354" ht="18.75" customHeight="1">
      <c r="E354" s="129"/>
      <c r="H354" s="129"/>
    </row>
    <row r="355" ht="18.75" customHeight="1">
      <c r="E355" s="129"/>
      <c r="H355" s="129"/>
    </row>
    <row r="356" ht="18.75" customHeight="1">
      <c r="E356" s="129"/>
      <c r="H356" s="129"/>
    </row>
    <row r="357" ht="18.75" customHeight="1">
      <c r="E357" s="129"/>
      <c r="H357" s="129"/>
    </row>
    <row r="358" ht="18.75" customHeight="1">
      <c r="E358" s="129"/>
      <c r="H358" s="129"/>
    </row>
    <row r="359" ht="18.75" customHeight="1">
      <c r="E359" s="129"/>
      <c r="H359" s="129"/>
    </row>
    <row r="360" ht="18.75" customHeight="1">
      <c r="E360" s="129"/>
      <c r="H360" s="129"/>
    </row>
    <row r="361" ht="18.75" customHeight="1">
      <c r="E361" s="129"/>
      <c r="H361" s="129"/>
    </row>
    <row r="362" ht="18.75" customHeight="1">
      <c r="E362" s="129"/>
      <c r="H362" s="129"/>
    </row>
    <row r="363" ht="18.75" customHeight="1">
      <c r="E363" s="129"/>
      <c r="H363" s="129"/>
    </row>
    <row r="364" ht="18.75" customHeight="1">
      <c r="E364" s="129"/>
      <c r="H364" s="129"/>
    </row>
    <row r="365" ht="18.75" customHeight="1">
      <c r="E365" s="129"/>
      <c r="H365" s="129"/>
    </row>
    <row r="366" ht="18.75" customHeight="1">
      <c r="E366" s="129"/>
      <c r="H366" s="129"/>
    </row>
    <row r="367" ht="18.75" customHeight="1">
      <c r="E367" s="129"/>
      <c r="H367" s="129"/>
    </row>
    <row r="368" ht="18.75" customHeight="1">
      <c r="E368" s="129"/>
      <c r="H368" s="129"/>
    </row>
    <row r="369" ht="18.75" customHeight="1">
      <c r="E369" s="129"/>
      <c r="H369" s="129"/>
    </row>
    <row r="370" ht="18.75" customHeight="1">
      <c r="E370" s="129"/>
      <c r="H370" s="129"/>
    </row>
    <row r="371" ht="18.75" customHeight="1">
      <c r="E371" s="129"/>
      <c r="H371" s="129"/>
    </row>
    <row r="372" ht="18.75" customHeight="1">
      <c r="E372" s="129"/>
      <c r="H372" s="129"/>
    </row>
    <row r="373" ht="18.75" customHeight="1">
      <c r="E373" s="129"/>
      <c r="H373" s="129"/>
    </row>
    <row r="374" ht="18.75" customHeight="1">
      <c r="E374" s="129"/>
      <c r="H374" s="129"/>
    </row>
    <row r="375" ht="18.75" customHeight="1">
      <c r="E375" s="129"/>
      <c r="H375" s="129"/>
    </row>
    <row r="376" ht="18.75" customHeight="1">
      <c r="E376" s="129"/>
      <c r="H376" s="129"/>
    </row>
    <row r="377" ht="18.75" customHeight="1">
      <c r="E377" s="129"/>
      <c r="H377" s="129"/>
    </row>
    <row r="378" ht="18.75" customHeight="1">
      <c r="E378" s="129"/>
      <c r="H378" s="129"/>
    </row>
    <row r="379" ht="18.75" customHeight="1">
      <c r="E379" s="129"/>
      <c r="H379" s="129"/>
    </row>
    <row r="380" ht="18.75" customHeight="1">
      <c r="E380" s="129"/>
      <c r="H380" s="129"/>
    </row>
    <row r="381" ht="18.75" customHeight="1">
      <c r="E381" s="129"/>
      <c r="H381" s="129"/>
    </row>
    <row r="382" ht="18.75" customHeight="1">
      <c r="E382" s="129"/>
      <c r="H382" s="129"/>
    </row>
    <row r="383" ht="18.75" customHeight="1">
      <c r="E383" s="129"/>
      <c r="H383" s="129"/>
    </row>
    <row r="384" ht="18.75" customHeight="1">
      <c r="E384" s="129"/>
      <c r="H384" s="129"/>
    </row>
    <row r="385" ht="18.75" customHeight="1">
      <c r="E385" s="129"/>
      <c r="H385" s="129"/>
    </row>
    <row r="386" ht="18.75" customHeight="1">
      <c r="E386" s="129"/>
      <c r="H386" s="129"/>
    </row>
    <row r="387" ht="18.75" customHeight="1">
      <c r="E387" s="129"/>
      <c r="H387" s="129"/>
    </row>
    <row r="388" ht="18.75" customHeight="1">
      <c r="E388" s="129"/>
      <c r="H388" s="129"/>
    </row>
    <row r="389" ht="18.75" customHeight="1">
      <c r="E389" s="129"/>
      <c r="H389" s="129"/>
    </row>
    <row r="390" ht="18.75" customHeight="1">
      <c r="E390" s="129"/>
      <c r="H390" s="129"/>
    </row>
    <row r="391" ht="18.75" customHeight="1">
      <c r="E391" s="129"/>
      <c r="H391" s="129"/>
    </row>
    <row r="392" ht="18.75" customHeight="1">
      <c r="E392" s="129"/>
      <c r="H392" s="129"/>
    </row>
    <row r="393" ht="18.75" customHeight="1">
      <c r="E393" s="129"/>
      <c r="H393" s="129"/>
    </row>
    <row r="394" ht="18.75" customHeight="1">
      <c r="E394" s="129"/>
      <c r="H394" s="129"/>
    </row>
    <row r="395" ht="18.75" customHeight="1">
      <c r="E395" s="129"/>
      <c r="H395" s="129"/>
    </row>
    <row r="396" ht="18.75" customHeight="1">
      <c r="E396" s="129"/>
      <c r="H396" s="129"/>
    </row>
    <row r="397" ht="18.75" customHeight="1">
      <c r="E397" s="129"/>
      <c r="H397" s="129"/>
    </row>
    <row r="398" ht="18.75" customHeight="1">
      <c r="E398" s="129"/>
      <c r="H398" s="129"/>
    </row>
    <row r="399" ht="18.75" customHeight="1">
      <c r="E399" s="129"/>
      <c r="H399" s="129"/>
    </row>
    <row r="400" ht="18.75" customHeight="1">
      <c r="E400" s="129"/>
      <c r="H400" s="129"/>
    </row>
    <row r="401" ht="18.75" customHeight="1">
      <c r="E401" s="129"/>
      <c r="H401" s="129"/>
    </row>
    <row r="402" ht="18.75" customHeight="1">
      <c r="E402" s="129"/>
      <c r="H402" s="129"/>
    </row>
    <row r="403" ht="18.75" customHeight="1">
      <c r="E403" s="129"/>
      <c r="H403" s="129"/>
    </row>
    <row r="404" ht="18.75" customHeight="1">
      <c r="E404" s="129"/>
      <c r="H404" s="129"/>
    </row>
    <row r="405" ht="18.75" customHeight="1">
      <c r="E405" s="129"/>
      <c r="H405" s="129"/>
    </row>
    <row r="406" ht="18.75" customHeight="1">
      <c r="E406" s="129"/>
      <c r="H406" s="129"/>
    </row>
    <row r="407" ht="18.75" customHeight="1">
      <c r="E407" s="129"/>
      <c r="H407" s="129"/>
    </row>
    <row r="408" ht="18.75" customHeight="1">
      <c r="E408" s="129"/>
      <c r="H408" s="129"/>
    </row>
    <row r="409" ht="18.75" customHeight="1">
      <c r="E409" s="129"/>
      <c r="H409" s="129"/>
    </row>
    <row r="410" ht="18.75" customHeight="1">
      <c r="E410" s="129"/>
      <c r="H410" s="129"/>
    </row>
    <row r="411" ht="18.75" customHeight="1">
      <c r="E411" s="129"/>
      <c r="H411" s="129"/>
    </row>
    <row r="412" ht="18.75" customHeight="1">
      <c r="E412" s="129"/>
      <c r="H412" s="129"/>
    </row>
    <row r="413" ht="18.75" customHeight="1">
      <c r="E413" s="129"/>
      <c r="H413" s="129"/>
    </row>
    <row r="414" ht="18.75" customHeight="1">
      <c r="E414" s="129"/>
      <c r="H414" s="129"/>
    </row>
    <row r="415" ht="18.75" customHeight="1">
      <c r="E415" s="129"/>
      <c r="H415" s="129"/>
    </row>
    <row r="416" ht="18.75" customHeight="1">
      <c r="E416" s="129"/>
      <c r="H416" s="129"/>
    </row>
    <row r="417" ht="18.75" customHeight="1">
      <c r="E417" s="129"/>
      <c r="H417" s="129"/>
    </row>
    <row r="418" ht="18.75" customHeight="1">
      <c r="E418" s="129"/>
      <c r="H418" s="129"/>
    </row>
    <row r="419" ht="18.75" customHeight="1">
      <c r="E419" s="129"/>
      <c r="H419" s="129"/>
    </row>
    <row r="420" ht="18.75" customHeight="1">
      <c r="E420" s="129"/>
      <c r="H420" s="129"/>
    </row>
    <row r="421" ht="18.75" customHeight="1">
      <c r="E421" s="129"/>
      <c r="H421" s="129"/>
    </row>
    <row r="422" ht="18.75" customHeight="1">
      <c r="E422" s="129"/>
      <c r="H422" s="129"/>
    </row>
    <row r="423" ht="18.75" customHeight="1">
      <c r="E423" s="129"/>
      <c r="H423" s="129"/>
    </row>
    <row r="424" ht="18.75" customHeight="1">
      <c r="E424" s="129"/>
      <c r="H424" s="129"/>
    </row>
    <row r="425" ht="18.75" customHeight="1">
      <c r="E425" s="129"/>
      <c r="H425" s="129"/>
    </row>
    <row r="426" ht="18.75" customHeight="1">
      <c r="E426" s="129"/>
      <c r="H426" s="129"/>
    </row>
    <row r="427" ht="18.75" customHeight="1">
      <c r="E427" s="129"/>
      <c r="H427" s="129"/>
    </row>
    <row r="428" ht="18.75" customHeight="1">
      <c r="E428" s="129"/>
      <c r="H428" s="129"/>
    </row>
    <row r="429" ht="18.75" customHeight="1">
      <c r="E429" s="129"/>
      <c r="H429" s="129"/>
    </row>
    <row r="430" ht="18.75" customHeight="1">
      <c r="E430" s="129"/>
      <c r="H430" s="129"/>
    </row>
    <row r="431" ht="18.75" customHeight="1">
      <c r="E431" s="129"/>
      <c r="H431" s="129"/>
    </row>
    <row r="432" ht="18.75" customHeight="1">
      <c r="E432" s="129"/>
      <c r="H432" s="129"/>
    </row>
    <row r="433" ht="18.75" customHeight="1">
      <c r="E433" s="129"/>
      <c r="H433" s="129"/>
    </row>
    <row r="434" ht="18.75" customHeight="1">
      <c r="E434" s="129"/>
      <c r="H434" s="129"/>
    </row>
    <row r="435" ht="18.75" customHeight="1">
      <c r="E435" s="129"/>
      <c r="H435" s="129"/>
    </row>
    <row r="436" ht="18.75" customHeight="1">
      <c r="E436" s="129"/>
      <c r="H436" s="129"/>
    </row>
    <row r="437" ht="18.75" customHeight="1">
      <c r="E437" s="129"/>
      <c r="H437" s="129"/>
    </row>
    <row r="438" ht="18.75" customHeight="1">
      <c r="E438" s="129"/>
      <c r="H438" s="129"/>
    </row>
    <row r="439" ht="18.75" customHeight="1">
      <c r="E439" s="129"/>
      <c r="H439" s="129"/>
    </row>
    <row r="440" ht="18.75" customHeight="1">
      <c r="E440" s="129"/>
      <c r="H440" s="129"/>
    </row>
    <row r="441" ht="18.75" customHeight="1">
      <c r="E441" s="129"/>
      <c r="H441" s="129"/>
    </row>
    <row r="442" ht="18.75" customHeight="1">
      <c r="E442" s="129"/>
      <c r="H442" s="129"/>
    </row>
    <row r="443" ht="18.75" customHeight="1">
      <c r="E443" s="129"/>
      <c r="H443" s="129"/>
    </row>
    <row r="444" ht="18.75" customHeight="1">
      <c r="E444" s="129"/>
      <c r="H444" s="129"/>
    </row>
    <row r="445" ht="18.75" customHeight="1">
      <c r="E445" s="129"/>
      <c r="H445" s="129"/>
    </row>
    <row r="446" ht="18.75" customHeight="1">
      <c r="E446" s="129"/>
      <c r="H446" s="129"/>
    </row>
    <row r="447" ht="18.75" customHeight="1">
      <c r="E447" s="129"/>
      <c r="H447" s="129"/>
    </row>
    <row r="448" ht="18.75" customHeight="1">
      <c r="E448" s="129"/>
      <c r="H448" s="129"/>
    </row>
    <row r="449" ht="18.75" customHeight="1">
      <c r="E449" s="129"/>
      <c r="H449" s="129"/>
    </row>
    <row r="450" ht="18.75" customHeight="1">
      <c r="E450" s="129"/>
      <c r="H450" s="129"/>
    </row>
    <row r="451" ht="18.75" customHeight="1">
      <c r="E451" s="129"/>
      <c r="H451" s="129"/>
    </row>
    <row r="452" ht="18.75" customHeight="1">
      <c r="E452" s="129"/>
      <c r="H452" s="129"/>
    </row>
    <row r="453" ht="18.75" customHeight="1">
      <c r="E453" s="129"/>
      <c r="H453" s="129"/>
    </row>
    <row r="454" ht="18.75" customHeight="1">
      <c r="E454" s="129"/>
      <c r="H454" s="129"/>
    </row>
    <row r="455" ht="18.75" customHeight="1">
      <c r="E455" s="129"/>
      <c r="H455" s="129"/>
    </row>
    <row r="456" ht="18.75" customHeight="1">
      <c r="E456" s="129"/>
      <c r="H456" s="129"/>
    </row>
    <row r="457" ht="18.75" customHeight="1">
      <c r="E457" s="129"/>
      <c r="H457" s="129"/>
    </row>
    <row r="458" ht="18.75" customHeight="1">
      <c r="E458" s="129"/>
      <c r="H458" s="129"/>
    </row>
    <row r="459" ht="18.75" customHeight="1">
      <c r="E459" s="129"/>
      <c r="H459" s="129"/>
    </row>
    <row r="460" ht="18.75" customHeight="1">
      <c r="E460" s="129"/>
      <c r="H460" s="129"/>
    </row>
    <row r="461" ht="18.75" customHeight="1">
      <c r="E461" s="129"/>
      <c r="H461" s="129"/>
    </row>
    <row r="462" ht="18.75" customHeight="1">
      <c r="E462" s="129"/>
      <c r="H462" s="129"/>
    </row>
    <row r="463" ht="18.75" customHeight="1">
      <c r="E463" s="129"/>
      <c r="H463" s="129"/>
    </row>
    <row r="464" ht="18.75" customHeight="1">
      <c r="E464" s="129"/>
      <c r="H464" s="129"/>
    </row>
    <row r="465" ht="18.75" customHeight="1">
      <c r="E465" s="129"/>
      <c r="H465" s="129"/>
    </row>
    <row r="466" ht="18.75" customHeight="1">
      <c r="E466" s="129"/>
      <c r="H466" s="129"/>
    </row>
    <row r="467" ht="18.75" customHeight="1">
      <c r="E467" s="129"/>
      <c r="H467" s="129"/>
    </row>
    <row r="468" ht="18.75" customHeight="1">
      <c r="E468" s="129"/>
      <c r="H468" s="129"/>
    </row>
    <row r="469" ht="18.75" customHeight="1">
      <c r="E469" s="129"/>
      <c r="H469" s="129"/>
    </row>
    <row r="470" ht="18.75" customHeight="1">
      <c r="E470" s="129"/>
      <c r="H470" s="129"/>
    </row>
    <row r="471" ht="18.75" customHeight="1">
      <c r="E471" s="129"/>
      <c r="H471" s="129"/>
    </row>
    <row r="472" ht="18.75" customHeight="1">
      <c r="E472" s="129"/>
      <c r="H472" s="129"/>
    </row>
    <row r="473" ht="18.75" customHeight="1">
      <c r="E473" s="129"/>
      <c r="H473" s="129"/>
    </row>
    <row r="474" ht="18.75" customHeight="1">
      <c r="E474" s="129"/>
      <c r="H474" s="129"/>
    </row>
    <row r="475" ht="18.75" customHeight="1">
      <c r="E475" s="129"/>
      <c r="H475" s="129"/>
    </row>
    <row r="476" ht="18.75" customHeight="1">
      <c r="E476" s="129"/>
      <c r="H476" s="129"/>
    </row>
    <row r="477" ht="18.75" customHeight="1">
      <c r="E477" s="129"/>
      <c r="H477" s="129"/>
    </row>
    <row r="478" ht="18.75" customHeight="1">
      <c r="E478" s="129"/>
      <c r="H478" s="129"/>
    </row>
    <row r="479" ht="18.75" customHeight="1">
      <c r="E479" s="129"/>
      <c r="H479" s="129"/>
    </row>
    <row r="480" ht="18.75" customHeight="1">
      <c r="E480" s="129"/>
      <c r="H480" s="129"/>
    </row>
    <row r="481" ht="18.75" customHeight="1">
      <c r="E481" s="129"/>
      <c r="H481" s="129"/>
    </row>
    <row r="482" ht="18.75" customHeight="1">
      <c r="E482" s="129"/>
      <c r="H482" s="129"/>
    </row>
    <row r="483" ht="18.75" customHeight="1">
      <c r="E483" s="129"/>
      <c r="H483" s="129"/>
    </row>
    <row r="484" ht="18.75" customHeight="1">
      <c r="E484" s="129"/>
      <c r="H484" s="129"/>
    </row>
    <row r="485" ht="18.75" customHeight="1">
      <c r="E485" s="129"/>
      <c r="H485" s="129"/>
    </row>
    <row r="486" ht="18.75" customHeight="1">
      <c r="E486" s="129"/>
      <c r="H486" s="129"/>
    </row>
    <row r="487" ht="18.75" customHeight="1">
      <c r="E487" s="129"/>
      <c r="H487" s="129"/>
    </row>
    <row r="488" ht="18.75" customHeight="1">
      <c r="E488" s="129"/>
      <c r="H488" s="129"/>
    </row>
    <row r="489" ht="18.75" customHeight="1">
      <c r="E489" s="129"/>
      <c r="H489" s="129"/>
    </row>
    <row r="490" ht="18.75" customHeight="1">
      <c r="E490" s="129"/>
      <c r="H490" s="129"/>
    </row>
    <row r="491" ht="18.75" customHeight="1">
      <c r="E491" s="129"/>
      <c r="H491" s="129"/>
    </row>
    <row r="492" ht="18.75" customHeight="1">
      <c r="E492" s="129"/>
      <c r="H492" s="129"/>
    </row>
    <row r="493" ht="18.75" customHeight="1">
      <c r="E493" s="129"/>
      <c r="H493" s="129"/>
    </row>
    <row r="494" ht="18.75" customHeight="1">
      <c r="E494" s="129"/>
      <c r="H494" s="129"/>
    </row>
    <row r="495" ht="18.75" customHeight="1">
      <c r="E495" s="129"/>
      <c r="H495" s="129"/>
    </row>
    <row r="496" ht="18.75" customHeight="1">
      <c r="E496" s="129"/>
      <c r="H496" s="129"/>
    </row>
    <row r="497" ht="18.75" customHeight="1">
      <c r="E497" s="129"/>
      <c r="H497" s="129"/>
    </row>
    <row r="498" ht="18.75" customHeight="1">
      <c r="E498" s="129"/>
      <c r="H498" s="129"/>
    </row>
    <row r="499" ht="18.75" customHeight="1">
      <c r="E499" s="129"/>
      <c r="H499" s="129"/>
    </row>
    <row r="500" ht="18.75" customHeight="1">
      <c r="E500" s="129"/>
      <c r="H500" s="129"/>
    </row>
    <row r="501" ht="18.75" customHeight="1">
      <c r="E501" s="129"/>
      <c r="H501" s="129"/>
    </row>
    <row r="502" ht="18.75" customHeight="1">
      <c r="E502" s="129"/>
      <c r="H502" s="129"/>
    </row>
    <row r="503" ht="18.75" customHeight="1">
      <c r="E503" s="129"/>
      <c r="H503" s="129"/>
    </row>
    <row r="504" ht="18.75" customHeight="1">
      <c r="E504" s="129"/>
      <c r="H504" s="129"/>
    </row>
    <row r="505" ht="18.75" customHeight="1">
      <c r="E505" s="129"/>
      <c r="H505" s="129"/>
    </row>
    <row r="506" ht="18.75" customHeight="1">
      <c r="E506" s="129"/>
      <c r="H506" s="129"/>
    </row>
    <row r="507" ht="18.75" customHeight="1">
      <c r="E507" s="129"/>
      <c r="H507" s="129"/>
    </row>
    <row r="508" ht="18.75" customHeight="1">
      <c r="E508" s="129"/>
      <c r="H508" s="129"/>
    </row>
    <row r="509" ht="18.75" customHeight="1">
      <c r="E509" s="129"/>
      <c r="H509" s="129"/>
    </row>
    <row r="510" ht="18.75" customHeight="1">
      <c r="E510" s="129"/>
      <c r="H510" s="129"/>
    </row>
    <row r="511" ht="18.75" customHeight="1">
      <c r="E511" s="129"/>
      <c r="H511" s="129"/>
    </row>
    <row r="512" ht="18.75" customHeight="1">
      <c r="E512" s="129"/>
      <c r="H512" s="129"/>
    </row>
    <row r="513" ht="18.75" customHeight="1">
      <c r="E513" s="129"/>
      <c r="H513" s="129"/>
    </row>
    <row r="514" ht="18.75" customHeight="1">
      <c r="E514" s="129"/>
      <c r="H514" s="129"/>
    </row>
    <row r="515" ht="18.75" customHeight="1">
      <c r="E515" s="129"/>
      <c r="H515" s="129"/>
    </row>
    <row r="516" ht="18.75" customHeight="1">
      <c r="E516" s="129"/>
      <c r="H516" s="129"/>
    </row>
    <row r="517" ht="18.75" customHeight="1">
      <c r="E517" s="129"/>
      <c r="H517" s="129"/>
    </row>
    <row r="518" ht="18.75" customHeight="1">
      <c r="E518" s="129"/>
      <c r="H518" s="129"/>
    </row>
    <row r="519" ht="18.75" customHeight="1">
      <c r="E519" s="129"/>
      <c r="H519" s="129"/>
    </row>
    <row r="520" ht="18.75" customHeight="1">
      <c r="E520" s="129"/>
      <c r="H520" s="129"/>
    </row>
    <row r="521" ht="18.75" customHeight="1">
      <c r="E521" s="129"/>
      <c r="H521" s="129"/>
    </row>
    <row r="522" ht="18.75" customHeight="1">
      <c r="E522" s="129"/>
      <c r="H522" s="129"/>
    </row>
    <row r="523" ht="18.75" customHeight="1">
      <c r="E523" s="129"/>
      <c r="H523" s="129"/>
    </row>
    <row r="524" ht="18.75" customHeight="1">
      <c r="E524" s="129"/>
      <c r="H524" s="129"/>
    </row>
    <row r="525" ht="18.75" customHeight="1">
      <c r="E525" s="129"/>
      <c r="H525" s="129"/>
    </row>
    <row r="526" ht="18.75" customHeight="1">
      <c r="E526" s="129"/>
      <c r="H526" s="129"/>
    </row>
    <row r="527" ht="18.75" customHeight="1">
      <c r="E527" s="129"/>
      <c r="H527" s="129"/>
    </row>
    <row r="528" ht="18.75" customHeight="1">
      <c r="E528" s="129"/>
      <c r="H528" s="129"/>
    </row>
    <row r="529" ht="18.75" customHeight="1">
      <c r="E529" s="129"/>
      <c r="H529" s="129"/>
    </row>
    <row r="530" ht="18.75" customHeight="1">
      <c r="E530" s="129"/>
      <c r="H530" s="129"/>
    </row>
    <row r="531" ht="18.75" customHeight="1">
      <c r="E531" s="129"/>
      <c r="H531" s="129"/>
    </row>
    <row r="532" ht="18.75" customHeight="1">
      <c r="E532" s="129"/>
      <c r="H532" s="129"/>
    </row>
    <row r="533" ht="18.75" customHeight="1">
      <c r="E533" s="129"/>
      <c r="H533" s="129"/>
    </row>
    <row r="534" ht="18.75" customHeight="1">
      <c r="E534" s="129"/>
      <c r="H534" s="129"/>
    </row>
    <row r="535" ht="18.75" customHeight="1">
      <c r="E535" s="129"/>
      <c r="H535" s="129"/>
    </row>
    <row r="536" ht="18.75" customHeight="1">
      <c r="E536" s="129"/>
      <c r="H536" s="129"/>
    </row>
    <row r="537" ht="18.75" customHeight="1">
      <c r="E537" s="129"/>
      <c r="H537" s="129"/>
    </row>
    <row r="538" ht="18.75" customHeight="1">
      <c r="E538" s="129"/>
      <c r="H538" s="129"/>
    </row>
    <row r="539" ht="18.75" customHeight="1">
      <c r="E539" s="129"/>
      <c r="H539" s="129"/>
    </row>
    <row r="540" ht="18.75" customHeight="1">
      <c r="E540" s="129"/>
      <c r="H540" s="129"/>
    </row>
    <row r="541" ht="18.75" customHeight="1">
      <c r="E541" s="129"/>
      <c r="H541" s="129"/>
    </row>
    <row r="542" ht="18.75" customHeight="1">
      <c r="E542" s="129"/>
      <c r="H542" s="129"/>
    </row>
    <row r="543" ht="18.75" customHeight="1">
      <c r="E543" s="129"/>
      <c r="H543" s="129"/>
    </row>
    <row r="544" ht="18.75" customHeight="1">
      <c r="E544" s="129"/>
      <c r="H544" s="129"/>
    </row>
    <row r="545" ht="18.75" customHeight="1">
      <c r="E545" s="129"/>
      <c r="H545" s="129"/>
    </row>
    <row r="546" ht="18.75" customHeight="1">
      <c r="E546" s="129"/>
      <c r="H546" s="129"/>
    </row>
    <row r="547" ht="18.75" customHeight="1">
      <c r="E547" s="129"/>
      <c r="H547" s="129"/>
    </row>
    <row r="548" ht="18.75" customHeight="1">
      <c r="E548" s="129"/>
      <c r="H548" s="129"/>
    </row>
    <row r="549" ht="18.75" customHeight="1">
      <c r="E549" s="129"/>
      <c r="H549" s="129"/>
    </row>
    <row r="550" ht="18.75" customHeight="1">
      <c r="E550" s="129"/>
      <c r="H550" s="129"/>
    </row>
    <row r="551" ht="18.75" customHeight="1">
      <c r="E551" s="129"/>
      <c r="H551" s="129"/>
    </row>
    <row r="552" ht="18.75" customHeight="1">
      <c r="E552" s="129"/>
      <c r="H552" s="129"/>
    </row>
    <row r="553" ht="18.75" customHeight="1">
      <c r="E553" s="129"/>
      <c r="H553" s="129"/>
    </row>
    <row r="554" ht="18.75" customHeight="1">
      <c r="E554" s="129"/>
      <c r="H554" s="129"/>
    </row>
    <row r="555" ht="18.75" customHeight="1">
      <c r="E555" s="129"/>
      <c r="H555" s="129"/>
    </row>
    <row r="556" ht="18.75" customHeight="1">
      <c r="E556" s="129"/>
      <c r="H556" s="129"/>
    </row>
    <row r="557" ht="18.75" customHeight="1">
      <c r="E557" s="129"/>
      <c r="H557" s="129"/>
    </row>
    <row r="558" ht="18.75" customHeight="1">
      <c r="E558" s="129"/>
      <c r="H558" s="129"/>
    </row>
    <row r="559" ht="18.75" customHeight="1">
      <c r="E559" s="129"/>
      <c r="H559" s="129"/>
    </row>
    <row r="560" ht="18.75" customHeight="1">
      <c r="E560" s="129"/>
      <c r="H560" s="129"/>
    </row>
    <row r="561" ht="18.75" customHeight="1">
      <c r="E561" s="129"/>
      <c r="H561" s="129"/>
    </row>
    <row r="562" ht="18.75" customHeight="1">
      <c r="E562" s="129"/>
      <c r="H562" s="129"/>
    </row>
    <row r="563" ht="18.75" customHeight="1">
      <c r="E563" s="129"/>
      <c r="H563" s="129"/>
    </row>
    <row r="564" ht="18.75" customHeight="1">
      <c r="E564" s="129"/>
      <c r="H564" s="129"/>
    </row>
    <row r="565" ht="18.75" customHeight="1">
      <c r="E565" s="129"/>
      <c r="H565" s="129"/>
    </row>
    <row r="566" ht="18.75" customHeight="1">
      <c r="E566" s="129"/>
      <c r="H566" s="129"/>
    </row>
    <row r="567" ht="18.75" customHeight="1">
      <c r="E567" s="129"/>
      <c r="H567" s="129"/>
    </row>
    <row r="568" ht="18.75" customHeight="1">
      <c r="E568" s="129"/>
      <c r="H568" s="129"/>
    </row>
    <row r="569" ht="18.75" customHeight="1">
      <c r="E569" s="129"/>
      <c r="H569" s="129"/>
    </row>
    <row r="570" ht="18.75" customHeight="1">
      <c r="E570" s="129"/>
      <c r="H570" s="129"/>
    </row>
    <row r="571" ht="18.75" customHeight="1">
      <c r="E571" s="129"/>
      <c r="H571" s="129"/>
    </row>
    <row r="572" ht="18.75" customHeight="1">
      <c r="E572" s="129"/>
      <c r="H572" s="129"/>
    </row>
    <row r="573" ht="18.75" customHeight="1">
      <c r="E573" s="129"/>
      <c r="H573" s="129"/>
    </row>
    <row r="574" ht="18.75" customHeight="1">
      <c r="E574" s="129"/>
      <c r="H574" s="129"/>
    </row>
    <row r="575" ht="18.75" customHeight="1">
      <c r="E575" s="129"/>
      <c r="H575" s="129"/>
    </row>
    <row r="576" ht="18.75" customHeight="1">
      <c r="E576" s="129"/>
      <c r="H576" s="129"/>
    </row>
    <row r="577" ht="18.75" customHeight="1">
      <c r="E577" s="129"/>
      <c r="H577" s="129"/>
    </row>
    <row r="578" ht="18.75" customHeight="1">
      <c r="E578" s="129"/>
      <c r="H578" s="129"/>
    </row>
    <row r="579" ht="18.75" customHeight="1">
      <c r="E579" s="129"/>
      <c r="H579" s="129"/>
    </row>
    <row r="580" ht="18.75" customHeight="1">
      <c r="E580" s="129"/>
      <c r="H580" s="129"/>
    </row>
    <row r="581" ht="18.75" customHeight="1">
      <c r="E581" s="129"/>
      <c r="H581" s="129"/>
    </row>
    <row r="582" ht="18.75" customHeight="1">
      <c r="E582" s="129"/>
      <c r="H582" s="129"/>
    </row>
    <row r="583" ht="18.75" customHeight="1">
      <c r="E583" s="129"/>
      <c r="H583" s="129"/>
    </row>
    <row r="584" ht="18.75" customHeight="1">
      <c r="E584" s="129"/>
      <c r="H584" s="129"/>
    </row>
    <row r="585" ht="18.75" customHeight="1">
      <c r="E585" s="129"/>
      <c r="H585" s="129"/>
    </row>
    <row r="586" ht="18.75" customHeight="1">
      <c r="E586" s="129"/>
      <c r="H586" s="129"/>
    </row>
    <row r="587" ht="18.75" customHeight="1">
      <c r="E587" s="129"/>
      <c r="H587" s="129"/>
    </row>
    <row r="588" ht="18.75" customHeight="1">
      <c r="E588" s="129"/>
      <c r="H588" s="129"/>
    </row>
    <row r="589" ht="18.75" customHeight="1">
      <c r="E589" s="129"/>
      <c r="H589" s="129"/>
    </row>
    <row r="590" ht="18.75" customHeight="1">
      <c r="E590" s="129"/>
      <c r="H590" s="129"/>
    </row>
    <row r="591" ht="18.75" customHeight="1">
      <c r="E591" s="129"/>
      <c r="H591" s="129"/>
    </row>
    <row r="592" ht="18.75" customHeight="1">
      <c r="E592" s="129"/>
      <c r="H592" s="129"/>
    </row>
    <row r="593" ht="18.75" customHeight="1">
      <c r="E593" s="129"/>
      <c r="H593" s="129"/>
    </row>
    <row r="594" ht="18.75" customHeight="1">
      <c r="E594" s="129"/>
      <c r="H594" s="129"/>
    </row>
    <row r="595" ht="18.75" customHeight="1">
      <c r="E595" s="129"/>
      <c r="H595" s="129"/>
    </row>
    <row r="596" ht="18.75" customHeight="1">
      <c r="E596" s="129"/>
      <c r="H596" s="129"/>
    </row>
    <row r="597" ht="18.75" customHeight="1">
      <c r="E597" s="129"/>
      <c r="H597" s="129"/>
    </row>
    <row r="598" ht="18.75" customHeight="1">
      <c r="E598" s="129"/>
      <c r="H598" s="129"/>
    </row>
    <row r="599" ht="18.75" customHeight="1">
      <c r="E599" s="129"/>
      <c r="H599" s="129"/>
    </row>
    <row r="600" ht="18.75" customHeight="1">
      <c r="E600" s="129"/>
      <c r="H600" s="129"/>
    </row>
    <row r="601" ht="18.75" customHeight="1">
      <c r="E601" s="129"/>
      <c r="H601" s="129"/>
    </row>
    <row r="602" ht="18.75" customHeight="1">
      <c r="E602" s="129"/>
      <c r="H602" s="129"/>
    </row>
    <row r="603" ht="18.75" customHeight="1">
      <c r="E603" s="129"/>
      <c r="H603" s="129"/>
    </row>
    <row r="604" ht="18.75" customHeight="1">
      <c r="E604" s="129"/>
      <c r="H604" s="129"/>
    </row>
    <row r="605" ht="18.75" customHeight="1">
      <c r="E605" s="129"/>
      <c r="H605" s="129"/>
    </row>
    <row r="606" ht="18.75" customHeight="1">
      <c r="E606" s="129"/>
      <c r="H606" s="129"/>
    </row>
    <row r="607" ht="18.75" customHeight="1">
      <c r="E607" s="129"/>
      <c r="H607" s="129"/>
    </row>
    <row r="608" ht="18.75" customHeight="1">
      <c r="E608" s="129"/>
      <c r="H608" s="129"/>
    </row>
    <row r="609" ht="18.75" customHeight="1">
      <c r="E609" s="129"/>
      <c r="H609" s="129"/>
    </row>
    <row r="610" ht="18.75" customHeight="1">
      <c r="E610" s="129"/>
      <c r="H610" s="129"/>
    </row>
    <row r="611" ht="18.75" customHeight="1">
      <c r="E611" s="129"/>
      <c r="H611" s="129"/>
    </row>
    <row r="612" ht="18.75" customHeight="1">
      <c r="E612" s="129"/>
      <c r="H612" s="129"/>
    </row>
    <row r="613" ht="18.75" customHeight="1">
      <c r="E613" s="129"/>
      <c r="H613" s="129"/>
    </row>
    <row r="614" ht="18.75" customHeight="1">
      <c r="E614" s="129"/>
      <c r="H614" s="129"/>
    </row>
    <row r="615" ht="18.75" customHeight="1">
      <c r="E615" s="129"/>
      <c r="H615" s="129"/>
    </row>
    <row r="616" ht="18.75" customHeight="1">
      <c r="E616" s="129"/>
      <c r="H616" s="129"/>
    </row>
    <row r="617" ht="18.75" customHeight="1">
      <c r="E617" s="129"/>
      <c r="H617" s="129"/>
    </row>
    <row r="618" ht="18.75" customHeight="1">
      <c r="E618" s="129"/>
      <c r="H618" s="129"/>
    </row>
    <row r="619" ht="18.75" customHeight="1">
      <c r="E619" s="129"/>
      <c r="H619" s="129"/>
    </row>
    <row r="620" ht="18.75" customHeight="1">
      <c r="E620" s="129"/>
      <c r="H620" s="129"/>
    </row>
    <row r="621" ht="18.75" customHeight="1">
      <c r="E621" s="129"/>
      <c r="H621" s="129"/>
    </row>
    <row r="622" ht="18.75" customHeight="1">
      <c r="E622" s="129"/>
      <c r="H622" s="129"/>
    </row>
    <row r="623" ht="18.75" customHeight="1">
      <c r="E623" s="129"/>
      <c r="H623" s="129"/>
    </row>
    <row r="624" ht="18.75" customHeight="1">
      <c r="E624" s="129"/>
      <c r="H624" s="129"/>
    </row>
    <row r="625" ht="18.75" customHeight="1">
      <c r="E625" s="129"/>
      <c r="H625" s="129"/>
    </row>
    <row r="626" ht="18.75" customHeight="1">
      <c r="E626" s="129"/>
      <c r="H626" s="129"/>
    </row>
    <row r="627" ht="18.75" customHeight="1">
      <c r="E627" s="129"/>
      <c r="H627" s="129"/>
    </row>
    <row r="628" ht="18.75" customHeight="1">
      <c r="E628" s="129"/>
      <c r="H628" s="129"/>
    </row>
    <row r="629" ht="18.75" customHeight="1">
      <c r="E629" s="129"/>
      <c r="H629" s="129"/>
    </row>
    <row r="630" ht="18.75" customHeight="1">
      <c r="E630" s="129"/>
      <c r="H630" s="129"/>
    </row>
    <row r="631" ht="18.75" customHeight="1">
      <c r="E631" s="129"/>
      <c r="H631" s="129"/>
    </row>
    <row r="632" ht="18.75" customHeight="1">
      <c r="E632" s="129"/>
      <c r="H632" s="129"/>
    </row>
    <row r="633" ht="18.75" customHeight="1">
      <c r="E633" s="129"/>
      <c r="H633" s="129"/>
    </row>
    <row r="634" ht="18.75" customHeight="1">
      <c r="E634" s="129"/>
      <c r="H634" s="129"/>
    </row>
    <row r="635" ht="18.75" customHeight="1">
      <c r="E635" s="129"/>
      <c r="H635" s="129"/>
    </row>
    <row r="636" ht="18.75" customHeight="1">
      <c r="E636" s="129"/>
      <c r="H636" s="129"/>
    </row>
    <row r="637" ht="18.75" customHeight="1">
      <c r="E637" s="129"/>
      <c r="H637" s="129"/>
    </row>
    <row r="638" ht="18.75" customHeight="1">
      <c r="E638" s="129"/>
      <c r="H638" s="129"/>
    </row>
    <row r="639" ht="18.75" customHeight="1">
      <c r="E639" s="129"/>
      <c r="H639" s="129"/>
    </row>
    <row r="640" ht="18.75" customHeight="1">
      <c r="E640" s="129"/>
      <c r="H640" s="129"/>
    </row>
    <row r="641" ht="18.75" customHeight="1">
      <c r="E641" s="129"/>
      <c r="H641" s="129"/>
    </row>
    <row r="642" ht="18.75" customHeight="1">
      <c r="E642" s="129"/>
      <c r="H642" s="129"/>
    </row>
    <row r="643" ht="18.75" customHeight="1">
      <c r="E643" s="129"/>
      <c r="H643" s="129"/>
    </row>
    <row r="644" ht="18.75" customHeight="1">
      <c r="E644" s="129"/>
      <c r="H644" s="129"/>
    </row>
    <row r="645" ht="18.75" customHeight="1">
      <c r="E645" s="129"/>
      <c r="H645" s="129"/>
    </row>
    <row r="646" ht="18.75" customHeight="1">
      <c r="E646" s="129"/>
      <c r="H646" s="129"/>
    </row>
    <row r="647" ht="18.75" customHeight="1">
      <c r="E647" s="129"/>
      <c r="H647" s="129"/>
    </row>
    <row r="648" ht="18.75" customHeight="1">
      <c r="E648" s="129"/>
      <c r="H648" s="129"/>
    </row>
    <row r="649" ht="18.75" customHeight="1">
      <c r="E649" s="129"/>
      <c r="H649" s="129"/>
    </row>
    <row r="650" ht="18.75" customHeight="1">
      <c r="E650" s="129"/>
      <c r="H650" s="129"/>
    </row>
    <row r="651" ht="18.75" customHeight="1">
      <c r="E651" s="129"/>
      <c r="H651" s="129"/>
    </row>
    <row r="652" ht="18.75" customHeight="1">
      <c r="E652" s="129"/>
      <c r="H652" s="129"/>
    </row>
    <row r="653" ht="18.75" customHeight="1">
      <c r="E653" s="129"/>
      <c r="H653" s="129"/>
    </row>
    <row r="654" ht="18.75" customHeight="1">
      <c r="E654" s="129"/>
      <c r="H654" s="129"/>
    </row>
    <row r="655" ht="18.75" customHeight="1">
      <c r="E655" s="129"/>
      <c r="H655" s="129"/>
    </row>
    <row r="656" ht="18.75" customHeight="1">
      <c r="E656" s="129"/>
      <c r="H656" s="129"/>
    </row>
    <row r="657" ht="18.75" customHeight="1">
      <c r="E657" s="129"/>
      <c r="H657" s="129"/>
    </row>
    <row r="658" ht="18.75" customHeight="1">
      <c r="E658" s="129"/>
      <c r="H658" s="129"/>
    </row>
    <row r="659" ht="18.75" customHeight="1">
      <c r="E659" s="129"/>
      <c r="H659" s="129"/>
    </row>
    <row r="660" ht="18.75" customHeight="1">
      <c r="E660" s="129"/>
      <c r="H660" s="129"/>
    </row>
    <row r="661" ht="18.75" customHeight="1">
      <c r="E661" s="129"/>
      <c r="H661" s="129"/>
    </row>
    <row r="662" ht="18.75" customHeight="1">
      <c r="E662" s="129"/>
      <c r="H662" s="129"/>
    </row>
    <row r="663" ht="18.75" customHeight="1">
      <c r="E663" s="129"/>
      <c r="H663" s="129"/>
    </row>
    <row r="664" ht="18.75" customHeight="1">
      <c r="E664" s="129"/>
      <c r="H664" s="129"/>
    </row>
    <row r="665" ht="18.75" customHeight="1">
      <c r="E665" s="129"/>
      <c r="H665" s="129"/>
    </row>
    <row r="666" ht="18.75" customHeight="1">
      <c r="E666" s="129"/>
      <c r="H666" s="129"/>
    </row>
    <row r="667" ht="18.75" customHeight="1">
      <c r="E667" s="129"/>
      <c r="H667" s="129"/>
    </row>
    <row r="668" ht="18.75" customHeight="1">
      <c r="E668" s="129"/>
      <c r="H668" s="129"/>
    </row>
    <row r="669" ht="18.75" customHeight="1">
      <c r="E669" s="129"/>
      <c r="H669" s="129"/>
    </row>
    <row r="670" ht="18.75" customHeight="1">
      <c r="E670" s="129"/>
      <c r="H670" s="129"/>
    </row>
    <row r="671" ht="18.75" customHeight="1">
      <c r="E671" s="129"/>
      <c r="H671" s="129"/>
    </row>
    <row r="672" ht="18.75" customHeight="1">
      <c r="E672" s="129"/>
      <c r="H672" s="129"/>
    </row>
    <row r="673" ht="18.75" customHeight="1">
      <c r="E673" s="129"/>
      <c r="H673" s="129"/>
    </row>
    <row r="674" ht="18.75" customHeight="1">
      <c r="E674" s="129"/>
      <c r="H674" s="129"/>
    </row>
    <row r="675" ht="18.75" customHeight="1">
      <c r="E675" s="129"/>
      <c r="H675" s="129"/>
    </row>
    <row r="676" ht="18.75" customHeight="1">
      <c r="E676" s="129"/>
      <c r="H676" s="129"/>
    </row>
    <row r="677" ht="18.75" customHeight="1">
      <c r="E677" s="129"/>
      <c r="H677" s="129"/>
    </row>
    <row r="678" ht="18.75" customHeight="1">
      <c r="E678" s="129"/>
      <c r="H678" s="129"/>
    </row>
    <row r="679" ht="18.75" customHeight="1">
      <c r="E679" s="129"/>
      <c r="H679" s="129"/>
    </row>
    <row r="680" ht="18.75" customHeight="1">
      <c r="E680" s="129"/>
      <c r="H680" s="129"/>
    </row>
    <row r="681" ht="18.75" customHeight="1">
      <c r="E681" s="129"/>
      <c r="H681" s="129"/>
    </row>
    <row r="682" ht="18.75" customHeight="1">
      <c r="E682" s="129"/>
      <c r="H682" s="129"/>
    </row>
    <row r="683" ht="18.75" customHeight="1">
      <c r="E683" s="129"/>
      <c r="H683" s="129"/>
    </row>
    <row r="684" ht="18.75" customHeight="1">
      <c r="E684" s="129"/>
      <c r="H684" s="129"/>
    </row>
    <row r="685" ht="18.75" customHeight="1">
      <c r="E685" s="129"/>
      <c r="H685" s="129"/>
    </row>
    <row r="686" ht="18.75" customHeight="1">
      <c r="E686" s="129"/>
      <c r="H686" s="129"/>
    </row>
    <row r="687" ht="18.75" customHeight="1">
      <c r="E687" s="129"/>
      <c r="H687" s="129"/>
    </row>
    <row r="688" ht="18.75" customHeight="1">
      <c r="E688" s="129"/>
      <c r="H688" s="129"/>
    </row>
    <row r="689" ht="18.75" customHeight="1">
      <c r="E689" s="129"/>
      <c r="H689" s="129"/>
    </row>
    <row r="690" ht="18.75" customHeight="1">
      <c r="E690" s="129"/>
      <c r="H690" s="129"/>
    </row>
    <row r="691" ht="18.75" customHeight="1">
      <c r="E691" s="129"/>
      <c r="H691" s="129"/>
    </row>
    <row r="692" ht="18.75" customHeight="1">
      <c r="E692" s="129"/>
      <c r="H692" s="129"/>
    </row>
    <row r="693" ht="18.75" customHeight="1">
      <c r="E693" s="129"/>
      <c r="H693" s="129"/>
    </row>
    <row r="694" ht="18.75" customHeight="1">
      <c r="E694" s="129"/>
      <c r="H694" s="129"/>
    </row>
    <row r="695" ht="18.75" customHeight="1">
      <c r="E695" s="129"/>
      <c r="H695" s="129"/>
    </row>
    <row r="696" ht="18.75" customHeight="1">
      <c r="E696" s="129"/>
      <c r="H696" s="129"/>
    </row>
    <row r="697" ht="18.75" customHeight="1">
      <c r="E697" s="129"/>
      <c r="H697" s="129"/>
    </row>
    <row r="698" ht="18.75" customHeight="1">
      <c r="E698" s="129"/>
      <c r="H698" s="129"/>
    </row>
    <row r="699" ht="18.75" customHeight="1">
      <c r="E699" s="129"/>
      <c r="H699" s="129"/>
    </row>
    <row r="700" ht="18.75" customHeight="1">
      <c r="E700" s="129"/>
      <c r="H700" s="129"/>
    </row>
    <row r="701" ht="18.75" customHeight="1">
      <c r="E701" s="129"/>
      <c r="H701" s="129"/>
    </row>
    <row r="702" ht="18.75" customHeight="1">
      <c r="E702" s="129"/>
      <c r="H702" s="129"/>
    </row>
    <row r="703" ht="18.75" customHeight="1">
      <c r="E703" s="129"/>
      <c r="H703" s="129"/>
    </row>
    <row r="704" ht="18.75" customHeight="1">
      <c r="E704" s="129"/>
      <c r="H704" s="129"/>
    </row>
    <row r="705" ht="18.75" customHeight="1">
      <c r="E705" s="129"/>
      <c r="H705" s="129"/>
    </row>
    <row r="706" ht="18.75" customHeight="1">
      <c r="E706" s="129"/>
      <c r="H706" s="129"/>
    </row>
    <row r="707" ht="18.75" customHeight="1">
      <c r="E707" s="129"/>
      <c r="H707" s="129"/>
    </row>
    <row r="708" ht="18.75" customHeight="1">
      <c r="E708" s="129"/>
      <c r="H708" s="129"/>
    </row>
    <row r="709" ht="18.75" customHeight="1">
      <c r="E709" s="129"/>
      <c r="H709" s="129"/>
    </row>
    <row r="710" ht="18.75" customHeight="1">
      <c r="E710" s="129"/>
      <c r="H710" s="129"/>
    </row>
    <row r="711" ht="18.75" customHeight="1">
      <c r="E711" s="129"/>
      <c r="H711" s="129"/>
    </row>
    <row r="712" ht="18.75" customHeight="1">
      <c r="E712" s="129"/>
      <c r="H712" s="129"/>
    </row>
    <row r="713" ht="18.75" customHeight="1">
      <c r="E713" s="129"/>
      <c r="H713" s="129"/>
    </row>
    <row r="714" ht="18.75" customHeight="1">
      <c r="E714" s="129"/>
      <c r="H714" s="129"/>
    </row>
    <row r="715" ht="18.75" customHeight="1">
      <c r="E715" s="129"/>
      <c r="H715" s="129"/>
    </row>
    <row r="716" ht="18.75" customHeight="1">
      <c r="E716" s="129"/>
      <c r="H716" s="129"/>
    </row>
    <row r="717" ht="18.75" customHeight="1">
      <c r="E717" s="129"/>
      <c r="H717" s="129"/>
    </row>
    <row r="718" ht="18.75" customHeight="1">
      <c r="E718" s="129"/>
      <c r="H718" s="129"/>
    </row>
    <row r="719" ht="18.75" customHeight="1">
      <c r="E719" s="129"/>
      <c r="H719" s="129"/>
    </row>
    <row r="720" ht="18.75" customHeight="1">
      <c r="E720" s="129"/>
      <c r="H720" s="129"/>
    </row>
    <row r="721" ht="18.75" customHeight="1">
      <c r="E721" s="129"/>
      <c r="H721" s="129"/>
    </row>
    <row r="722" ht="18.75" customHeight="1">
      <c r="E722" s="129"/>
      <c r="H722" s="129"/>
    </row>
    <row r="723" ht="18.75" customHeight="1">
      <c r="E723" s="129"/>
      <c r="H723" s="129"/>
    </row>
    <row r="724" ht="18.75" customHeight="1">
      <c r="E724" s="129"/>
      <c r="H724" s="129"/>
    </row>
    <row r="725" ht="18.75" customHeight="1">
      <c r="E725" s="129"/>
      <c r="H725" s="129"/>
    </row>
    <row r="726" ht="18.75" customHeight="1">
      <c r="E726" s="129"/>
      <c r="H726" s="129"/>
    </row>
    <row r="727" ht="18.75" customHeight="1">
      <c r="E727" s="129"/>
      <c r="H727" s="129"/>
    </row>
    <row r="728" ht="18.75" customHeight="1">
      <c r="E728" s="129"/>
      <c r="H728" s="129"/>
    </row>
    <row r="729" ht="18.75" customHeight="1">
      <c r="E729" s="129"/>
      <c r="H729" s="129"/>
    </row>
    <row r="730" ht="18.75" customHeight="1">
      <c r="E730" s="129"/>
      <c r="H730" s="129"/>
    </row>
    <row r="731" ht="18.75" customHeight="1">
      <c r="E731" s="129"/>
      <c r="H731" s="129"/>
    </row>
    <row r="732" ht="18.75" customHeight="1">
      <c r="E732" s="129"/>
      <c r="H732" s="129"/>
    </row>
    <row r="733" ht="18.75" customHeight="1">
      <c r="E733" s="129"/>
      <c r="H733" s="129"/>
    </row>
    <row r="734" ht="18.75" customHeight="1">
      <c r="E734" s="129"/>
      <c r="H734" s="129"/>
    </row>
    <row r="735" ht="18.75" customHeight="1">
      <c r="E735" s="129"/>
      <c r="H735" s="129"/>
    </row>
    <row r="736" ht="18.75" customHeight="1">
      <c r="E736" s="129"/>
      <c r="H736" s="129"/>
    </row>
    <row r="737" ht="18.75" customHeight="1">
      <c r="E737" s="129"/>
      <c r="H737" s="129"/>
    </row>
    <row r="738" ht="18.75" customHeight="1">
      <c r="E738" s="129"/>
      <c r="H738" s="129"/>
    </row>
    <row r="739" ht="18.75" customHeight="1">
      <c r="E739" s="129"/>
      <c r="H739" s="129"/>
    </row>
    <row r="740" ht="18.75" customHeight="1">
      <c r="E740" s="129"/>
      <c r="H740" s="129"/>
    </row>
    <row r="741" ht="18.75" customHeight="1">
      <c r="E741" s="129"/>
      <c r="H741" s="129"/>
    </row>
    <row r="742" ht="18.75" customHeight="1">
      <c r="E742" s="129"/>
      <c r="H742" s="129"/>
    </row>
    <row r="743" ht="18.75" customHeight="1">
      <c r="E743" s="129"/>
      <c r="H743" s="129"/>
    </row>
    <row r="744" ht="18.75" customHeight="1">
      <c r="E744" s="129"/>
      <c r="H744" s="129"/>
    </row>
    <row r="745" ht="18.75" customHeight="1">
      <c r="E745" s="129"/>
      <c r="H745" s="129"/>
    </row>
    <row r="746" ht="18.75" customHeight="1">
      <c r="E746" s="129"/>
      <c r="H746" s="129"/>
    </row>
    <row r="747" ht="18.75" customHeight="1">
      <c r="E747" s="129"/>
      <c r="H747" s="129"/>
    </row>
    <row r="748" ht="18.75" customHeight="1">
      <c r="E748" s="129"/>
      <c r="H748" s="129"/>
    </row>
    <row r="749" ht="18.75" customHeight="1">
      <c r="E749" s="129"/>
      <c r="H749" s="129"/>
    </row>
    <row r="750" ht="18.75" customHeight="1">
      <c r="E750" s="129"/>
      <c r="H750" s="129"/>
    </row>
    <row r="751" ht="18.75" customHeight="1">
      <c r="E751" s="129"/>
      <c r="H751" s="129"/>
    </row>
    <row r="752" ht="18.75" customHeight="1">
      <c r="E752" s="129"/>
      <c r="H752" s="129"/>
    </row>
    <row r="753" ht="18.75" customHeight="1">
      <c r="E753" s="129"/>
      <c r="H753" s="129"/>
    </row>
    <row r="754" ht="18.75" customHeight="1">
      <c r="E754" s="129"/>
      <c r="H754" s="129"/>
    </row>
    <row r="755" ht="18.75" customHeight="1">
      <c r="E755" s="129"/>
      <c r="H755" s="129"/>
    </row>
    <row r="756" ht="18.75" customHeight="1">
      <c r="E756" s="129"/>
      <c r="H756" s="129"/>
    </row>
    <row r="757" ht="18.75" customHeight="1">
      <c r="E757" s="129"/>
      <c r="H757" s="129"/>
    </row>
    <row r="758" ht="18.75" customHeight="1">
      <c r="E758" s="129"/>
      <c r="H758" s="129"/>
    </row>
    <row r="759" ht="18.75" customHeight="1">
      <c r="E759" s="129"/>
      <c r="H759" s="129"/>
    </row>
    <row r="760" ht="18.75" customHeight="1">
      <c r="E760" s="129"/>
      <c r="H760" s="129"/>
    </row>
    <row r="761" ht="18.75" customHeight="1">
      <c r="E761" s="129"/>
      <c r="H761" s="129"/>
    </row>
    <row r="762" ht="18.75" customHeight="1">
      <c r="E762" s="129"/>
      <c r="H762" s="129"/>
    </row>
    <row r="763" ht="18.75" customHeight="1">
      <c r="E763" s="129"/>
      <c r="H763" s="129"/>
    </row>
    <row r="764" ht="18.75" customHeight="1">
      <c r="E764" s="129"/>
      <c r="H764" s="129"/>
    </row>
    <row r="765" ht="18.75" customHeight="1">
      <c r="E765" s="129"/>
      <c r="H765" s="129"/>
    </row>
    <row r="766" ht="18.75" customHeight="1">
      <c r="E766" s="129"/>
      <c r="H766" s="129"/>
    </row>
    <row r="767" ht="18.75" customHeight="1">
      <c r="E767" s="129"/>
      <c r="H767" s="129"/>
    </row>
    <row r="768" ht="18.75" customHeight="1">
      <c r="E768" s="129"/>
      <c r="H768" s="129"/>
    </row>
    <row r="769" ht="18.75" customHeight="1">
      <c r="E769" s="129"/>
      <c r="H769" s="129"/>
    </row>
    <row r="770" ht="18.75" customHeight="1">
      <c r="E770" s="129"/>
      <c r="H770" s="129"/>
    </row>
    <row r="771" ht="18.75" customHeight="1">
      <c r="E771" s="129"/>
      <c r="H771" s="129"/>
    </row>
    <row r="772" ht="18.75" customHeight="1">
      <c r="E772" s="129"/>
      <c r="H772" s="129"/>
    </row>
    <row r="773" ht="18.75" customHeight="1">
      <c r="E773" s="129"/>
      <c r="H773" s="129"/>
    </row>
    <row r="774" ht="18.75" customHeight="1">
      <c r="E774" s="129"/>
      <c r="H774" s="129"/>
    </row>
    <row r="775" ht="18.75" customHeight="1">
      <c r="E775" s="129"/>
      <c r="H775" s="129"/>
    </row>
    <row r="776" ht="18.75" customHeight="1">
      <c r="E776" s="129"/>
      <c r="H776" s="129"/>
    </row>
    <row r="777" ht="18.75" customHeight="1">
      <c r="E777" s="129"/>
      <c r="H777" s="129"/>
    </row>
    <row r="778" ht="18.75" customHeight="1">
      <c r="E778" s="129"/>
      <c r="H778" s="129"/>
    </row>
    <row r="779" ht="18.75" customHeight="1">
      <c r="E779" s="129"/>
      <c r="H779" s="129"/>
    </row>
    <row r="780" ht="18.75" customHeight="1">
      <c r="E780" s="129"/>
      <c r="H780" s="129"/>
    </row>
    <row r="781" ht="18.75" customHeight="1">
      <c r="E781" s="129"/>
      <c r="H781" s="129"/>
    </row>
    <row r="782" ht="18.75" customHeight="1">
      <c r="E782" s="129"/>
      <c r="H782" s="129"/>
    </row>
    <row r="783" ht="18.75" customHeight="1">
      <c r="E783" s="129"/>
      <c r="H783" s="129"/>
    </row>
    <row r="784" ht="18.75" customHeight="1">
      <c r="E784" s="129"/>
      <c r="H784" s="129"/>
    </row>
    <row r="785" ht="18.75" customHeight="1">
      <c r="E785" s="129"/>
      <c r="H785" s="129"/>
    </row>
    <row r="786" ht="18.75" customHeight="1">
      <c r="E786" s="129"/>
      <c r="H786" s="129"/>
    </row>
    <row r="787" ht="18.75" customHeight="1">
      <c r="E787" s="129"/>
      <c r="H787" s="129"/>
    </row>
    <row r="788" ht="18.75" customHeight="1">
      <c r="E788" s="129"/>
      <c r="H788" s="129"/>
    </row>
    <row r="789" ht="18.75" customHeight="1">
      <c r="E789" s="129"/>
      <c r="H789" s="129"/>
    </row>
    <row r="790" ht="18.75" customHeight="1">
      <c r="E790" s="129"/>
      <c r="H790" s="129"/>
    </row>
    <row r="791" ht="18.75" customHeight="1">
      <c r="E791" s="129"/>
      <c r="H791" s="129"/>
    </row>
    <row r="792" ht="18.75" customHeight="1">
      <c r="E792" s="129"/>
      <c r="H792" s="129"/>
    </row>
    <row r="793" ht="18.75" customHeight="1">
      <c r="E793" s="129"/>
      <c r="H793" s="129"/>
    </row>
    <row r="794" ht="18.75" customHeight="1">
      <c r="E794" s="129"/>
      <c r="H794" s="129"/>
    </row>
    <row r="795" ht="18.75" customHeight="1">
      <c r="E795" s="129"/>
      <c r="H795" s="129"/>
    </row>
    <row r="796" ht="18.75" customHeight="1">
      <c r="E796" s="129"/>
      <c r="H796" s="129"/>
    </row>
    <row r="797" ht="18.75" customHeight="1">
      <c r="E797" s="129"/>
      <c r="H797" s="129"/>
    </row>
    <row r="798" ht="18.75" customHeight="1">
      <c r="E798" s="129"/>
      <c r="H798" s="129"/>
    </row>
    <row r="799" ht="18.75" customHeight="1">
      <c r="E799" s="129"/>
      <c r="H799" s="129"/>
    </row>
    <row r="800" ht="18.75" customHeight="1">
      <c r="E800" s="129"/>
      <c r="H800" s="129"/>
    </row>
    <row r="801" ht="18.75" customHeight="1">
      <c r="E801" s="129"/>
      <c r="H801" s="129"/>
    </row>
    <row r="802" ht="18.75" customHeight="1">
      <c r="E802" s="129"/>
      <c r="H802" s="129"/>
    </row>
    <row r="803" ht="18.75" customHeight="1">
      <c r="E803" s="129"/>
      <c r="H803" s="129"/>
    </row>
    <row r="804" ht="18.75" customHeight="1">
      <c r="E804" s="129"/>
      <c r="H804" s="129"/>
    </row>
    <row r="805" ht="18.75" customHeight="1">
      <c r="E805" s="129"/>
      <c r="H805" s="129"/>
    </row>
    <row r="806" ht="18.75" customHeight="1">
      <c r="E806" s="129"/>
      <c r="H806" s="129"/>
    </row>
    <row r="807" ht="18.75" customHeight="1">
      <c r="E807" s="129"/>
      <c r="H807" s="129"/>
    </row>
    <row r="808" ht="18.75" customHeight="1">
      <c r="E808" s="129"/>
      <c r="H808" s="129"/>
    </row>
    <row r="809" ht="18.75" customHeight="1">
      <c r="E809" s="129"/>
      <c r="H809" s="129"/>
    </row>
    <row r="810" ht="18.75" customHeight="1">
      <c r="E810" s="129"/>
      <c r="H810" s="129"/>
    </row>
    <row r="811" ht="18.75" customHeight="1">
      <c r="E811" s="129"/>
      <c r="H811" s="129"/>
    </row>
    <row r="812" ht="18.75" customHeight="1">
      <c r="E812" s="129"/>
      <c r="H812" s="129"/>
    </row>
    <row r="813" ht="18.75" customHeight="1">
      <c r="E813" s="129"/>
      <c r="H813" s="129"/>
    </row>
    <row r="814" ht="18.75" customHeight="1">
      <c r="E814" s="129"/>
      <c r="H814" s="129"/>
    </row>
    <row r="815" ht="18.75" customHeight="1">
      <c r="E815" s="129"/>
      <c r="H815" s="129"/>
    </row>
    <row r="816" ht="18.75" customHeight="1">
      <c r="E816" s="129"/>
      <c r="H816" s="129"/>
    </row>
    <row r="817" ht="18.75" customHeight="1">
      <c r="E817" s="129"/>
      <c r="H817" s="129"/>
    </row>
    <row r="818" ht="18.75" customHeight="1">
      <c r="E818" s="129"/>
      <c r="H818" s="129"/>
    </row>
    <row r="819" ht="18.75" customHeight="1">
      <c r="E819" s="129"/>
      <c r="H819" s="129"/>
    </row>
    <row r="820" ht="18.75" customHeight="1">
      <c r="E820" s="129"/>
      <c r="H820" s="129"/>
    </row>
    <row r="821" ht="18.75" customHeight="1">
      <c r="E821" s="129"/>
      <c r="H821" s="129"/>
    </row>
    <row r="822" ht="18.75" customHeight="1">
      <c r="E822" s="129"/>
      <c r="H822" s="129"/>
    </row>
    <row r="823" ht="18.75" customHeight="1">
      <c r="E823" s="129"/>
      <c r="H823" s="129"/>
    </row>
    <row r="824" ht="18.75" customHeight="1">
      <c r="E824" s="129"/>
      <c r="H824" s="129"/>
    </row>
    <row r="825" ht="18.75" customHeight="1">
      <c r="E825" s="129"/>
      <c r="H825" s="129"/>
    </row>
    <row r="826" ht="18.75" customHeight="1">
      <c r="E826" s="129"/>
      <c r="H826" s="129"/>
    </row>
    <row r="827" ht="18.75" customHeight="1">
      <c r="E827" s="129"/>
      <c r="H827" s="129"/>
    </row>
    <row r="828" ht="18.75" customHeight="1">
      <c r="E828" s="129"/>
      <c r="H828" s="129"/>
    </row>
    <row r="829" ht="18.75" customHeight="1">
      <c r="E829" s="129"/>
      <c r="H829" s="129"/>
    </row>
    <row r="830" ht="18.75" customHeight="1">
      <c r="E830" s="129"/>
      <c r="H830" s="129"/>
    </row>
    <row r="831" ht="18.75" customHeight="1">
      <c r="E831" s="129"/>
      <c r="H831" s="129"/>
    </row>
    <row r="832" ht="18.75" customHeight="1">
      <c r="E832" s="129"/>
      <c r="H832" s="129"/>
    </row>
    <row r="833" ht="18.75" customHeight="1">
      <c r="E833" s="129"/>
      <c r="H833" s="129"/>
    </row>
    <row r="834" ht="18.75" customHeight="1">
      <c r="E834" s="129"/>
      <c r="H834" s="129"/>
    </row>
    <row r="835" ht="18.75" customHeight="1">
      <c r="E835" s="129"/>
      <c r="H835" s="129"/>
    </row>
    <row r="836" ht="18.75" customHeight="1">
      <c r="E836" s="129"/>
      <c r="H836" s="129"/>
    </row>
    <row r="837" ht="18.75" customHeight="1">
      <c r="E837" s="129"/>
      <c r="H837" s="129"/>
    </row>
    <row r="838" ht="18.75" customHeight="1">
      <c r="E838" s="129"/>
      <c r="H838" s="129"/>
    </row>
    <row r="839" ht="18.75" customHeight="1">
      <c r="E839" s="129"/>
      <c r="H839" s="129"/>
    </row>
    <row r="840" ht="18.75" customHeight="1">
      <c r="E840" s="129"/>
      <c r="H840" s="129"/>
    </row>
    <row r="841" ht="18.75" customHeight="1">
      <c r="E841" s="129"/>
      <c r="H841" s="129"/>
    </row>
    <row r="842" ht="18.75" customHeight="1">
      <c r="E842" s="129"/>
      <c r="H842" s="129"/>
    </row>
    <row r="843" ht="18.75" customHeight="1">
      <c r="E843" s="129"/>
      <c r="H843" s="129"/>
    </row>
    <row r="844" ht="18.75" customHeight="1">
      <c r="E844" s="129"/>
      <c r="H844" s="129"/>
    </row>
    <row r="845" ht="18.75" customHeight="1">
      <c r="E845" s="129"/>
      <c r="H845" s="129"/>
    </row>
    <row r="846" ht="18.75" customHeight="1">
      <c r="E846" s="129"/>
      <c r="H846" s="129"/>
    </row>
    <row r="847" ht="18.75" customHeight="1">
      <c r="E847" s="129"/>
      <c r="H847" s="129"/>
    </row>
    <row r="848" ht="18.75" customHeight="1">
      <c r="E848" s="129"/>
      <c r="H848" s="129"/>
    </row>
    <row r="849" ht="18.75" customHeight="1">
      <c r="E849" s="129"/>
      <c r="H849" s="129"/>
    </row>
    <row r="850" ht="18.75" customHeight="1">
      <c r="E850" s="129"/>
      <c r="H850" s="129"/>
    </row>
    <row r="851" ht="18.75" customHeight="1">
      <c r="E851" s="129"/>
      <c r="H851" s="129"/>
    </row>
    <row r="852" ht="18.75" customHeight="1">
      <c r="E852" s="129"/>
      <c r="H852" s="129"/>
    </row>
    <row r="853" ht="18.75" customHeight="1">
      <c r="E853" s="129"/>
      <c r="H853" s="129"/>
    </row>
    <row r="854" ht="18.75" customHeight="1">
      <c r="E854" s="129"/>
      <c r="H854" s="129"/>
    </row>
    <row r="855" ht="18.75" customHeight="1">
      <c r="E855" s="129"/>
      <c r="H855" s="129"/>
    </row>
    <row r="856" ht="18.75" customHeight="1">
      <c r="E856" s="129"/>
      <c r="H856" s="129"/>
    </row>
    <row r="857" ht="18.75" customHeight="1">
      <c r="E857" s="129"/>
      <c r="H857" s="129"/>
    </row>
    <row r="858" ht="18.75" customHeight="1">
      <c r="E858" s="129"/>
      <c r="H858" s="129"/>
    </row>
    <row r="859" ht="18.75" customHeight="1">
      <c r="E859" s="129"/>
      <c r="H859" s="129"/>
    </row>
    <row r="860" ht="18.75" customHeight="1">
      <c r="E860" s="129"/>
      <c r="H860" s="129"/>
    </row>
    <row r="861" ht="18.75" customHeight="1">
      <c r="E861" s="129"/>
      <c r="H861" s="129"/>
    </row>
    <row r="862" ht="18.75" customHeight="1">
      <c r="E862" s="129"/>
      <c r="H862" s="129"/>
    </row>
    <row r="863" ht="18.75" customHeight="1">
      <c r="E863" s="129"/>
      <c r="H863" s="129"/>
    </row>
    <row r="864" ht="18.75" customHeight="1">
      <c r="E864" s="129"/>
      <c r="H864" s="129"/>
    </row>
    <row r="865" ht="18.75" customHeight="1">
      <c r="E865" s="129"/>
      <c r="H865" s="129"/>
    </row>
    <row r="866" ht="18.75" customHeight="1">
      <c r="E866" s="129"/>
      <c r="H866" s="129"/>
    </row>
    <row r="867" ht="18.75" customHeight="1">
      <c r="E867" s="129"/>
      <c r="H867" s="129"/>
    </row>
    <row r="868" ht="18.75" customHeight="1">
      <c r="E868" s="129"/>
      <c r="H868" s="129"/>
    </row>
    <row r="869" ht="18.75" customHeight="1">
      <c r="E869" s="129"/>
      <c r="H869" s="129"/>
    </row>
    <row r="870" ht="18.75" customHeight="1">
      <c r="E870" s="129"/>
      <c r="H870" s="129"/>
    </row>
    <row r="871" ht="18.75" customHeight="1">
      <c r="E871" s="129"/>
      <c r="H871" s="129"/>
    </row>
    <row r="872" ht="18.75" customHeight="1">
      <c r="E872" s="129"/>
      <c r="H872" s="129"/>
    </row>
    <row r="873" ht="18.75" customHeight="1">
      <c r="E873" s="129"/>
      <c r="H873" s="129"/>
    </row>
    <row r="874" ht="18.75" customHeight="1">
      <c r="E874" s="129"/>
      <c r="H874" s="129"/>
    </row>
    <row r="875" ht="18.75" customHeight="1">
      <c r="E875" s="129"/>
      <c r="H875" s="129"/>
    </row>
    <row r="876" ht="18.75" customHeight="1">
      <c r="E876" s="129"/>
      <c r="H876" s="129"/>
    </row>
    <row r="877" ht="18.75" customHeight="1">
      <c r="E877" s="129"/>
      <c r="H877" s="129"/>
    </row>
    <row r="878" ht="18.75" customHeight="1">
      <c r="E878" s="129"/>
      <c r="H878" s="129"/>
    </row>
    <row r="879" ht="18.75" customHeight="1">
      <c r="E879" s="129"/>
      <c r="H879" s="129"/>
    </row>
    <row r="880" ht="18.75" customHeight="1">
      <c r="E880" s="129"/>
      <c r="H880" s="129"/>
    </row>
    <row r="881" ht="18.75" customHeight="1">
      <c r="E881" s="129"/>
      <c r="H881" s="129"/>
    </row>
    <row r="882" ht="18.75" customHeight="1">
      <c r="E882" s="129"/>
      <c r="H882" s="129"/>
    </row>
    <row r="883" ht="18.75" customHeight="1">
      <c r="E883" s="129"/>
      <c r="H883" s="129"/>
    </row>
    <row r="884" ht="18.75" customHeight="1">
      <c r="E884" s="129"/>
      <c r="H884" s="129"/>
    </row>
    <row r="885" ht="18.75" customHeight="1">
      <c r="E885" s="129"/>
      <c r="H885" s="129"/>
    </row>
    <row r="886" ht="18.75" customHeight="1">
      <c r="E886" s="129"/>
      <c r="H886" s="129"/>
    </row>
    <row r="887" ht="18.75" customHeight="1">
      <c r="E887" s="129"/>
      <c r="H887" s="129"/>
    </row>
    <row r="888" ht="18.75" customHeight="1">
      <c r="E888" s="129"/>
      <c r="H888" s="129"/>
    </row>
    <row r="889" ht="18.75" customHeight="1">
      <c r="E889" s="129"/>
      <c r="H889" s="129"/>
    </row>
    <row r="890" ht="18.75" customHeight="1">
      <c r="E890" s="129"/>
      <c r="H890" s="129"/>
    </row>
    <row r="891" ht="18.75" customHeight="1">
      <c r="E891" s="129"/>
      <c r="H891" s="129"/>
    </row>
    <row r="892" ht="18.75" customHeight="1">
      <c r="E892" s="129"/>
      <c r="H892" s="129"/>
    </row>
    <row r="893" ht="18.75" customHeight="1">
      <c r="E893" s="129"/>
      <c r="H893" s="129"/>
    </row>
    <row r="894" ht="18.75" customHeight="1">
      <c r="E894" s="129"/>
      <c r="H894" s="129"/>
    </row>
    <row r="895" ht="18.75" customHeight="1">
      <c r="E895" s="129"/>
      <c r="H895" s="129"/>
    </row>
    <row r="896" ht="18.75" customHeight="1">
      <c r="E896" s="129"/>
      <c r="H896" s="129"/>
    </row>
    <row r="897" ht="18.75" customHeight="1">
      <c r="E897" s="129"/>
      <c r="H897" s="129"/>
    </row>
    <row r="898" ht="18.75" customHeight="1">
      <c r="E898" s="129"/>
      <c r="H898" s="129"/>
    </row>
    <row r="899" ht="18.75" customHeight="1">
      <c r="E899" s="129"/>
      <c r="H899" s="129"/>
    </row>
    <row r="900" ht="18.75" customHeight="1">
      <c r="E900" s="129"/>
      <c r="H900" s="129"/>
    </row>
    <row r="901" ht="18.75" customHeight="1">
      <c r="H901" s="129"/>
    </row>
    <row r="902" ht="18.75" customHeight="1">
      <c r="H902" s="129"/>
    </row>
    <row r="903" ht="18.75" customHeight="1">
      <c r="H903" s="129"/>
    </row>
    <row r="904" ht="18.75" customHeight="1">
      <c r="H904" s="129"/>
    </row>
    <row r="905" ht="18.75" customHeight="1">
      <c r="H905" s="129"/>
    </row>
    <row r="906" ht="18.75" customHeight="1">
      <c r="H906" s="129"/>
    </row>
    <row r="907" ht="18.75" customHeight="1">
      <c r="H907" s="129"/>
    </row>
    <row r="908" ht="18.75" customHeight="1">
      <c r="H908" s="129"/>
    </row>
    <row r="909" ht="18.75" customHeight="1">
      <c r="H909" s="129"/>
    </row>
    <row r="910" ht="18.75" customHeight="1">
      <c r="H910" s="129"/>
    </row>
    <row r="911" ht="18.75" customHeight="1">
      <c r="H911" s="129"/>
    </row>
    <row r="912" ht="18.75" customHeight="1">
      <c r="H912" s="129"/>
    </row>
    <row r="913" ht="18.75" customHeight="1">
      <c r="H913" s="129"/>
    </row>
    <row r="914" ht="18.75" customHeight="1">
      <c r="H914" s="129"/>
    </row>
    <row r="915" ht="18.75" customHeight="1">
      <c r="H915" s="129"/>
    </row>
    <row r="916" ht="18.75" customHeight="1">
      <c r="H916" s="129"/>
    </row>
    <row r="917" ht="18.75" customHeight="1">
      <c r="H917" s="129"/>
    </row>
    <row r="918" ht="18.75" customHeight="1">
      <c r="H918" s="129"/>
    </row>
    <row r="919" ht="18.75" customHeight="1">
      <c r="H919" s="129"/>
    </row>
    <row r="920" ht="18.75" customHeight="1">
      <c r="H920" s="129"/>
    </row>
    <row r="921" ht="18.75" customHeight="1">
      <c r="H921" s="129"/>
    </row>
    <row r="922" ht="18.75" customHeight="1">
      <c r="H922" s="129"/>
    </row>
    <row r="923" ht="18.75" customHeight="1">
      <c r="H923" s="129"/>
    </row>
    <row r="924" ht="18.75" customHeight="1">
      <c r="H924" s="129"/>
    </row>
    <row r="925" ht="18.75" customHeight="1">
      <c r="H925" s="129"/>
    </row>
    <row r="926" ht="18.75" customHeight="1">
      <c r="H926" s="129"/>
    </row>
    <row r="927" ht="18.75" customHeight="1">
      <c r="H927" s="129"/>
    </row>
    <row r="928" ht="18.75" customHeight="1">
      <c r="H928" s="129"/>
    </row>
    <row r="929" ht="18.75" customHeight="1">
      <c r="H929" s="129"/>
    </row>
    <row r="930" ht="18.75" customHeight="1">
      <c r="H930" s="129"/>
    </row>
    <row r="931" ht="18.75" customHeight="1">
      <c r="H931" s="129"/>
    </row>
    <row r="932" ht="18.75" customHeight="1">
      <c r="H932" s="129"/>
    </row>
    <row r="933" ht="18.75" customHeight="1">
      <c r="H933" s="129"/>
    </row>
    <row r="934" ht="18.75" customHeight="1">
      <c r="H934" s="129"/>
    </row>
    <row r="935" ht="18.75" customHeight="1">
      <c r="H935" s="129"/>
    </row>
    <row r="936" ht="18.75" customHeight="1">
      <c r="H936" s="129"/>
    </row>
    <row r="937" ht="18.75" customHeight="1">
      <c r="H937" s="129"/>
    </row>
    <row r="938" ht="18.75" customHeight="1">
      <c r="H938" s="129"/>
    </row>
    <row r="939" ht="18.75" customHeight="1">
      <c r="H939" s="129"/>
    </row>
    <row r="940" ht="18.75" customHeight="1">
      <c r="H940" s="129"/>
    </row>
    <row r="941" ht="18.75" customHeight="1">
      <c r="H941" s="129"/>
    </row>
    <row r="942" ht="18.75" customHeight="1">
      <c r="H942" s="129"/>
    </row>
    <row r="943" ht="18.75" customHeight="1">
      <c r="H943" s="129"/>
    </row>
    <row r="944" ht="18.75" customHeight="1">
      <c r="H944" s="129"/>
    </row>
    <row r="945" ht="18.75" customHeight="1">
      <c r="H945" s="129"/>
    </row>
    <row r="946" ht="18.75" customHeight="1">
      <c r="H946" s="129"/>
    </row>
    <row r="947" ht="18.75" customHeight="1">
      <c r="H947" s="129"/>
    </row>
    <row r="948" ht="18.75" customHeight="1">
      <c r="H948" s="129"/>
    </row>
    <row r="949" ht="18.75" customHeight="1">
      <c r="H949" s="129"/>
    </row>
    <row r="950" ht="18.75" customHeight="1">
      <c r="H950" s="129"/>
    </row>
    <row r="951" ht="18.75" customHeight="1">
      <c r="H951" s="129"/>
    </row>
    <row r="952" ht="18.75" customHeight="1">
      <c r="H952" s="129"/>
    </row>
    <row r="953" ht="18.75" customHeight="1">
      <c r="H953" s="129"/>
    </row>
    <row r="954" ht="18.75" customHeight="1">
      <c r="H954" s="129"/>
    </row>
    <row r="955" ht="18.75" customHeight="1">
      <c r="H955" s="129"/>
    </row>
    <row r="956" ht="18.75" customHeight="1">
      <c r="H956" s="129"/>
    </row>
    <row r="957" ht="18.75" customHeight="1">
      <c r="H957" s="129"/>
    </row>
    <row r="958" ht="18.75" customHeight="1">
      <c r="H958" s="129"/>
    </row>
    <row r="959" ht="18.75" customHeight="1">
      <c r="H959" s="129"/>
    </row>
    <row r="960" ht="18.75" customHeight="1">
      <c r="H960" s="129"/>
    </row>
    <row r="961" ht="18.75" customHeight="1">
      <c r="H961" s="129"/>
    </row>
    <row r="962" ht="18.75" customHeight="1">
      <c r="H962" s="129"/>
    </row>
    <row r="963" ht="18.75" customHeight="1">
      <c r="H963" s="129"/>
    </row>
    <row r="964" ht="18.75" customHeight="1">
      <c r="H964" s="129"/>
    </row>
    <row r="965" ht="18.75" customHeight="1">
      <c r="H965" s="129"/>
    </row>
    <row r="966" ht="18.75" customHeight="1">
      <c r="H966" s="129"/>
    </row>
    <row r="967" ht="18.75" customHeight="1">
      <c r="H967" s="129"/>
    </row>
    <row r="968" ht="18.75" customHeight="1">
      <c r="H968" s="129"/>
    </row>
    <row r="969" ht="18.75" customHeight="1">
      <c r="H969" s="129"/>
    </row>
    <row r="970" ht="18.75" customHeight="1">
      <c r="H970" s="129"/>
    </row>
    <row r="971" ht="18.75" customHeight="1">
      <c r="H971" s="129"/>
    </row>
    <row r="972" ht="18.75" customHeight="1">
      <c r="H972" s="129"/>
    </row>
    <row r="973" ht="18.75" customHeight="1">
      <c r="H973" s="129"/>
    </row>
    <row r="974" ht="18.75" customHeight="1">
      <c r="H974" s="129"/>
    </row>
    <row r="975" ht="18.75" customHeight="1">
      <c r="H975" s="129"/>
    </row>
    <row r="976" ht="18.75" customHeight="1">
      <c r="H976" s="129"/>
    </row>
    <row r="977" ht="18.75" customHeight="1">
      <c r="H977" s="129"/>
    </row>
    <row r="978" ht="18.75" customHeight="1">
      <c r="H978" s="129"/>
    </row>
    <row r="979" ht="18.75" customHeight="1">
      <c r="H979" s="129"/>
    </row>
    <row r="980" ht="18.75" customHeight="1">
      <c r="H980" s="129"/>
    </row>
    <row r="981" ht="18.75" customHeight="1">
      <c r="H981" s="129"/>
    </row>
    <row r="982" ht="18.75" customHeight="1">
      <c r="H982" s="129"/>
    </row>
    <row r="983" ht="18.75" customHeight="1">
      <c r="H983" s="129"/>
    </row>
    <row r="984" ht="18.75" customHeight="1">
      <c r="H984" s="129"/>
    </row>
    <row r="985" ht="18.75" customHeight="1">
      <c r="H985" s="129"/>
    </row>
    <row r="986" ht="18.75" customHeight="1">
      <c r="H986" s="129"/>
    </row>
    <row r="987" ht="18.75" customHeight="1">
      <c r="H987" s="129"/>
    </row>
    <row r="988" ht="18.75" customHeight="1">
      <c r="H988" s="129"/>
    </row>
    <row r="989" ht="18.75" customHeight="1">
      <c r="H989" s="129"/>
    </row>
    <row r="990" ht="18.75" customHeight="1">
      <c r="H990" s="129"/>
    </row>
    <row r="991" ht="18.75" customHeight="1">
      <c r="H991" s="129"/>
    </row>
    <row r="992" ht="18.75" customHeight="1">
      <c r="H992" s="129"/>
    </row>
    <row r="993" ht="18.75" customHeight="1">
      <c r="H993" s="129"/>
    </row>
    <row r="994" ht="18.75" customHeight="1">
      <c r="H994" s="129"/>
    </row>
    <row r="995" ht="18.75" customHeight="1">
      <c r="H995" s="129"/>
    </row>
    <row r="996" ht="18.75" customHeight="1">
      <c r="H996" s="129"/>
    </row>
    <row r="997" ht="18.75" customHeight="1">
      <c r="H997" s="129"/>
    </row>
    <row r="998" ht="18.75" customHeight="1">
      <c r="H998" s="129"/>
    </row>
    <row r="999" ht="18.75" customHeight="1">
      <c r="H999" s="129"/>
    </row>
    <row r="1000" ht="18.75" customHeight="1">
      <c r="H1000" s="129"/>
    </row>
    <row r="1001" ht="18.75" customHeight="1">
      <c r="H1001" s="129"/>
    </row>
  </sheetData>
  <mergeCells count="19">
    <mergeCell ref="A1:F1"/>
    <mergeCell ref="H1:J1"/>
    <mergeCell ref="A2:F2"/>
    <mergeCell ref="A3:A6"/>
    <mergeCell ref="B3:B6"/>
    <mergeCell ref="E3:E6"/>
    <mergeCell ref="F3:F6"/>
    <mergeCell ref="L5:P5"/>
    <mergeCell ref="L16:L21"/>
    <mergeCell ref="L23:L25"/>
    <mergeCell ref="L26:M26"/>
    <mergeCell ref="H45:K45"/>
    <mergeCell ref="C3:D3"/>
    <mergeCell ref="C4:C5"/>
    <mergeCell ref="D4:D5"/>
    <mergeCell ref="L7:L14"/>
    <mergeCell ref="L15:M15"/>
    <mergeCell ref="L22:M22"/>
    <mergeCell ref="H23:J23"/>
  </mergeCells>
  <dataValidations>
    <dataValidation type="list" allowBlank="1" showErrorMessage="1" sqref="E8:E100">
      <formula1>"1,1,1,2,1,3,2,1,2,2,2,3,2,4,2,5,2,6,2,7,2,8,2,9,2,11,2,12"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