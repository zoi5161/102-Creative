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ăm" sheetId="1" r:id="rId4"/>
    <sheet state="visible" name="T1" sheetId="2" r:id="rId5"/>
    <sheet state="visible" name="T2" sheetId="3" r:id="rId6"/>
    <sheet state="visible" name="T3" sheetId="4" r:id="rId7"/>
    <sheet state="visible" name="T4" sheetId="5" r:id="rId8"/>
    <sheet state="visible" name="T5" sheetId="6" r:id="rId9"/>
    <sheet state="visible" name="T6" sheetId="7" r:id="rId10"/>
    <sheet state="visible" name="T7" sheetId="8" r:id="rId11"/>
    <sheet state="visible" name="T8" sheetId="9" r:id="rId12"/>
    <sheet state="visible" name="T9" sheetId="10" r:id="rId13"/>
    <sheet state="visible" name="T10" sheetId="11" r:id="rId14"/>
    <sheet state="visible" name="T11" sheetId="12" r:id="rId15"/>
    <sheet state="visible" name="T12" sheetId="13" r:id="rId16"/>
    <sheet state="visible" name="T1.26" sheetId="14" r:id="rId17"/>
    <sheet state="visible" name="T2.26" sheetId="15" r:id="rId18"/>
  </sheets>
  <definedNames/>
  <calcPr/>
  <extLst>
    <ext uri="GoogleSheetsCustomDataVersion2">
      <go:sheetsCustomData xmlns:go="http://customooxmlschemas.google.com/" r:id="rId19" roundtripDataChecksum="NAGYZAxD+upUMG+7cyB+wc+Ww/Nf7W6JTtsmw9XQhs0="/>
    </ext>
  </extLst>
</workbook>
</file>

<file path=xl/sharedStrings.xml><?xml version="1.0" encoding="utf-8"?>
<sst xmlns="http://schemas.openxmlformats.org/spreadsheetml/2006/main" count="1769" uniqueCount="339">
  <si>
    <t>Tháng</t>
  </si>
  <si>
    <t>Năm</t>
  </si>
  <si>
    <t>Số dư đầu kỳ</t>
  </si>
  <si>
    <t>Thu</t>
  </si>
  <si>
    <t>Chi</t>
  </si>
  <si>
    <t>Số dư cuối kỳ</t>
  </si>
  <si>
    <t>Lợi nhuận</t>
  </si>
  <si>
    <t>Tháng 1</t>
  </si>
  <si>
    <t>2026</t>
  </si>
  <si>
    <t>Tháng 2</t>
  </si>
  <si>
    <t>2025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</si>
  <si>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</si>
  <si>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</si>
  <si>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</si>
  <si>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</si>
  <si>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</si>
  <si>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</si>
  <si>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</si>
  <si>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</si>
  <si>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</si>
  <si>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</si>
  <si>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 xml:space="preserve">    </t>
  </si>
  <si>
    <t>I. Theo dõi khoản thu - chi (nhập mỗi ngày)</t>
  </si>
  <si>
    <t>II. Báo cáo kết quả hoạt động kinh doanh (25 hàng tháng)</t>
  </si>
  <si>
    <t>KHOẢN THU - CHI THÁNG T1/2025</t>
  </si>
  <si>
    <t>KHOẢN</t>
  </si>
  <si>
    <t>DIỄN GIẢI</t>
  </si>
  <si>
    <t xml:space="preserve"> Số tiền </t>
  </si>
  <si>
    <t>STT</t>
  </si>
  <si>
    <t>Ngày</t>
  </si>
  <si>
    <t>Số tiền</t>
  </si>
  <si>
    <t>Doanh thu</t>
  </si>
  <si>
    <t>THU</t>
  </si>
  <si>
    <t>CHI</t>
  </si>
  <si>
    <t>Doanh thu bán hàng</t>
  </si>
  <si>
    <t xml:space="preserve">Khoản thu bán hàng khác </t>
  </si>
  <si>
    <t>Các khoản giảm trừ DT (ưu đãi, …)</t>
  </si>
  <si>
    <t>Lọc</t>
  </si>
  <si>
    <t>2,5</t>
  </si>
  <si>
    <t>Thưởng nóng Da Lavida B2.0606 NV Lê Kiều Loan</t>
  </si>
  <si>
    <t>Chi phí</t>
  </si>
  <si>
    <t>HH đợt 1 Da Lavida B2.0606 NV Lê Kiều Loan</t>
  </si>
  <si>
    <t>Giá vốn hàng bán</t>
  </si>
  <si>
    <t>2,2</t>
  </si>
  <si>
    <t>lương T12.24</t>
  </si>
  <si>
    <t xml:space="preserve">Chi phí Lương </t>
  </si>
  <si>
    <t>2,6</t>
  </si>
  <si>
    <t>Thuê vp T1.25</t>
  </si>
  <si>
    <t>Chi phí TT MKT</t>
  </si>
  <si>
    <t>2,7</t>
  </si>
  <si>
    <t>Chi phí vận hành văn phòng</t>
  </si>
  <si>
    <t>Chi phí tuyển dụng</t>
  </si>
  <si>
    <t>HH đợt 1 Da Lavida B2.0621 NV Nguyễn Thị Mơ</t>
  </si>
  <si>
    <t>Chi phí vận hành bán hàng</t>
  </si>
  <si>
    <t>HH đợt 1 Da Lavida B1.0403 NV Nguyễn Hữu Nam</t>
  </si>
  <si>
    <t>Tiền nhà</t>
  </si>
  <si>
    <t>Tạm ứng phí ctac Bình Thuận 03.01.25</t>
  </si>
  <si>
    <t>Chi phí vận hành khác (điện, nước, internet, điện thoại, văn phòng phẩm …)</t>
  </si>
  <si>
    <t>Hoàn tiền tạm ứng phí ctac Bình Thuận 03.01.25</t>
  </si>
  <si>
    <t>Khoản vay</t>
  </si>
  <si>
    <t>2,8</t>
  </si>
  <si>
    <t>Thanh toán khoản vay oto</t>
  </si>
  <si>
    <t>BHXH</t>
  </si>
  <si>
    <t>Phí dịch vụ hồ sơ sổ 6912 CL và 1810,8 PRT</t>
  </si>
  <si>
    <t>Chi phí khác</t>
  </si>
  <si>
    <t>1,1</t>
  </si>
  <si>
    <t>VAREAL THANH TOAN PHI MOI GIOI
THANG 11 GD2 DU AN LAVIDA+ HOA
DON SO 2 CHO CONG TY LONG
HOANG INVESTMENT</t>
  </si>
  <si>
    <t>Khoảng chi bán hàng khác (hoàn tiền,đặt chỗ)</t>
  </si>
  <si>
    <t>2,3</t>
  </si>
  <si>
    <r>
      <rPr>
        <rFont val="Calibri"/>
        <color rgb="FF000000"/>
        <sz val="12.0"/>
      </rPr>
      <t xml:space="preserve">Nạp tiền </t>
    </r>
    <r>
      <rPr>
        <rFont val="Calibri"/>
        <color rgb="FF1155CC"/>
        <sz val="12.0"/>
        <u/>
      </rPr>
      <t>bds.com</t>
    </r>
  </si>
  <si>
    <t>Lợi nhuận (trước Thuế)</t>
  </si>
  <si>
    <r>
      <rPr>
        <rFont val="Calibri"/>
        <color rgb="FF000000"/>
        <sz val="12.0"/>
      </rPr>
      <t xml:space="preserve">Nạp tiền </t>
    </r>
    <r>
      <rPr>
        <rFont val="Calibri"/>
        <color rgb="FF1155CC"/>
        <sz val="12.0"/>
        <u/>
      </rPr>
      <t>bds.com</t>
    </r>
  </si>
  <si>
    <t>THANH TOAN THUONG NONG CAN
B2.0606- DA LAVIDA+ ( HD 1 NGAY
10/01/25)</t>
  </si>
  <si>
    <t>III. Báo cáo lưu chuyển tiền tệ ( 25 hàng tháng )</t>
  </si>
  <si>
    <t>THANH TOAN PHI MOI GIOI CAN
B2.0606- DA LAVIDA+ ( HD 2 NGAY
10/01/25)</t>
  </si>
  <si>
    <t xml:space="preserve">VAREAL THANH TOAN PHI MOI GIOI
THANG 12 GD2 DU AN LAVIDA+ HOA
DON SO 3 CHO CONG TY LONG
HOANG INVESTMENT </t>
  </si>
  <si>
    <t>A</t>
  </si>
  <si>
    <t>Số dư đầu kỳ (Tồn quỹ đầu kỳ)</t>
  </si>
  <si>
    <t>B</t>
  </si>
  <si>
    <t>Phát sinh tăng trong kỳ</t>
  </si>
  <si>
    <t>Doanh thu bán hàng thực thu</t>
  </si>
  <si>
    <t>Thu hồi công nợ</t>
  </si>
  <si>
    <t>Đi vay</t>
  </si>
  <si>
    <t>C</t>
  </si>
  <si>
    <t>Phát sinh giảm trong kỳ</t>
  </si>
  <si>
    <t>Khoảng chi bán hàng chiết khấu , ưu đãi</t>
  </si>
  <si>
    <t>Khoảng chi bán hàng khác (hoàn đặt chỗ)</t>
  </si>
  <si>
    <t>D</t>
  </si>
  <si>
    <t>IV. Dự toán dòng tiền tháng mới ( ngày 1 hàng tháng)</t>
  </si>
  <si>
    <t xml:space="preserve"> Ngày </t>
  </si>
  <si>
    <t>Doanh thu căn B2.0605 Lavida+ Đợt 2</t>
  </si>
  <si>
    <t>Doanh thu căn FA.06.09 Fiato Airport City Đợt 1</t>
  </si>
  <si>
    <t>Doanh thu căn B2.0605 Lavida+ Đợt 1</t>
  </si>
  <si>
    <t xml:space="preserve">Thưởng nóng căn B2.0605 Lavida+ </t>
  </si>
  <si>
    <t>Lương tháng 6.25</t>
  </si>
  <si>
    <t xml:space="preserve">Hoa hồng căn B2.0606 Lavida+ </t>
  </si>
  <si>
    <t>Hoa hồng căn FA.06.09 Fiato Airport City Đợt 1</t>
  </si>
  <si>
    <t>Phí thuê văn phòng T7.25</t>
  </si>
  <si>
    <t>Tiền điện văn phòng T6.25</t>
  </si>
  <si>
    <t>KHOẢN THU - CHI THÁNG T2/2025</t>
  </si>
  <si>
    <t>Phí vận hành vp T2.25</t>
  </si>
  <si>
    <t>HH TP/QL Lavida</t>
  </si>
  <si>
    <t>lương T1.25</t>
  </si>
  <si>
    <r>
      <rPr>
        <rFont val="Times New Roman"/>
        <sz val="12.0"/>
      </rPr>
      <t xml:space="preserve">Nạp tiền </t>
    </r>
    <r>
      <rPr>
        <rFont val="Times New Roman"/>
        <color rgb="FF1155CC"/>
        <sz val="12.0"/>
        <u/>
      </rPr>
      <t>bds.com</t>
    </r>
  </si>
  <si>
    <t>THANH TOAN PHI MOI GIOI CAN
B2.0606- DA LAVIDA+ ( HD 4 NGAY
22/01/25)</t>
  </si>
  <si>
    <t>TIEN HH DOT 2 LAVIDA+ B2.0606 THEO
TB 53.2024.LHI.TB-120225</t>
  </si>
  <si>
    <r>
      <rPr>
        <rFont val="Times New Roman"/>
        <sz val="12.0"/>
      </rPr>
      <t xml:space="preserve">Nạp tiền </t>
    </r>
    <r>
      <rPr>
        <rFont val="Times New Roman"/>
        <color rgb="FF1155CC"/>
        <sz val="12.0"/>
        <u/>
      </rPr>
      <t>bds.com</t>
    </r>
  </si>
  <si>
    <t>Thanh lý tiền vp 2.25</t>
  </si>
  <si>
    <t>KHOẢN THU - CHI THÁNG T3/2025</t>
  </si>
  <si>
    <t>2,11</t>
  </si>
  <si>
    <t>Gia hạn chữ ký số</t>
  </si>
  <si>
    <t>Chuyển tiền hỗ trợ thanh lý bàn ghế</t>
  </si>
  <si>
    <t>Chuyển tiền hỗ trợ sơn tường tòa nhà 655</t>
  </si>
  <si>
    <t>Chuyển tiền hỗ trợ gỡ bảng hiệu tòa nhà 656</t>
  </si>
  <si>
    <t>1,2</t>
  </si>
  <si>
    <t>Thanh lý bàn ghế văn phòng</t>
  </si>
  <si>
    <t>2,9</t>
  </si>
  <si>
    <t>Thanh toán BHXH T1-2.25</t>
  </si>
  <si>
    <t>Nộp thuế môn bài, thuế quý 4.24</t>
  </si>
  <si>
    <t>Lương tháng 2.25</t>
  </si>
  <si>
    <r>
      <rPr>
        <rFont val="Times New Roman"/>
        <sz val="12.0"/>
      </rPr>
      <t xml:space="preserve">Nộp tiền </t>
    </r>
    <r>
      <rPr>
        <rFont val="Times New Roman"/>
        <color rgb="FF1155CC"/>
        <sz val="12.0"/>
        <u/>
      </rPr>
      <t>BDS.com</t>
    </r>
  </si>
  <si>
    <r>
      <rPr>
        <rFont val="Times New Roman"/>
        <sz val="12.0"/>
      </rPr>
      <t xml:space="preserve">Nộp tiền </t>
    </r>
    <r>
      <rPr>
        <rFont val="Times New Roman"/>
        <color rgb="FF1155CC"/>
        <sz val="12.0"/>
        <u/>
      </rPr>
      <t>BDS.com</t>
    </r>
  </si>
  <si>
    <r>
      <rPr>
        <rFont val="Times New Roman"/>
        <sz val="12.0"/>
      </rPr>
      <t xml:space="preserve">Nộp tiền </t>
    </r>
    <r>
      <rPr>
        <rFont val="Times New Roman"/>
        <color rgb="FF1155CC"/>
        <sz val="12.0"/>
        <u/>
      </rPr>
      <t>BDS.com</t>
    </r>
  </si>
  <si>
    <t>CONG TY TNHH O TO HOANG ANNA
MUA XE 51D66546</t>
  </si>
  <si>
    <t>CONG TY TNHH O TO HOANG ANNA
MUA XE 51D66546 (Cá nhân)</t>
  </si>
  <si>
    <t xml:space="preserve">Đóng thuế môn bài </t>
  </si>
  <si>
    <t>Đóng thuế (phạt nộp chậm)</t>
  </si>
  <si>
    <t xml:space="preserve">Nộp thuế  </t>
  </si>
  <si>
    <t>Phí giao dịch nộp thuế</t>
  </si>
  <si>
    <t>KHOẢN THU - CHI THÁNG T4/2025</t>
  </si>
  <si>
    <t>Màn hình máy tính MKT</t>
  </si>
  <si>
    <t>Lương tháng 3</t>
  </si>
  <si>
    <t>Vay oto 7 chỗ VIB</t>
  </si>
  <si>
    <t>Phí xe di chuyển dự án BD</t>
  </si>
  <si>
    <t>Thanh toán Lark Đợt 2</t>
  </si>
  <si>
    <t>KHOẢN THU - CHI THÁNG T5/2025</t>
  </si>
  <si>
    <t>Lương tháng 4</t>
  </si>
  <si>
    <t>Cọc văn phòng 227A</t>
  </si>
  <si>
    <t>Tiền thuê vp tháng 5</t>
  </si>
  <si>
    <t>KHOẢN THU - CHI THÁNG T6/2025</t>
  </si>
  <si>
    <t>Tiền xe dịch vụ HCM - ĐN</t>
  </si>
  <si>
    <t>Lương tháng 5</t>
  </si>
  <si>
    <t>Tiền thuê VP tháng 6, điện tháng 5</t>
  </si>
  <si>
    <t>Thưởng nóng  Lavida B2.0605</t>
  </si>
  <si>
    <t>CK Giang</t>
  </si>
  <si>
    <t>Đăng ký đổi địa chỉ GPKD</t>
  </si>
  <si>
    <t>Tạm ứng lương anh Kiên</t>
  </si>
  <si>
    <t>Phí MKT ads</t>
  </si>
  <si>
    <t>Thuê dịch vụ MKT ngoài</t>
  </si>
  <si>
    <t>Phí MKT tiktok ads</t>
  </si>
  <si>
    <t/>
  </si>
  <si>
    <t>Tạm ứng phí môi giới DA Lavida+</t>
  </si>
  <si>
    <t>KHOẢN THU - CHI THÁNG T7/2025</t>
  </si>
  <si>
    <t>Mua phần mềm MKT</t>
  </si>
  <si>
    <t>Hoa hồng căn B2.0605 Phạm Lê Nhật Vy Đợt 1</t>
  </si>
  <si>
    <t>Hoa hồng admin căn B2.0605 Đợt 1</t>
  </si>
  <si>
    <t>Phí môi giới căn B2.0605 Đợt 1</t>
  </si>
  <si>
    <t>Mua đồ công sở</t>
  </si>
  <si>
    <t>Lương tháng 6</t>
  </si>
  <si>
    <t>Vay oto 7 chỗ VIB gốc</t>
  </si>
  <si>
    <t>Vay oto 7 chỗ VIB lãi</t>
  </si>
  <si>
    <t>Hoa hồng căn B2.0605 Phạm Lê Nhật Vy Đợt 2</t>
  </si>
  <si>
    <t>Tiền thuê VP tháng 7, điện tháng 6</t>
  </si>
  <si>
    <t>Hoa hồng admin căn B2.0605 Đợt 2</t>
  </si>
  <si>
    <t>Hoàn thuế nội bộ tạm trích 2023-2024 - Nguyễn Hữu Nam</t>
  </si>
  <si>
    <t>Hoàn thuế nội bộ tạm trích 2023-2024 - Nguyễn Thành Long</t>
  </si>
  <si>
    <t>Hoàn thuế nội bộ tạm trích 2023-2024 - Phạm Phương Phương</t>
  </si>
  <si>
    <t>Hoàn thuế nội bộ tạm trích 2023-2024 - Lê Nguyễn Anh Thư</t>
  </si>
  <si>
    <t>Cọc 1 tháng thuê vp 227A XVNT</t>
  </si>
  <si>
    <t xml:space="preserve">VAREAL THANH TOAN PHI MOI GIOI
THANG 05.2025 GD1.2025 DU AN
LAVIDA+ HOA DON SO 8 CHO CONG
TY LONG HOANG </t>
  </si>
  <si>
    <t>CONG TY CO PHAN DAU TU CONG
NGHE BAT DONG SAN DATA LOCA-GD
627249-2025-07-08T14:37:12-970407-
/CTR/DATA LOCA THANH TOAN TIEN
PHI DU AN FIATO AIRPORT THEO HOA
DONSO 9/MAC/EAA4BC0000004C12</t>
  </si>
  <si>
    <t>SGP TT PHI GIOI THIEU DA FIATO
AIRPORT CITY, HOP DONG
04/2025/HDGTSP/SGP-LHI_HD 10</t>
  </si>
  <si>
    <t>CT CP DV BAT DONG SAN DANH KHOIGD 787362-2025-07-25T17:12:12-
970407-/CTR/CTY CP DV BDS DANH
KHOI THANH LY TIEN DAT MUA DU AN
FIATO</t>
  </si>
  <si>
    <t>Nộp thuế</t>
  </si>
  <si>
    <t>KHOẢN THU - CHI THÁNG T8/2025</t>
  </si>
  <si>
    <t>Lương tháng 7</t>
  </si>
  <si>
    <t>Tiền thuê VP tháng 8</t>
  </si>
  <si>
    <t>Tiền thuê VP tháng 8 VAT</t>
  </si>
  <si>
    <t>Tiền điện tháng 7</t>
  </si>
  <si>
    <t>Tiền điện tháng 7 VAT</t>
  </si>
  <si>
    <t>Phí vận hành văn phòng</t>
  </si>
  <si>
    <t>Hoàn thuế nội bộ tạm trích T4- 5.2025- Hà Văn giang</t>
  </si>
  <si>
    <t>Tiền xe dịch vụ HCM - BT</t>
  </si>
  <si>
    <t>Hoa hồng admin căn FA.06.09 Đợt 1</t>
  </si>
  <si>
    <t>Hoa hồng căn FA.06.09 Phạm Lê Nhật Vy Đợt 1</t>
  </si>
  <si>
    <t>Hoa hồng admin căn FA.06.08 Đợt 1 - Sàn PKH</t>
  </si>
  <si>
    <t>Hoa hồng admin căn FC.3B.14 Đợt 1  - Sàn PKH</t>
  </si>
  <si>
    <t>Hoa hồng admin căn FB.05.01 Đợt 1 - Sàn PKH</t>
  </si>
  <si>
    <t xml:space="preserve">Doanh thu từ CĐT FA.06.09 Đợt 1 </t>
  </si>
  <si>
    <t>Doanh thu từ CĐT FA.06.09 Đợt 1 - VAT</t>
  </si>
  <si>
    <t>Chi phí môi giới FB.05.01 Đợt 1 - Sàn PKH</t>
  </si>
  <si>
    <t>Chi phí môi giới FB.05.01 Đợt 1 - Sàn PKH VAT</t>
  </si>
  <si>
    <t>Chi phí môi giới FA.06.08 &amp; FC.3B.14 Đợt 1 - Sàn PKH</t>
  </si>
  <si>
    <t>Chi phí môi giới FA.06.08 &amp; FC.3B.14 Đợt 1 - Sàn PKH VAT</t>
  </si>
  <si>
    <t>Gói đăng tin TOP CV</t>
  </si>
  <si>
    <t>Gói đăng tin TOP CV VAT</t>
  </si>
  <si>
    <t>CTY TNHH LONG HOANG
INVESTMENT HOAN DAT CHO KH WU
SU JUNG DA FIATO AIRPORT CITY</t>
  </si>
  <si>
    <t>KHOẢN THU - CHI THÁNG T9/2025</t>
  </si>
  <si>
    <t>Tiền thuê VP tháng 9</t>
  </si>
  <si>
    <t>Tiền thuê VP tháng 9 VAT</t>
  </si>
  <si>
    <t>Tiền điện tháng 8</t>
  </si>
  <si>
    <t>Tiền điện tháng 8 VAT</t>
  </si>
  <si>
    <t>Lương tháng 8</t>
  </si>
  <si>
    <t>Thuê diễn viên quay video</t>
  </si>
  <si>
    <t>Thuê thiếp bị quay</t>
  </si>
  <si>
    <t>Chi BHXH tháng 7-9 của NV</t>
  </si>
  <si>
    <t>Chi BHXH tháng 7-9 công ty</t>
  </si>
  <si>
    <t>Tạm ứng phí tuyển dụng</t>
  </si>
  <si>
    <t>Chuyen tien thanh toan dich vu theo hoa
don so 12 ngay 24-09-2025-GD-243990-
240925</t>
  </si>
  <si>
    <t>khoản vay oto T9.25</t>
  </si>
  <si>
    <t xml:space="preserve">Rút tiền hoàn trả </t>
  </si>
  <si>
    <t>Lương tháng 9</t>
  </si>
  <si>
    <t>Tiền thuê VP tháng 10</t>
  </si>
  <si>
    <t>Thanh toán khoản vay VIB Tháng 10</t>
  </si>
  <si>
    <t>BHXH tháng 10</t>
  </si>
  <si>
    <t>KHOẢN THU - CHI THÁNG T10/2025</t>
  </si>
  <si>
    <t>1</t>
  </si>
  <si>
    <t>1.1</t>
  </si>
  <si>
    <t>1.2</t>
  </si>
  <si>
    <t>1.3</t>
  </si>
  <si>
    <t>Phí thuê vp, điện tháng 10.25</t>
  </si>
  <si>
    <t>2</t>
  </si>
  <si>
    <t>Khoản vay oto 7 chỗ T10.25</t>
  </si>
  <si>
    <t>2.1</t>
  </si>
  <si>
    <t>2.2</t>
  </si>
  <si>
    <t>2,4</t>
  </si>
  <si>
    <t xml:space="preserve">Chi phí tuyển dụng </t>
  </si>
  <si>
    <t>2.3</t>
  </si>
  <si>
    <t xml:space="preserve">Lương tháng 9.25 Đợt 1 </t>
  </si>
  <si>
    <t>2.4</t>
  </si>
  <si>
    <t>Lương tháng 9.25 Đợt 2</t>
  </si>
  <si>
    <t>2.5</t>
  </si>
  <si>
    <t>Làm video dự án A&amp;T</t>
  </si>
  <si>
    <t>2.6</t>
  </si>
  <si>
    <t>Thanh toán quảng cáo facebook</t>
  </si>
  <si>
    <t>2.7</t>
  </si>
  <si>
    <t>2.8</t>
  </si>
  <si>
    <t>Tạm ứng lương Giang T10.25</t>
  </si>
  <si>
    <t>2.9</t>
  </si>
  <si>
    <t xml:space="preserve">Làm video </t>
  </si>
  <si>
    <t>2.11</t>
  </si>
  <si>
    <t>2.12</t>
  </si>
  <si>
    <t>3</t>
  </si>
  <si>
    <t>Phí dịch vụ MKT DA A&amp;T Đợt 2</t>
  </si>
  <si>
    <t>Phí dịch vụ MKT DA Charm Đợt 2</t>
  </si>
  <si>
    <t>Phí dịch vụ MKT DA A&amp;T Đợt 1</t>
  </si>
  <si>
    <t>Phí dịch vụ MKT DA Charm Đợt 1</t>
  </si>
  <si>
    <t>Phí dịch vụ MKT DA Gia Khải Đợt 1</t>
  </si>
  <si>
    <t>Phí dịch vụ MKT sàn PKH</t>
  </si>
  <si>
    <t>Phí dịch vụ MKTchị Hường - Maison Grand</t>
  </si>
  <si>
    <t>Phí dịch vụ MKT DA Gia Khải Đợt 2</t>
  </si>
  <si>
    <t>Phí dịch vụ MKT DA A&amp;T Đợt 3</t>
  </si>
  <si>
    <t>Phí dịch vụ MKT DA Charm Đợt 3</t>
  </si>
  <si>
    <t>Lương tháng 10.25</t>
  </si>
  <si>
    <t>BHXH T10.25</t>
  </si>
  <si>
    <t>Thuê freelancer MKT</t>
  </si>
  <si>
    <t>Phí thuê vp, điện tháng 11.25</t>
  </si>
  <si>
    <t>Khoản vay oto 7 chỗ T11.25</t>
  </si>
  <si>
    <t>KHOẢN THU - CHI THÁNG T11/2025</t>
  </si>
  <si>
    <t>IV. Dự toán thu chi theo tuần:</t>
  </si>
  <si>
    <t>Tuần</t>
  </si>
  <si>
    <t>Ngày dự kiến phát sinh</t>
  </si>
  <si>
    <t>Số tiền Khoản thu</t>
  </si>
  <si>
    <t>Số tiền Khoản chi</t>
  </si>
  <si>
    <t>Nội dung</t>
  </si>
  <si>
    <t>Tổng</t>
  </si>
  <si>
    <t>1 (3-9/11/25)</t>
  </si>
  <si>
    <t>Sửa xe 7 chỗ</t>
  </si>
  <si>
    <t>Lương T10</t>
  </si>
  <si>
    <t>Thuê vp T11</t>
  </si>
  <si>
    <t>Khoản vay oto T11</t>
  </si>
  <si>
    <t>Phí dịch vụ MKT chị Hường - The Emerald Garden View</t>
  </si>
  <si>
    <t>Tổng số tiền Thu/Chi trong tuần</t>
  </si>
  <si>
    <t>Phí dịch vụ MKT ĐPN - Aspira</t>
  </si>
  <si>
    <t>2 (10-16/11/25)</t>
  </si>
  <si>
    <t>Phí dịch vụ MKT anh Duy - Aspira</t>
  </si>
  <si>
    <t>Lương tháng 10.25 Đợt 2</t>
  </si>
  <si>
    <t>3 (17-23/11/25)</t>
  </si>
  <si>
    <t>Lương Tháng 10 Lần 2</t>
  </si>
  <si>
    <t>4 (24-30/11/25)</t>
  </si>
  <si>
    <t>Hoàn tiền DV FB GPT Land</t>
  </si>
  <si>
    <t>BHXH T11.25</t>
  </si>
  <si>
    <t>Phí dịch vụ MKT DA T&amp;T  - Việt Á</t>
  </si>
  <si>
    <t>Lương tháng 11.25</t>
  </si>
  <si>
    <t>BHXH T10+11.25</t>
  </si>
  <si>
    <t>Phí thuê vp, điện tháng 12.25</t>
  </si>
  <si>
    <t>Khoản vay oto 7 chỗ T12.25</t>
  </si>
  <si>
    <t>Phí dịch vụ MKT (~80%)</t>
  </si>
  <si>
    <t>KHOẢN THU - CHI THÁNG T12/2025</t>
  </si>
  <si>
    <t>2 (8-14/12/25)</t>
  </si>
  <si>
    <t>Tạm ứng phí dịch vụ Media - NV Giang T11</t>
  </si>
  <si>
    <t>Khoản vay oto T12.25</t>
  </si>
  <si>
    <t>Tiền thuê vp T12.25</t>
  </si>
  <si>
    <t xml:space="preserve">Phí dịch vụ MKT DA Sunshine </t>
  </si>
  <si>
    <t>Lương tháng 12.25</t>
  </si>
  <si>
    <t>BHXH T10-11.25</t>
  </si>
  <si>
    <t>Phí vận hành công ty</t>
  </si>
  <si>
    <t>Phí dịch vụ MKT Da Vin Cần Giờ</t>
  </si>
  <si>
    <t>Phí thuê DV MKt - Nv San</t>
  </si>
  <si>
    <t>Ngân sách chạy  ads Tuần 1</t>
  </si>
  <si>
    <t>BHXH T10-12.25</t>
  </si>
  <si>
    <t>Hoàn tiền chạy ads GPTLand</t>
  </si>
  <si>
    <t>Tạm ứng phí dịch vụ Media - NV Giang T12</t>
  </si>
  <si>
    <t>3 (15-21/12/25)</t>
  </si>
  <si>
    <t>BHXH T10-11-12.25</t>
  </si>
  <si>
    <t>Phí dịch vụ MKT Da Ava Center</t>
  </si>
  <si>
    <t>Tiền CTV Chị San</t>
  </si>
  <si>
    <t>Ngân sách chạy  ads Tuần 3</t>
  </si>
  <si>
    <t>Phí dịch vụ MKT Da T&amp;T (Việt Á)</t>
  </si>
  <si>
    <t>4 (22-28/12/25)</t>
  </si>
  <si>
    <t>Phí dịch vụ MKT DA Dragon Eden LGL</t>
  </si>
  <si>
    <t>Phí dịch vụ MKT DA Ava Center chị Trang</t>
  </si>
  <si>
    <t>Phí dịch vụ MKT DA T&amp;T Việt Á</t>
  </si>
  <si>
    <t>Phí dịch vụ MKT DA Sunshine  Việt Á</t>
  </si>
  <si>
    <t>Phí dịch vụ MKT DA T&amp;T Anh Kiệt</t>
  </si>
  <si>
    <t>Hoàn tiền HĐ HV GPT Land</t>
  </si>
  <si>
    <t>KHOẢN THU - CHI THÁNG T1/2026</t>
  </si>
  <si>
    <t>1 (29/12 - 03/01/26</t>
  </si>
  <si>
    <t>Hoàn ngân sách chạy Aspira (Duy Phạm)</t>
  </si>
  <si>
    <t>Phí dịch vụ MKT Da Aspira ĐPN (thanh toán thêm)</t>
  </si>
  <si>
    <t>Phí dịch vụ MKT Da Maison PKH (thanh toán thêm)</t>
  </si>
  <si>
    <t>Hoàn ngân sách chạy Emerald (Chị Hường)</t>
  </si>
  <si>
    <t>2 (4 - 11/1/26)</t>
  </si>
  <si>
    <t>Phí thuê vp, điện tháng 1.26</t>
  </si>
  <si>
    <t>Khoản vay oto 7 chỗ T1.26</t>
  </si>
  <si>
    <t>Lương T12.25</t>
  </si>
  <si>
    <t>Phí dịch vụ MKT Da Khu nhà ở thương mại Quang Vinh 3</t>
  </si>
  <si>
    <t>Ngân sách chạy  ads Tuần 2</t>
  </si>
  <si>
    <t>3 (12 - 18/1/26)</t>
  </si>
  <si>
    <t>Hoàn ngân sách chạy Sunshine (VAR)</t>
  </si>
  <si>
    <t>Thuế quý 3.25</t>
  </si>
  <si>
    <t>4 (19 - 25/1/26)</t>
  </si>
  <si>
    <t>5 (26/01 - 01/02/26)</t>
  </si>
  <si>
    <t>Hoàn thuế nội bộ 2023-2024 Đợt 1</t>
  </si>
  <si>
    <t>KHOẢN THU - CHI THÁNG T2/2026</t>
  </si>
  <si>
    <t xml:space="preserve"> </t>
  </si>
  <si>
    <t>1 (02/2 - 08/02/26</t>
  </si>
  <si>
    <t>Thanh toán phí dịch vụ còn lại DA Ava</t>
  </si>
  <si>
    <t xml:space="preserve">Mua chữ ký số và hóa đơn cty mới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</si>
</sst>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₫&quot;#,##0"/>
    <numFmt numFmtId="165" formatCode="dd/MM/yyyy"/>
    <numFmt numFmtId="166" formatCode="dd/mm/yy"/>
    <numFmt numFmtId="167" formatCode="#,##0\ [$đ-42A]"/>
    <numFmt numFmtId="168" formatCode="d/m"/>
    <numFmt numFmtId="169" formatCode="#,##0;(#,##0)"/>
  </numFmts>
  <fonts count="20">
    <font>
      <sz val="10.0"/>
      <color theme="1"/>
      <name val="Calibri"/>
      <scheme val="minor"/>
    </font>
    <font>
      <b/>
      <sz val="12.0"/>
      <color theme="1"/>
      <name val="Calibri"/>
      <scheme val="minor"/>
    </font>
    <font>
      <sz val="12.0"/>
      <color theme="1"/>
      <name val="Calibri"/>
      <scheme val="minor"/>
    </font>
    <font>
      <b/>
      <sz val="12.0"/>
      <color rgb="FFFF0000"/>
      <name val="Calibri"/>
    </font>
    <font/>
    <font>
      <sz val="12.0"/>
      <color rgb="FF000000"/>
      <name val="Calibri"/>
    </font>
    <font>
      <b/>
      <sz val="12.0"/>
      <color rgb="FF000000"/>
      <name val="Calibri"/>
    </font>
    <font>
      <b/>
      <sz val="12.0"/>
      <color rgb="FFEA4335"/>
      <name val="Calibri"/>
    </font>
    <font>
      <sz val="12.0"/>
      <color theme="1"/>
      <name val="Times New Roman"/>
    </font>
    <font>
      <sz val="11.0"/>
      <color theme="1"/>
      <name val="Calibri"/>
    </font>
    <font>
      <b/>
      <sz val="11.0"/>
      <color theme="1"/>
      <name val="Times New Roman"/>
    </font>
    <font>
      <u/>
      <sz val="12.0"/>
      <color rgb="FF000000"/>
      <name val="Calibri"/>
    </font>
    <font>
      <b/>
      <sz val="12.0"/>
      <color rgb="FFF54A45"/>
      <name val="Calibri"/>
    </font>
    <font>
      <color theme="1"/>
      <name val="Calibri"/>
      <scheme val="minor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00"/>
      <name val="Calibri"/>
    </font>
    <font>
      <b/>
      <color theme="1"/>
      <name val="Calibri"/>
      <scheme val="minor"/>
    </font>
    <font>
      <b/>
      <color rgb="FF0000FF"/>
      <name val="Calibri"/>
      <scheme val="minor"/>
    </font>
    <font>
      <sz val="12.0"/>
      <color rgb="FF000000"/>
      <name val="&quot;Times New Roman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1F2329"/>
      </left>
      <right style="thin">
        <color rgb="FF1F2329"/>
      </right>
      <bottom style="thin">
        <color rgb="FF1F2329"/>
      </bottom>
    </border>
    <border>
      <left style="thin">
        <color rgb="FF1F2329"/>
      </left>
      <right style="thin">
        <color rgb="FF1F2329"/>
      </right>
      <top style="thin">
        <color rgb="FF1F2329"/>
      </top>
    </border>
    <border>
      <left style="thin">
        <color rgb="FF1F2329"/>
      </left>
      <top style="thin">
        <color rgb="FF1F2329"/>
      </top>
      <bottom style="thin">
        <color rgb="FF1F2329"/>
      </bottom>
    </border>
    <border>
      <right style="thin">
        <color rgb="FF1F2329"/>
      </right>
      <top style="thin">
        <color rgb="FF1F2329"/>
      </top>
      <bottom style="thin">
        <color rgb="FF1F2329"/>
      </bottom>
    </border>
    <border>
      <left style="thin">
        <color rgb="FF1F2329"/>
      </left>
      <top style="thin">
        <color rgb="FF1F2329"/>
      </top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</border>
    <border>
      <left style="thin">
        <color rgb="FF1F2329"/>
      </left>
      <right style="thin">
        <color rgb="FF1F2329"/>
      </right>
    </border>
    <border>
      <left style="thin">
        <color rgb="FF1F2329"/>
      </left>
    </border>
    <border>
      <left style="thin">
        <color rgb="FF1F2329"/>
      </left>
      <bottom style="thin">
        <color rgb="FF1F2329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1F2329"/>
      </top>
      <bottom style="thin">
        <color rgb="FF1F2329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1F2329"/>
      </right>
      <top style="thin">
        <color rgb="FF1F2329"/>
      </top>
    </border>
    <border>
      <right style="thin">
        <color rgb="FF1F2329"/>
      </right>
      <bottom style="thin">
        <color rgb="FF1F2329"/>
      </bottom>
    </border>
  </borders>
  <cellStyleXfs count="1">
    <xf borderId="0" fillId="0" fontId="0" numFmtId="0" applyAlignment="1" applyFont="1"/>
  </cellStyleXfs>
  <cellXfs count="153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readingOrder="0" vertical="center"/>
    </xf>
    <xf borderId="1" fillId="0" fontId="1" numFmtId="49" xfId="0" applyAlignment="1" applyBorder="1" applyFont="1" applyNumberFormat="1">
      <alignment horizontal="center" readingOrder="0" vertical="center"/>
    </xf>
    <xf borderId="1" fillId="0" fontId="1" numFmtId="164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vertical="center"/>
    </xf>
    <xf borderId="1" fillId="0" fontId="2" numFmtId="164" xfId="0" applyAlignment="1" applyBorder="1" applyFont="1" applyNumberFormat="1">
      <alignment readingOrder="0" vertical="center"/>
    </xf>
    <xf borderId="1" fillId="0" fontId="2" numFmtId="49" xfId="0" applyAlignment="1" applyBorder="1" applyFont="1" applyNumberFormat="1">
      <alignment readingOrder="0" vertical="center"/>
    </xf>
    <xf borderId="0" fillId="0" fontId="1" numFmtId="0" xfId="0" applyAlignment="1" applyFont="1">
      <alignment vertical="center"/>
    </xf>
    <xf borderId="1" fillId="0" fontId="2" numFmtId="164" xfId="0" applyAlignment="1" applyBorder="1" applyFont="1" applyNumberFormat="1">
      <alignment vertical="center"/>
    </xf>
    <xf borderId="0" fillId="0" fontId="2" numFmtId="49" xfId="0" applyAlignment="1" applyFont="1" applyNumberFormat="1">
      <alignment vertical="center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shrinkToFit="0" vertical="center" wrapText="1"/>
    </xf>
    <xf borderId="2" fillId="0" fontId="4" numFmtId="0" xfId="0" applyAlignment="1" applyBorder="1" applyFont="1">
      <alignment vertical="center"/>
    </xf>
    <xf borderId="0" fillId="0" fontId="5" numFmtId="0" xfId="0" applyAlignment="1" applyFont="1">
      <alignment shrinkToFit="0" vertical="center" wrapText="1"/>
    </xf>
    <xf borderId="3" fillId="0" fontId="3" numFmtId="0" xfId="0" applyAlignment="1" applyBorder="1" applyFont="1">
      <alignment shrinkToFit="0" vertical="center" wrapText="1"/>
    </xf>
    <xf borderId="3" fillId="0" fontId="4" numFmtId="0" xfId="0" applyAlignment="1" applyBorder="1" applyFont="1">
      <alignment vertical="center"/>
    </xf>
    <xf borderId="4" fillId="0" fontId="4" numFmtId="0" xfId="0" applyAlignment="1" applyBorder="1" applyFont="1">
      <alignment vertical="center"/>
    </xf>
    <xf borderId="0" fillId="0" fontId="6" numFmtId="0" xfId="0" applyAlignment="1" applyFont="1">
      <alignment horizontal="center" readingOrder="0" shrinkToFit="0" vertical="center" wrapText="1"/>
    </xf>
    <xf borderId="5" fillId="0" fontId="6" numFmtId="0" xfId="0" applyAlignment="1" applyBorder="1" applyFont="1">
      <alignment shrinkToFit="0" vertical="center" wrapText="1"/>
    </xf>
    <xf borderId="2" fillId="0" fontId="6" numFmtId="0" xfId="0" applyAlignment="1" applyBorder="1" applyFont="1">
      <alignment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6" fillId="0" fontId="6" numFmtId="165" xfId="0" applyAlignment="1" applyBorder="1" applyFont="1" applyNumberFormat="1">
      <alignment horizontal="center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vertical="center"/>
    </xf>
    <xf borderId="9" fillId="0" fontId="6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horizontal="left" shrinkToFit="0" vertical="center" wrapText="1"/>
    </xf>
    <xf borderId="8" fillId="0" fontId="6" numFmtId="0" xfId="0" applyAlignment="1" applyBorder="1" applyFont="1">
      <alignment shrinkToFit="0" vertical="center" wrapText="1"/>
    </xf>
    <xf borderId="10" fillId="0" fontId="6" numFmtId="3" xfId="0" applyAlignment="1" applyBorder="1" applyFont="1" applyNumberFormat="1">
      <alignment shrinkToFit="0" vertical="center" wrapText="1"/>
    </xf>
    <xf borderId="11" fillId="0" fontId="4" numFmtId="0" xfId="0" applyAlignment="1" applyBorder="1" applyFont="1">
      <alignment vertical="center"/>
    </xf>
    <xf borderId="12" fillId="0" fontId="4" numFmtId="0" xfId="0" applyAlignment="1" applyBorder="1" applyFont="1">
      <alignment vertical="center"/>
    </xf>
    <xf borderId="10" fillId="0" fontId="6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shrinkToFit="0" vertical="center" wrapText="1"/>
    </xf>
    <xf borderId="5" fillId="0" fontId="4" numFmtId="0" xfId="0" applyAlignment="1" applyBorder="1" applyFont="1">
      <alignment vertical="center"/>
    </xf>
    <xf borderId="10" fillId="0" fontId="7" numFmtId="0" xfId="0" applyAlignment="1" applyBorder="1" applyFont="1">
      <alignment horizontal="center" shrinkToFit="0" vertical="center" wrapText="1"/>
    </xf>
    <xf borderId="13" fillId="0" fontId="4" numFmtId="0" xfId="0" applyAlignment="1" applyBorder="1" applyFont="1">
      <alignment vertical="center"/>
    </xf>
    <xf borderId="0" fillId="0" fontId="6" numFmtId="0" xfId="0" applyAlignment="1" applyFont="1">
      <alignment horizontal="center" shrinkToFit="0" vertical="center" wrapText="1"/>
    </xf>
    <xf borderId="0" fillId="0" fontId="6" numFmtId="166" xfId="0" applyAlignment="1" applyFont="1" applyNumberFormat="1">
      <alignment horizontal="center" shrinkToFit="0" vertical="center" wrapText="1"/>
    </xf>
    <xf borderId="0" fillId="0" fontId="6" numFmtId="167" xfId="0" applyAlignment="1" applyFont="1" applyNumberFormat="1">
      <alignment shrinkToFit="0" vertical="center" wrapText="1"/>
    </xf>
    <xf borderId="0" fillId="0" fontId="6" numFmtId="49" xfId="0" applyAlignment="1" applyFont="1" applyNumberFormat="1">
      <alignment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49" xfId="0" applyAlignment="1" applyFont="1" applyNumberFormat="1">
      <alignment horizontal="left" shrinkToFit="0" vertical="center" wrapText="1"/>
    </xf>
    <xf borderId="0" fillId="0" fontId="6" numFmtId="3" xfId="0" applyAlignment="1" applyFont="1" applyNumberFormat="1">
      <alignment shrinkToFit="0" vertical="center" wrapText="1"/>
    </xf>
    <xf borderId="10" fillId="0" fontId="5" numFmtId="0" xfId="0" applyAlignment="1" applyBorder="1" applyFont="1">
      <alignment horizontal="center" shrinkToFit="0" vertical="center" wrapText="1"/>
    </xf>
    <xf borderId="1" fillId="0" fontId="8" numFmtId="165" xfId="0" applyAlignment="1" applyBorder="1" applyFont="1" applyNumberFormat="1">
      <alignment horizontal="center" readingOrder="0" vertical="center"/>
    </xf>
    <xf borderId="1" fillId="0" fontId="9" numFmtId="167" xfId="0" applyAlignment="1" applyBorder="1" applyFont="1" applyNumberFormat="1">
      <alignment vertical="center"/>
    </xf>
    <xf borderId="1" fillId="2" fontId="8" numFmtId="167" xfId="0" applyAlignment="1" applyBorder="1" applyFill="1" applyFont="1" applyNumberFormat="1">
      <alignment horizontal="right" readingOrder="0" vertical="bottom"/>
    </xf>
    <xf borderId="1" fillId="0" fontId="10" numFmtId="49" xfId="0" applyAlignment="1" applyBorder="1" applyFont="1" applyNumberFormat="1">
      <alignment horizontal="center" readingOrder="0" vertical="center"/>
    </xf>
    <xf borderId="1" fillId="0" fontId="8" numFmtId="49" xfId="0" applyAlignment="1" applyBorder="1" applyFont="1" applyNumberFormat="1">
      <alignment readingOrder="0" vertical="center"/>
    </xf>
    <xf borderId="10" fillId="0" fontId="6" numFmtId="0" xfId="0" applyAlignment="1" applyBorder="1" applyFont="1">
      <alignment shrinkToFit="0" vertical="center" wrapText="1"/>
    </xf>
    <xf borderId="14" fillId="0" fontId="5" numFmtId="0" xfId="0" applyAlignment="1" applyBorder="1" applyFont="1">
      <alignment horizontal="center" shrinkToFit="0" vertical="center" wrapText="1"/>
    </xf>
    <xf borderId="1" fillId="0" fontId="8" numFmtId="167" xfId="0" applyAlignment="1" applyBorder="1" applyFont="1" applyNumberFormat="1">
      <alignment horizontal="right" readingOrder="0" vertical="center"/>
    </xf>
    <xf borderId="2" fillId="0" fontId="5" numFmtId="0" xfId="0" applyAlignment="1" applyBorder="1" applyFont="1">
      <alignment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shrinkToFit="0" vertical="center" wrapText="1"/>
    </xf>
    <xf borderId="5" fillId="0" fontId="6" numFmtId="3" xfId="0" applyAlignment="1" applyBorder="1" applyFont="1" applyNumberFormat="1">
      <alignment shrinkToFit="0" vertical="center" wrapText="1"/>
    </xf>
    <xf borderId="1" fillId="0" fontId="8" numFmtId="167" xfId="0" applyAlignment="1" applyBorder="1" applyFont="1" applyNumberFormat="1">
      <alignment horizontal="right" vertical="center"/>
    </xf>
    <xf borderId="1" fillId="0" fontId="9" numFmtId="167" xfId="0" applyAlignment="1" applyBorder="1" applyFont="1" applyNumberFormat="1">
      <alignment readingOrder="0" vertical="center"/>
    </xf>
    <xf borderId="15" fillId="0" fontId="10" numFmtId="49" xfId="0" applyAlignment="1" applyBorder="1" applyFont="1" applyNumberFormat="1">
      <alignment horizontal="center" readingOrder="0" vertical="center"/>
    </xf>
    <xf borderId="10" fillId="0" fontId="5" numFmtId="3" xfId="0" applyAlignment="1" applyBorder="1" applyFont="1" applyNumberFormat="1">
      <alignment readingOrder="0" shrinkToFit="0" vertical="center" wrapText="1"/>
    </xf>
    <xf borderId="10" fillId="0" fontId="5" numFmtId="3" xfId="0" applyAlignment="1" applyBorder="1" applyFont="1" applyNumberFormat="1">
      <alignment shrinkToFit="0" vertical="center" wrapText="1"/>
    </xf>
    <xf borderId="10" fillId="0" fontId="5" numFmtId="0" xfId="0" applyAlignment="1" applyBorder="1" applyFont="1">
      <alignment readingOrder="0" shrinkToFit="0" vertical="center" wrapText="1"/>
    </xf>
    <xf borderId="10" fillId="0" fontId="11" numFmtId="0" xfId="0" applyAlignment="1" applyBorder="1" applyFont="1">
      <alignment readingOrder="0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4" fillId="0" fontId="6" numFmtId="0" xfId="0" applyAlignment="1" applyBorder="1" applyFont="1">
      <alignment shrinkToFit="0" vertical="center" wrapText="1"/>
    </xf>
    <xf borderId="10" fillId="0" fontId="12" numFmtId="3" xfId="0" applyAlignment="1" applyBorder="1" applyFont="1" applyNumberFormat="1">
      <alignment shrinkToFit="0" vertical="center" wrapText="1"/>
    </xf>
    <xf borderId="4" fillId="0" fontId="5" numFmtId="0" xfId="0" applyAlignment="1" applyBorder="1" applyFont="1">
      <alignment readingOrder="0" shrinkToFit="0" vertical="center" wrapText="1"/>
    </xf>
    <xf borderId="4" fillId="0" fontId="6" numFmtId="0" xfId="0" applyAlignment="1" applyBorder="1" applyFont="1">
      <alignment horizontal="right" shrinkToFit="0" vertical="center" wrapText="1"/>
    </xf>
    <xf borderId="4" fillId="0" fontId="5" numFmtId="165" xfId="0" applyAlignment="1" applyBorder="1" applyFont="1" applyNumberFormat="1">
      <alignment horizontal="center" shrinkToFit="0" vertical="center" wrapText="1"/>
    </xf>
    <xf borderId="4" fillId="0" fontId="6" numFmtId="3" xfId="0" applyAlignment="1" applyBorder="1" applyFont="1" applyNumberFormat="1">
      <alignment horizontal="right" shrinkToFit="0" vertical="center" wrapText="1"/>
    </xf>
    <xf borderId="7" fillId="0" fontId="3" numFmtId="0" xfId="0" applyAlignment="1" applyBorder="1" applyFont="1">
      <alignment shrinkToFit="0" vertical="center" wrapText="1"/>
    </xf>
    <xf borderId="16" fillId="0" fontId="4" numFmtId="0" xfId="0" applyAlignment="1" applyBorder="1" applyFont="1">
      <alignment vertical="center"/>
    </xf>
    <xf borderId="4" fillId="0" fontId="5" numFmtId="0" xfId="0" applyAlignment="1" applyBorder="1" applyFont="1">
      <alignment horizontal="center" shrinkToFit="0" vertical="center" wrapText="1"/>
    </xf>
    <xf borderId="4" fillId="0" fontId="5" numFmtId="166" xfId="0" applyAlignment="1" applyBorder="1" applyFont="1" applyNumberFormat="1">
      <alignment shrinkToFit="0" vertical="center" wrapText="1"/>
    </xf>
    <xf borderId="4" fillId="0" fontId="6" numFmtId="3" xfId="0" applyAlignment="1" applyBorder="1" applyFont="1" applyNumberFormat="1">
      <alignment shrinkToFit="0" vertical="center" wrapText="1"/>
    </xf>
    <xf borderId="4" fillId="0" fontId="5" numFmtId="0" xfId="0" applyAlignment="1" applyBorder="1" applyFont="1">
      <alignment horizontal="right" shrinkToFit="0" vertical="center" wrapText="1"/>
    </xf>
    <xf borderId="4" fillId="0" fontId="5" numFmtId="166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vertical="center"/>
    </xf>
    <xf borderId="0" fillId="0" fontId="5" numFmtId="165" xfId="0" applyAlignment="1" applyFont="1" applyNumberFormat="1">
      <alignment vertical="center"/>
    </xf>
    <xf borderId="0" fillId="0" fontId="13" numFmtId="165" xfId="0" applyAlignment="1" applyFont="1" applyNumberFormat="1">
      <alignment vertical="center"/>
    </xf>
    <xf borderId="1" fillId="0" fontId="8" numFmtId="168" xfId="0" applyAlignment="1" applyBorder="1" applyFont="1" applyNumberFormat="1">
      <alignment horizontal="center" readingOrder="0" vertical="center"/>
    </xf>
    <xf borderId="1" fillId="0" fontId="14" numFmtId="49" xfId="0" applyAlignment="1" applyBorder="1" applyFont="1" applyNumberFormat="1">
      <alignment readingOrder="0" vertical="center"/>
    </xf>
    <xf borderId="15" fillId="0" fontId="8" numFmtId="49" xfId="0" applyAlignment="1" applyBorder="1" applyFont="1" applyNumberFormat="1">
      <alignment readingOrder="0" vertical="center"/>
    </xf>
    <xf borderId="1" fillId="0" fontId="8" numFmtId="168" xfId="0" applyAlignment="1" applyBorder="1" applyFont="1" applyNumberFormat="1">
      <alignment horizontal="center" vertical="center"/>
    </xf>
    <xf borderId="1" fillId="0" fontId="10" numFmtId="49" xfId="0" applyAlignment="1" applyBorder="1" applyFont="1" applyNumberFormat="1">
      <alignment horizontal="center" vertical="center"/>
    </xf>
    <xf borderId="1" fillId="0" fontId="8" numFmtId="49" xfId="0" applyAlignment="1" applyBorder="1" applyFont="1" applyNumberFormat="1">
      <alignment vertical="center"/>
    </xf>
    <xf borderId="10" fillId="0" fontId="5" numFmtId="0" xfId="0" applyAlignment="1" applyBorder="1" applyFont="1">
      <alignment shrinkToFit="0" vertical="center" wrapText="1"/>
    </xf>
    <xf borderId="0" fillId="0" fontId="5" numFmtId="166" xfId="0" applyAlignment="1" applyFont="1" applyNumberFormat="1">
      <alignment vertical="center"/>
    </xf>
    <xf borderId="1" fillId="2" fontId="8" numFmtId="167" xfId="0" applyAlignment="1" applyBorder="1" applyFont="1" applyNumberFormat="1">
      <alignment horizontal="right" vertical="bottom"/>
    </xf>
    <xf borderId="15" fillId="0" fontId="10" numFmtId="49" xfId="0" applyAlignment="1" applyBorder="1" applyFont="1" applyNumberFormat="1">
      <alignment horizontal="center" vertical="center"/>
    </xf>
    <xf borderId="15" fillId="0" fontId="8" numFmtId="49" xfId="0" applyAlignment="1" applyBorder="1" applyFont="1" applyNumberFormat="1">
      <alignment vertical="center"/>
    </xf>
    <xf borderId="1" fillId="0" fontId="15" numFmtId="49" xfId="0" applyAlignment="1" applyBorder="1" applyFont="1" applyNumberFormat="1">
      <alignment vertical="center"/>
    </xf>
    <xf borderId="3" fillId="0" fontId="6" numFmtId="0" xfId="0" applyAlignment="1" applyBorder="1" applyFont="1">
      <alignment horizontal="center" shrinkToFit="0" vertical="center" wrapText="1"/>
    </xf>
    <xf borderId="5" fillId="0" fontId="5" numFmtId="3" xfId="0" applyAlignment="1" applyBorder="1" applyFont="1" applyNumberFormat="1">
      <alignment shrinkToFit="0" vertical="center" wrapText="1"/>
    </xf>
    <xf borderId="5" fillId="0" fontId="5" numFmtId="0" xfId="0" applyAlignment="1" applyBorder="1" applyFont="1">
      <alignment shrinkToFit="0" vertical="center" wrapText="1"/>
    </xf>
    <xf borderId="10" fillId="0" fontId="16" numFmtId="0" xfId="0" applyAlignment="1" applyBorder="1" applyFont="1">
      <alignment shrinkToFit="0" vertical="center" wrapText="1"/>
    </xf>
    <xf borderId="1" fillId="0" fontId="10" numFmtId="0" xfId="0" applyAlignment="1" applyBorder="1" applyFont="1">
      <alignment horizontal="center" readingOrder="0" vertical="center"/>
    </xf>
    <xf borderId="4" fillId="0" fontId="5" numFmtId="166" xfId="0" applyAlignment="1" applyBorder="1" applyFont="1" applyNumberFormat="1">
      <alignment horizontal="center" readingOrder="0" shrinkToFit="0" vertical="center" wrapText="1"/>
    </xf>
    <xf borderId="1" fillId="0" fontId="10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shrinkToFit="0" vertical="center" wrapText="1"/>
    </xf>
    <xf borderId="1" fillId="0" fontId="5" numFmtId="166" xfId="0" applyAlignment="1" applyBorder="1" applyFont="1" applyNumberFormat="1">
      <alignment horizontal="center" shrinkToFit="0" vertical="center" wrapText="1"/>
    </xf>
    <xf borderId="1" fillId="0" fontId="5" numFmtId="3" xfId="0" applyAlignment="1" applyBorder="1" applyFont="1" applyNumberFormat="1">
      <alignment shrinkToFit="0" vertical="center" wrapText="1"/>
    </xf>
    <xf borderId="1" fillId="0" fontId="5" numFmtId="0" xfId="0" applyAlignment="1" applyBorder="1" applyFont="1">
      <alignment shrinkToFit="0" vertical="center" wrapText="1"/>
    </xf>
    <xf borderId="3" fillId="0" fontId="3" numFmtId="49" xfId="0" applyAlignment="1" applyBorder="1" applyFont="1" applyNumberFormat="1">
      <alignment shrinkToFit="0" vertical="center" wrapText="1"/>
    </xf>
    <xf borderId="10" fillId="0" fontId="6" numFmtId="49" xfId="0" applyAlignment="1" applyBorder="1" applyFont="1" applyNumberFormat="1">
      <alignment shrinkToFit="0" vertical="center" wrapText="1"/>
    </xf>
    <xf borderId="9" fillId="0" fontId="6" numFmtId="49" xfId="0" applyAlignment="1" applyBorder="1" applyFont="1" applyNumberFormat="1">
      <alignment horizontal="center" shrinkToFit="0" vertical="center" wrapText="1"/>
    </xf>
    <xf borderId="10" fillId="0" fontId="6" numFmtId="49" xfId="0" applyAlignment="1" applyBorder="1" applyFont="1" applyNumberFormat="1">
      <alignment horizontal="left" shrinkToFit="0" vertical="center" wrapText="1"/>
    </xf>
    <xf borderId="10" fillId="0" fontId="6" numFmtId="49" xfId="0" applyAlignment="1" applyBorder="1" applyFont="1" applyNumberFormat="1">
      <alignment horizontal="center" readingOrder="0" shrinkToFit="0" vertical="center" wrapText="1"/>
    </xf>
    <xf borderId="1" fillId="0" fontId="5" numFmtId="166" xfId="0" applyAlignment="1" applyBorder="1" applyFont="1" applyNumberFormat="1">
      <alignment horizontal="center" readingOrder="0" shrinkToFit="0" vertical="center" wrapText="1"/>
    </xf>
    <xf borderId="1" fillId="0" fontId="5" numFmtId="3" xfId="0" applyAlignment="1" applyBorder="1" applyFont="1" applyNumberFormat="1">
      <alignment readingOrder="0" shrinkToFit="0" vertical="center" wrapText="1"/>
    </xf>
    <xf borderId="1" fillId="0" fontId="6" numFmtId="49" xfId="0" applyAlignment="1" applyBorder="1" applyFont="1" applyNumberFormat="1">
      <alignment horizontal="center"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5" fillId="0" fontId="5" numFmtId="3" xfId="0" applyAlignment="1" applyBorder="1" applyFont="1" applyNumberFormat="1">
      <alignment readingOrder="0" shrinkToFit="0" vertical="center" wrapText="1"/>
    </xf>
    <xf borderId="4" fillId="0" fontId="6" numFmtId="49" xfId="0" applyAlignment="1" applyBorder="1" applyFont="1" applyNumberFormat="1">
      <alignment horizontal="center" readingOrder="0" shrinkToFit="0" vertical="center" wrapText="1"/>
    </xf>
    <xf borderId="3" fillId="0" fontId="6" numFmtId="49" xfId="0" applyAlignment="1" applyBorder="1" applyFont="1" applyNumberFormat="1">
      <alignment horizontal="center" readingOrder="0" shrinkToFit="0" vertical="center" wrapText="1"/>
    </xf>
    <xf borderId="4" fillId="0" fontId="6" numFmtId="49" xfId="0" applyAlignment="1" applyBorder="1" applyFont="1" applyNumberFormat="1">
      <alignment horizontal="left" shrinkToFit="0" vertical="center" wrapText="1"/>
    </xf>
    <xf borderId="0" fillId="0" fontId="5" numFmtId="49" xfId="0" applyAlignment="1" applyFont="1" applyNumberFormat="1">
      <alignment shrinkToFit="0" vertical="center" wrapText="1"/>
    </xf>
    <xf borderId="4" fillId="0" fontId="5" numFmtId="49" xfId="0" applyAlignment="1" applyBorder="1" applyFont="1" applyNumberFormat="1">
      <alignment shrinkToFit="0" vertical="center" wrapText="1"/>
    </xf>
    <xf borderId="4" fillId="0" fontId="6" numFmtId="49" xfId="0" applyAlignment="1" applyBorder="1" applyFont="1" applyNumberFormat="1">
      <alignment shrinkToFit="0" vertical="center" wrapText="1"/>
    </xf>
    <xf borderId="7" fillId="0" fontId="3" numFmtId="49" xfId="0" applyAlignment="1" applyBorder="1" applyFont="1" applyNumberFormat="1">
      <alignment shrinkToFit="0" vertical="center" wrapText="1"/>
    </xf>
    <xf borderId="4" fillId="0" fontId="6" numFmtId="49" xfId="0" applyAlignment="1" applyBorder="1" applyFont="1" applyNumberFormat="1">
      <alignment horizontal="center" shrinkToFit="0" vertical="center" wrapText="1"/>
    </xf>
    <xf borderId="4" fillId="0" fontId="6" numFmtId="3" xfId="0" applyAlignment="1" applyBorder="1" applyFont="1" applyNumberFormat="1">
      <alignment readingOrder="0" shrinkToFit="0" vertical="center" wrapText="1"/>
    </xf>
    <xf borderId="0" fillId="0" fontId="5" numFmtId="49" xfId="0" applyAlignment="1" applyFont="1" applyNumberFormat="1">
      <alignment vertical="center"/>
    </xf>
    <xf borderId="0" fillId="0" fontId="13" numFmtId="49" xfId="0" applyAlignment="1" applyFont="1" applyNumberFormat="1">
      <alignment vertical="center"/>
    </xf>
    <xf borderId="0" fillId="0" fontId="13" numFmtId="167" xfId="0" applyAlignment="1" applyFont="1" applyNumberFormat="1">
      <alignment vertical="center"/>
    </xf>
    <xf borderId="0" fillId="0" fontId="3" numFmtId="49" xfId="0" applyAlignment="1" applyFont="1" applyNumberFormat="1">
      <alignment readingOrder="0" shrinkToFit="0" vertical="center" wrapText="1"/>
    </xf>
    <xf borderId="1" fillId="3" fontId="17" numFmtId="0" xfId="0" applyAlignment="1" applyBorder="1" applyFill="1" applyFont="1">
      <alignment horizontal="center" readingOrder="0" vertical="center"/>
    </xf>
    <xf borderId="1" fillId="3" fontId="17" numFmtId="0" xfId="0" applyAlignment="1" applyBorder="1" applyFont="1">
      <alignment horizontal="center" readingOrder="0" shrinkToFit="0" vertical="center" wrapText="1"/>
    </xf>
    <xf borderId="6" fillId="0" fontId="6" numFmtId="49" xfId="0" applyAlignment="1" applyBorder="1" applyFont="1" applyNumberFormat="1">
      <alignment horizontal="left" shrinkToFit="0" vertical="center" wrapText="1"/>
    </xf>
    <xf borderId="17" fillId="0" fontId="13" numFmtId="0" xfId="0" applyAlignment="1" applyBorder="1" applyFont="1">
      <alignment horizontal="center" readingOrder="0" shrinkToFit="0" vertical="center" wrapText="1"/>
    </xf>
    <xf borderId="1" fillId="0" fontId="13" numFmtId="166" xfId="0" applyAlignment="1" applyBorder="1" applyFont="1" applyNumberFormat="1">
      <alignment readingOrder="0" vertical="center"/>
    </xf>
    <xf borderId="1" fillId="0" fontId="13" numFmtId="0" xfId="0" applyAlignment="1" applyBorder="1" applyFont="1">
      <alignment vertical="center"/>
    </xf>
    <xf borderId="1" fillId="0" fontId="13" numFmtId="3" xfId="0" applyAlignment="1" applyBorder="1" applyFont="1" applyNumberFormat="1">
      <alignment vertical="center"/>
    </xf>
    <xf borderId="1" fillId="0" fontId="13" numFmtId="0" xfId="0" applyAlignment="1" applyBorder="1" applyFont="1">
      <alignment readingOrder="0" vertical="center"/>
    </xf>
    <xf borderId="1" fillId="0" fontId="5" numFmtId="0" xfId="0" applyAlignment="1" applyBorder="1" applyFont="1">
      <alignment horizontal="center" readingOrder="0" shrinkToFit="0" vertical="center" wrapText="1"/>
    </xf>
    <xf borderId="7" fillId="0" fontId="5" numFmtId="3" xfId="0" applyAlignment="1" applyBorder="1" applyFont="1" applyNumberFormat="1">
      <alignment readingOrder="0" shrinkToFit="0" vertical="center" wrapText="1"/>
    </xf>
    <xf borderId="8" fillId="0" fontId="5" numFmtId="0" xfId="0" applyAlignment="1" applyBorder="1" applyFont="1">
      <alignment readingOrder="0" shrinkToFit="0" vertical="center" wrapText="1"/>
    </xf>
    <xf borderId="18" fillId="0" fontId="4" numFmtId="0" xfId="0" applyAlignment="1" applyBorder="1" applyFont="1">
      <alignment vertical="center"/>
    </xf>
    <xf borderId="1" fillId="0" fontId="13" numFmtId="3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horizontal="center" readingOrder="0" shrinkToFit="0" vertical="center" wrapText="1"/>
    </xf>
    <xf borderId="14" fillId="0" fontId="4" numFmtId="0" xfId="0" applyAlignment="1" applyBorder="1" applyFont="1">
      <alignment vertical="center"/>
    </xf>
    <xf borderId="19" fillId="0" fontId="18" numFmtId="0" xfId="0" applyAlignment="1" applyBorder="1" applyFont="1">
      <alignment readingOrder="0" vertical="center"/>
    </xf>
    <xf borderId="15" fillId="0" fontId="4" numFmtId="0" xfId="0" applyAlignment="1" applyBorder="1" applyFont="1">
      <alignment vertical="center"/>
    </xf>
    <xf borderId="1" fillId="0" fontId="18" numFmtId="3" xfId="0" applyAlignment="1" applyBorder="1" applyFont="1" applyNumberFormat="1">
      <alignment vertical="center"/>
    </xf>
    <xf borderId="1" fillId="0" fontId="18" numFmtId="0" xfId="0" applyAlignment="1" applyBorder="1" applyFont="1">
      <alignment vertical="center"/>
    </xf>
    <xf borderId="20" fillId="0" fontId="5" numFmtId="0" xfId="0" applyAlignment="1" applyBorder="1" applyFont="1">
      <alignment readingOrder="0" shrinkToFit="0" vertical="center" wrapText="1"/>
    </xf>
    <xf borderId="1" fillId="0" fontId="6" numFmtId="49" xfId="0" applyAlignment="1" applyBorder="1" applyFont="1" applyNumberFormat="1">
      <alignment horizontal="left" shrinkToFit="0" vertical="center" wrapText="1"/>
    </xf>
    <xf borderId="21" fillId="0" fontId="5" numFmtId="0" xfId="0" applyAlignment="1" applyBorder="1" applyFont="1">
      <alignment readingOrder="0" shrinkToFit="0" vertical="center" wrapText="1"/>
    </xf>
    <xf borderId="1" fillId="0" fontId="13" numFmtId="169" xfId="0" applyAlignment="1" applyBorder="1" applyFont="1" applyNumberFormat="1">
      <alignment vertical="center"/>
    </xf>
    <xf borderId="0" fillId="0" fontId="19" numFmtId="0" xfId="0" applyAlignment="1" applyFont="1">
      <alignment readingOrder="0" vertical="center"/>
    </xf>
    <xf borderId="6" fillId="0" fontId="5" numFmtId="3" xfId="0" applyAlignment="1" applyBorder="1" applyFont="1" applyNumberFormat="1">
      <alignment readingOrder="0" shrinkToFit="0" vertical="center" wrapText="1"/>
    </xf>
    <xf borderId="0" fillId="0" fontId="13" numFmtId="3" xfId="0" applyAlignment="1" applyFont="1" applyNumberFormat="1">
      <alignment readingOrder="0" vertical="center"/>
    </xf>
    <xf borderId="9" fillId="0" fontId="5" numFmtId="3" xfId="0" applyAlignment="1" applyBorder="1" applyFont="1" applyNumberForma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b="0">
                <a:solidFill>
                  <a:srgbClr val="757575"/>
                </a:solidFill>
                <a:latin typeface="Arial"/>
              </a:rPr>
              <a:t>Theo dõi theo từng tháng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'Năm'!$D$1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'Năm'!$A$2:$A$13</c:f>
            </c:strRef>
          </c:cat>
          <c:val>
            <c:numRef>
              <c:f>'Năm'!$D$2:$D$13</c:f>
              <c:numCache/>
            </c:numRef>
          </c:val>
        </c:ser>
        <c:ser>
          <c:idx val="1"/>
          <c:order val="1"/>
          <c:tx>
            <c:strRef>
              <c:f>'Năm'!$E$1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'Năm'!$A$2:$A$13</c:f>
            </c:strRef>
          </c:cat>
          <c:val>
            <c:numRef>
              <c:f>'Năm'!$E$2:$E$13</c:f>
              <c:numCache/>
            </c:numRef>
          </c:val>
        </c:ser>
        <c:ser>
          <c:idx val="2"/>
          <c:order val="2"/>
          <c:tx>
            <c:strRef>
              <c:f>'Năm'!$G$1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'Năm'!$A$2:$A$13</c:f>
            </c:strRef>
          </c:cat>
          <c:val>
            <c:numRef>
              <c:f>'Năm'!$G$2:$G$13</c:f>
              <c:numCache/>
            </c:numRef>
          </c:val>
        </c:ser>
        <c:axId val="500407659"/>
        <c:axId val="2091845173"/>
      </c:bar3DChart>
      <c:catAx>
        <c:axId val="5004076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Năm 2025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2091845173"/>
      </c:catAx>
      <c:valAx>
        <c:axId val="20918451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#,##0.00\ [$đ-42A]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5004076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76200</xdr:colOff>
      <xdr:row>1</xdr:row>
      <xdr:rowOff>0</xdr:rowOff>
    </xdr:from>
    <xdr:ext cx="6162675" cy="3810000"/>
    <xdr:graphicFrame>
      <xdr:nvGraphicFramePr>
        <xdr:cNvPr id="1814624651" name="Chart 1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bds.com/" TargetMode="External"/><Relationship Id="rId2" Type="http://schemas.openxmlformats.org/officeDocument/2006/relationships/hyperlink" Target="http://bds.com/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bds.com/" TargetMode="External"/><Relationship Id="rId2" Type="http://schemas.openxmlformats.org/officeDocument/2006/relationships/hyperlink" Target="http://bds.com/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bds.com/" TargetMode="External"/><Relationship Id="rId2" Type="http://schemas.openxmlformats.org/officeDocument/2006/relationships/hyperlink" Target="http://bds.com/" TargetMode="External"/><Relationship Id="rId3" Type="http://schemas.openxmlformats.org/officeDocument/2006/relationships/hyperlink" Target="http://bds.com/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bds.com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8.29"/>
    <col customWidth="1" min="2" max="2" width="15.14"/>
    <col customWidth="1" min="3" max="7" width="20.0"/>
  </cols>
  <sheetData>
    <row r="1" ht="25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25.5" customHeight="1">
      <c r="A2" s="5" t="s">
        <v>7</v>
      </c>
      <c r="B2" s="6" t="s">
        <v>8</v>
      </c>
      <c r="C2" s="5">
        <v>0.0</v>
      </c>
      <c r="D2" s="5">
        <f>'T1'!C7</f>
        <v>299439459</v>
      </c>
      <c r="E2" s="5">
        <f>'T1'!$D$7</f>
        <v>259193146</v>
      </c>
      <c r="F2" s="5">
        <f t="shared" ref="F2:F13" si="1">C2+D2-E2</f>
        <v>40246313</v>
      </c>
      <c r="G2" s="5">
        <f t="shared" ref="G2:G13" si="2">D2-E2</f>
        <v>40246313</v>
      </c>
      <c r="H2" s="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25.5" customHeight="1">
      <c r="A3" s="5" t="s">
        <v>9</v>
      </c>
      <c r="B3" s="6" t="s">
        <v>10</v>
      </c>
      <c r="C3" s="5">
        <f t="shared" ref="C3:C13" si="3">F2</f>
        <v>40246313</v>
      </c>
      <c r="D3" s="5">
        <f>'T2'!C7</f>
        <v>83099693</v>
      </c>
      <c r="E3" s="5">
        <f>'T2'!$D$7</f>
        <v>142261299</v>
      </c>
      <c r="F3" s="5">
        <f t="shared" si="1"/>
        <v>-18915293</v>
      </c>
      <c r="G3" s="5">
        <f t="shared" si="2"/>
        <v>-59161606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25.5" customHeight="1">
      <c r="A4" s="5" t="s">
        <v>11</v>
      </c>
      <c r="B4" s="6" t="s">
        <v>10</v>
      </c>
      <c r="C4" s="5">
        <f t="shared" si="3"/>
        <v>-18915293</v>
      </c>
      <c r="D4" s="5">
        <f>'T3'!C7</f>
        <v>490340000</v>
      </c>
      <c r="E4" s="5">
        <f>'T3'!$D$7</f>
        <v>96449060</v>
      </c>
      <c r="F4" s="5">
        <f t="shared" si="1"/>
        <v>374975647</v>
      </c>
      <c r="G4" s="5">
        <f t="shared" si="2"/>
        <v>393890940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25.5" customHeight="1">
      <c r="A5" s="5" t="s">
        <v>12</v>
      </c>
      <c r="B5" s="6" t="s">
        <v>10</v>
      </c>
      <c r="C5" s="5">
        <f t="shared" si="3"/>
        <v>374975647</v>
      </c>
      <c r="D5" s="5">
        <f>'T4'!C7</f>
        <v>0</v>
      </c>
      <c r="E5" s="5">
        <f>'T4'!$D$7</f>
        <v>77759355</v>
      </c>
      <c r="F5" s="5">
        <f t="shared" si="1"/>
        <v>297216292</v>
      </c>
      <c r="G5" s="5">
        <f t="shared" si="2"/>
        <v>-77759355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25.5" customHeight="1">
      <c r="A6" s="5" t="s">
        <v>13</v>
      </c>
      <c r="B6" s="6" t="s">
        <v>10</v>
      </c>
      <c r="C6" s="5">
        <f t="shared" si="3"/>
        <v>297216292</v>
      </c>
      <c r="D6" s="5">
        <f>'T5'!C7</f>
        <v>0</v>
      </c>
      <c r="E6" s="5">
        <f>'T5'!$D$7</f>
        <v>96031632</v>
      </c>
      <c r="F6" s="5">
        <f t="shared" si="1"/>
        <v>201184660</v>
      </c>
      <c r="G6" s="5">
        <f t="shared" si="2"/>
        <v>-96031632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25.5" customHeight="1">
      <c r="A7" s="5" t="s">
        <v>14</v>
      </c>
      <c r="B7" s="6" t="s">
        <v>10</v>
      </c>
      <c r="C7" s="5">
        <f t="shared" si="3"/>
        <v>201184660</v>
      </c>
      <c r="D7" s="8">
        <f>'T6'!C7</f>
        <v>30000000</v>
      </c>
      <c r="E7" s="5">
        <f>'T6'!$D$7</f>
        <v>147431580</v>
      </c>
      <c r="F7" s="5">
        <f t="shared" si="1"/>
        <v>83753080</v>
      </c>
      <c r="G7" s="5">
        <f t="shared" si="2"/>
        <v>-117431580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25.5" customHeight="1">
      <c r="A8" s="5" t="s">
        <v>15</v>
      </c>
      <c r="B8" s="6" t="s">
        <v>10</v>
      </c>
      <c r="C8" s="5">
        <f t="shared" si="3"/>
        <v>83753080</v>
      </c>
      <c r="D8" s="8">
        <f>'T7'!C7</f>
        <v>418072941</v>
      </c>
      <c r="E8" s="5">
        <f>'T7'!$D$7</f>
        <v>222170084</v>
      </c>
      <c r="F8" s="5">
        <f t="shared" si="1"/>
        <v>279655937</v>
      </c>
      <c r="G8" s="5">
        <f t="shared" si="2"/>
        <v>195902857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25.5" customHeight="1">
      <c r="A9" s="5" t="s">
        <v>16</v>
      </c>
      <c r="B9" s="6" t="s">
        <v>10</v>
      </c>
      <c r="C9" s="5">
        <f t="shared" si="3"/>
        <v>279655937</v>
      </c>
      <c r="D9" s="5">
        <f>'T8'!C7</f>
        <v>69942464</v>
      </c>
      <c r="E9" s="5">
        <f>'T8'!$D$7</f>
        <v>408832810</v>
      </c>
      <c r="F9" s="5">
        <f t="shared" si="1"/>
        <v>-59234409</v>
      </c>
      <c r="G9" s="5">
        <f t="shared" si="2"/>
        <v>-338890346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25.5" customHeight="1">
      <c r="A10" s="5" t="s">
        <v>17</v>
      </c>
      <c r="B10" s="6" t="s">
        <v>10</v>
      </c>
      <c r="C10" s="5">
        <f t="shared" si="3"/>
        <v>-59234409</v>
      </c>
      <c r="D10" s="5">
        <f>'T9'!C7</f>
        <v>100000000</v>
      </c>
      <c r="E10" s="5">
        <f>'T1'!$D$7</f>
        <v>259193146</v>
      </c>
      <c r="F10" s="5">
        <f t="shared" si="1"/>
        <v>-218427555</v>
      </c>
      <c r="G10" s="5">
        <f t="shared" si="2"/>
        <v>-159193146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25.5" customHeight="1">
      <c r="A11" s="5" t="s">
        <v>18</v>
      </c>
      <c r="B11" s="6" t="s">
        <v>10</v>
      </c>
      <c r="C11" s="5">
        <f t="shared" si="3"/>
        <v>-218427555</v>
      </c>
      <c r="D11" s="5">
        <f>'T10'!C7</f>
        <v>472747966</v>
      </c>
      <c r="E11" s="5">
        <f>'T1'!$D$7</f>
        <v>259193146</v>
      </c>
      <c r="F11" s="5">
        <f t="shared" si="1"/>
        <v>-4872735</v>
      </c>
      <c r="G11" s="5">
        <f t="shared" si="2"/>
        <v>213554820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25.5" customHeight="1">
      <c r="A12" s="5" t="s">
        <v>19</v>
      </c>
      <c r="B12" s="6" t="s">
        <v>10</v>
      </c>
      <c r="C12" s="5">
        <f t="shared" si="3"/>
        <v>-4872735</v>
      </c>
      <c r="D12" s="5">
        <f>'T11'!C7</f>
        <v>158028579</v>
      </c>
      <c r="E12" s="5">
        <f>'T1'!$D$7</f>
        <v>259193146</v>
      </c>
      <c r="F12" s="5">
        <f t="shared" si="1"/>
        <v>-106037302</v>
      </c>
      <c r="G12" s="5">
        <f t="shared" si="2"/>
        <v>-101164567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25.5" customHeight="1">
      <c r="A13" s="5" t="s">
        <v>20</v>
      </c>
      <c r="B13" s="6" t="s">
        <v>10</v>
      </c>
      <c r="C13" s="5">
        <f t="shared" si="3"/>
        <v>-106037302</v>
      </c>
      <c r="D13" s="5">
        <f>'T12'!C7</f>
        <v>295697978</v>
      </c>
      <c r="E13" s="5">
        <f>'T1'!$D$7</f>
        <v>259193146</v>
      </c>
      <c r="F13" s="5">
        <f t="shared" si="1"/>
        <v>-69532470</v>
      </c>
      <c r="G13" s="5">
        <f t="shared" si="2"/>
        <v>36504832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4"/>
      <c r="B14" s="9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4"/>
      <c r="B15" s="9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4"/>
      <c r="B16" s="9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4"/>
      <c r="B17" s="9"/>
      <c r="C17" s="4"/>
      <c r="D17" s="4"/>
      <c r="E17" s="4"/>
      <c r="F17" s="4"/>
      <c r="G17" s="10" t="s">
        <v>21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4"/>
      <c r="B18" s="9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4"/>
      <c r="B19" s="9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4"/>
      <c r="B20" s="9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4"/>
      <c r="B21" s="9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4"/>
      <c r="B22" s="9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4"/>
      <c r="B23" s="9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4"/>
      <c r="B24" s="9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4"/>
      <c r="B25" s="9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4"/>
      <c r="B26" s="9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4"/>
      <c r="B27" s="9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4"/>
      <c r="B28" s="9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4"/>
      <c r="B29" s="9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4"/>
      <c r="B30" s="9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4"/>
      <c r="B31" s="9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4"/>
      <c r="B32" s="9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4"/>
      <c r="B33" s="9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4"/>
      <c r="B34" s="9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4"/>
      <c r="B35" s="9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4"/>
      <c r="B36" s="9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4"/>
      <c r="B37" s="9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4"/>
      <c r="B38" s="9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4"/>
      <c r="B39" s="9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4"/>
      <c r="B40" s="9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4"/>
      <c r="B41" s="9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4"/>
      <c r="B42" s="9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4"/>
      <c r="B43" s="9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4"/>
      <c r="B44" s="9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4"/>
      <c r="B45" s="9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4"/>
      <c r="B46" s="9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4"/>
      <c r="B47" s="9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4"/>
      <c r="B48" s="9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4"/>
      <c r="B49" s="9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4"/>
      <c r="B50" s="9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4"/>
      <c r="B51" s="9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4"/>
      <c r="B52" s="9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4"/>
      <c r="B53" s="9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4"/>
      <c r="B54" s="9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4"/>
      <c r="B55" s="9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4"/>
      <c r="B56" s="9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4"/>
      <c r="B57" s="9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4"/>
      <c r="B58" s="9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4"/>
      <c r="B59" s="9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4"/>
      <c r="B60" s="9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4"/>
      <c r="B61" s="9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4"/>
      <c r="B62" s="9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4"/>
      <c r="B63" s="9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4"/>
      <c r="B64" s="9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4"/>
      <c r="B65" s="9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4"/>
      <c r="B66" s="9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4"/>
      <c r="B67" s="9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4"/>
      <c r="B68" s="9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4"/>
      <c r="B69" s="9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4"/>
      <c r="B70" s="9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4"/>
      <c r="B71" s="9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4"/>
      <c r="B72" s="9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4"/>
      <c r="B73" s="9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4"/>
      <c r="B74" s="9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4"/>
      <c r="B75" s="9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"/>
      <c r="B76" s="9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4"/>
      <c r="B77" s="9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4"/>
      <c r="B78" s="9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4"/>
      <c r="B79" s="9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4"/>
      <c r="B80" s="9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4"/>
      <c r="B81" s="9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4"/>
      <c r="B82" s="9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4"/>
      <c r="B83" s="9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4"/>
      <c r="B84" s="9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4"/>
      <c r="B85" s="9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4"/>
      <c r="B86" s="9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"/>
      <c r="B87" s="9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"/>
      <c r="B88" s="9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"/>
      <c r="B89" s="9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"/>
      <c r="B90" s="9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/>
      <c r="B91" s="9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/>
      <c r="B92" s="9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/>
      <c r="B93" s="9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/>
      <c r="B94" s="9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/>
      <c r="B95" s="9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/>
      <c r="B96" s="9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/>
      <c r="B97" s="9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/>
      <c r="B98" s="9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/>
      <c r="B99" s="9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9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9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9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9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9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9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9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9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9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9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9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9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9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9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9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9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9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9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9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9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9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9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9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9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9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9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9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9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9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9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9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9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9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9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9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9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9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9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9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9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9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9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9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9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9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9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9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9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9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9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9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9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9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9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9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9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9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9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9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9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9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9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9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9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9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9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9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9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9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9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9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9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9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9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9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9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9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9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9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9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9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9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9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9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9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9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9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9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9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9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9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9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9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9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9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9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9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9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9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9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9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9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9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9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9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9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9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9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9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9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9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9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9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9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9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9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9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9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9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9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9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9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9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9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9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9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9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9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9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9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9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9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9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9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9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9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9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9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9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9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9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9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9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9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9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9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9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9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9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9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9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9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9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9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9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9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9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9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9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9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9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9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9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9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9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9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9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9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9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9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9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9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9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9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9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9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9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9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9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9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9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9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9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9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9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9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9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9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9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9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9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9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9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9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9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9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9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9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9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9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9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9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9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9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9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9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9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9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9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9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9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9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9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9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9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9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9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9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9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9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9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9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9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9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9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9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9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9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9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9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9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9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9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9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9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9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9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9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9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9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9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9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9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9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9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9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9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9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9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9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9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9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9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9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9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9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9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9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9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9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9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9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9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9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9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9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9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9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9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9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9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9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9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9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9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9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9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9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9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9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9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9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9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9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9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9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9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9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9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9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9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9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9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9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9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9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9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9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9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9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9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9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9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9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9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9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9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9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9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9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9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9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9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9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9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9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9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9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9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9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9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9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9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9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9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9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9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9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9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9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9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9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9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9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9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9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9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9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9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9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9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9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9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9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9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9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9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9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9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9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9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9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9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9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9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9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9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9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9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9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9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9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9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9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9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9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9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9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9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9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9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9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9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9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9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9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9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9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9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9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9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9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9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9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9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9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9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9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9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9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9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9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9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9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9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9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9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9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9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9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9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9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9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9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9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9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9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9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9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9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9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9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9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9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9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9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9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9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9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9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9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9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9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9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9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9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9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9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9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9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9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9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9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9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9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9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9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9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9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9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9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9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9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9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9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9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9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9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9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9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9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9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9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9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9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9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9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9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9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9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9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9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9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9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9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9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9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9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9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9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9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9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9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9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9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9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9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9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9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9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9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9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9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9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9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9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9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9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9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9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9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9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9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9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9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9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9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9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9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9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9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9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9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9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9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9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9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9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9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9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9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9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9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9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9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9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9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9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9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9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9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9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9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9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9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9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9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9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9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9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9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9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9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9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9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9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9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9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9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9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9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9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9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9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9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9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9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9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9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9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9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9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9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9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9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9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9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9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9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9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9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9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9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9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9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9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9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9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9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9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9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9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9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9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9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9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9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9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9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9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9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9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9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9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9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9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9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9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9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9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9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9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9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9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9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9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9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9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9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9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9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9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9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9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9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9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9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9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9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9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9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9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9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9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9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9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9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9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9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9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9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9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9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9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9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9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9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9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9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9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9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9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9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9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9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9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9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9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9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9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9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9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9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9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9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9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9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9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9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9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9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9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9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9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9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9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9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9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9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9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9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9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9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9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9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9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9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9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9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9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9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9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9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9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9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9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9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9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9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9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9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9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9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9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9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9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9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9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9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9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9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9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9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9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9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9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9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9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9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9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9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9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9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9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9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9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9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9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9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9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9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9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9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9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9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9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9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9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9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9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9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9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9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9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9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9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9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9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9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9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9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9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9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9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9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9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9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9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9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9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9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9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9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9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9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9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9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9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9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9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9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9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9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9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9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9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9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9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9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9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9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9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9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9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9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9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9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9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9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9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9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9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9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9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4"/>
      <c r="B874" s="9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4"/>
      <c r="B875" s="9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4"/>
      <c r="B876" s="9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4"/>
      <c r="B877" s="9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4"/>
      <c r="B878" s="9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4"/>
      <c r="B879" s="9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4"/>
      <c r="B880" s="9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4"/>
      <c r="B881" s="9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4"/>
      <c r="B882" s="9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4"/>
      <c r="B883" s="9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4"/>
      <c r="B884" s="9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4"/>
      <c r="B885" s="9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4"/>
      <c r="B886" s="9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4"/>
      <c r="B887" s="9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4"/>
      <c r="B888" s="9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4"/>
      <c r="B889" s="9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4"/>
      <c r="B890" s="9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4"/>
      <c r="B891" s="9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4"/>
      <c r="B892" s="9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4"/>
      <c r="B893" s="9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4"/>
      <c r="B894" s="9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4"/>
      <c r="B895" s="9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4"/>
      <c r="B896" s="9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4"/>
      <c r="B897" s="9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4"/>
      <c r="B898" s="9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4"/>
      <c r="B899" s="9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4"/>
      <c r="B900" s="9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4"/>
      <c r="B901" s="9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4"/>
      <c r="B902" s="9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4"/>
      <c r="B903" s="9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4"/>
      <c r="B904" s="9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4"/>
      <c r="B905" s="9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4"/>
      <c r="B906" s="9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4"/>
      <c r="B907" s="9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4"/>
      <c r="B908" s="9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4"/>
      <c r="B909" s="9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4"/>
      <c r="B910" s="9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4"/>
      <c r="B911" s="9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4"/>
      <c r="B912" s="9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4"/>
      <c r="B913" s="9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4"/>
      <c r="B914" s="9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4"/>
      <c r="B915" s="9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4"/>
      <c r="B916" s="9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4"/>
      <c r="B917" s="9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4"/>
      <c r="B918" s="9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4"/>
      <c r="B919" s="9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4"/>
      <c r="B920" s="9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4"/>
      <c r="B921" s="9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4"/>
      <c r="B922" s="9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4"/>
      <c r="B923" s="9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4"/>
      <c r="B924" s="9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4"/>
      <c r="B925" s="9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4"/>
      <c r="B926" s="9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4"/>
      <c r="B927" s="9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4"/>
      <c r="B928" s="9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4"/>
      <c r="B929" s="9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4"/>
      <c r="B930" s="9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4"/>
      <c r="B931" s="9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4"/>
      <c r="B932" s="9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4"/>
      <c r="B933" s="9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4"/>
      <c r="B934" s="9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4"/>
      <c r="B935" s="9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4"/>
      <c r="B936" s="9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4"/>
      <c r="B937" s="9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4"/>
      <c r="B938" s="9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4"/>
      <c r="B939" s="9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4"/>
      <c r="B940" s="9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4"/>
      <c r="B941" s="9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4"/>
      <c r="B942" s="9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4"/>
      <c r="B943" s="9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4"/>
      <c r="B944" s="9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4"/>
      <c r="B945" s="9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4"/>
      <c r="B946" s="9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4"/>
      <c r="B947" s="9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4"/>
      <c r="B948" s="9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4"/>
      <c r="B949" s="9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4"/>
      <c r="B950" s="9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4"/>
      <c r="B951" s="9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4"/>
      <c r="B952" s="9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4"/>
      <c r="B953" s="9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4"/>
      <c r="B954" s="9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4"/>
      <c r="B955" s="9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4"/>
      <c r="B956" s="9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4"/>
      <c r="B957" s="9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4"/>
      <c r="B958" s="9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4"/>
      <c r="B959" s="9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4"/>
      <c r="B960" s="9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4"/>
      <c r="B961" s="9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4"/>
      <c r="B962" s="9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4"/>
      <c r="B963" s="9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4"/>
      <c r="B964" s="9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4"/>
      <c r="B965" s="9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4"/>
      <c r="B966" s="9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4"/>
      <c r="B967" s="9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4"/>
      <c r="B968" s="9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4"/>
      <c r="B969" s="9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4"/>
      <c r="B970" s="9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4"/>
      <c r="B971" s="9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4"/>
      <c r="B972" s="9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4"/>
      <c r="B973" s="9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4"/>
      <c r="B974" s="9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4"/>
      <c r="B975" s="9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4"/>
      <c r="B976" s="9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4"/>
      <c r="B977" s="9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4"/>
      <c r="B978" s="9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4"/>
      <c r="B979" s="9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4"/>
      <c r="B980" s="9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4"/>
      <c r="B981" s="9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4"/>
      <c r="B982" s="9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4"/>
      <c r="B983" s="9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4"/>
      <c r="B984" s="9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4"/>
      <c r="B985" s="9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4"/>
      <c r="B986" s="9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4"/>
      <c r="B987" s="9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4"/>
      <c r="B988" s="9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4"/>
      <c r="B989" s="9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4"/>
      <c r="B990" s="9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4"/>
      <c r="B991" s="9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4"/>
      <c r="B992" s="9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4"/>
      <c r="B993" s="9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4"/>
      <c r="B994" s="9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4"/>
      <c r="B995" s="9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>
      <c r="A996" s="4"/>
      <c r="B996" s="9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>
      <c r="A997" s="4"/>
      <c r="B997" s="9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>
      <c r="A998" s="4"/>
      <c r="B998" s="9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>
      <c r="A999" s="4"/>
      <c r="B999" s="9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>
      <c r="A1000" s="4"/>
      <c r="B1000" s="9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>
      <c r="A1001" s="4"/>
      <c r="B1001" s="9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</sheetData>
  <dataValidations>
    <dataValidation type="list" allowBlank="1" showErrorMessage="1" sqref="A2:A13">
      <formula1>"Tháng 1,Tháng 10,Tháng 11,Tháng 12,Tháng 2,Tháng 3,Tháng 4,Tháng 5,Tháng 6,Tháng 7,Tháng 8,Tháng 9"</formula1>
    </dataValidation>
    <dataValidation type="list" allowBlank="1" showErrorMessage="1" sqref="B2:B13">
      <formula1>"2025,2026"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6.0"/>
    <col customWidth="1" min="2" max="2" width="15.0"/>
    <col customWidth="1" min="3" max="4" width="17.0"/>
    <col customWidth="1" min="5" max="5" width="13.0"/>
    <col customWidth="1" min="6" max="6" width="53.71"/>
    <col customWidth="1" min="7" max="7" width="7.0"/>
    <col customWidth="1" min="8" max="8" width="14.0"/>
    <col customWidth="1" min="9" max="9" width="46.0"/>
    <col customWidth="1" min="10" max="10" width="16.0"/>
    <col customWidth="1" min="11" max="26" width="14.0"/>
  </cols>
  <sheetData>
    <row r="1" ht="18.75" customHeight="1">
      <c r="A1" s="11" t="s">
        <v>22</v>
      </c>
      <c r="F1" s="12"/>
      <c r="G1" s="13"/>
      <c r="H1" s="14" t="s">
        <v>23</v>
      </c>
      <c r="I1" s="15"/>
      <c r="J1" s="16"/>
      <c r="K1" s="13"/>
    </row>
    <row r="2" ht="18.75" customHeight="1">
      <c r="A2" s="17" t="s">
        <v>24</v>
      </c>
      <c r="G2" s="13"/>
      <c r="H2" s="18" t="s">
        <v>25</v>
      </c>
      <c r="I2" s="19" t="s">
        <v>26</v>
      </c>
      <c r="J2" s="20" t="s">
        <v>27</v>
      </c>
      <c r="K2" s="13"/>
    </row>
    <row r="3" ht="18.75" customHeight="1">
      <c r="A3" s="21" t="s">
        <v>28</v>
      </c>
      <c r="B3" s="22" t="s">
        <v>29</v>
      </c>
      <c r="C3" s="23" t="s">
        <v>30</v>
      </c>
      <c r="D3" s="24"/>
      <c r="E3" s="25" t="s">
        <v>25</v>
      </c>
      <c r="F3" s="21" t="s">
        <v>26</v>
      </c>
      <c r="G3" s="13"/>
      <c r="H3" s="26">
        <v>1.0</v>
      </c>
      <c r="I3" s="27" t="s">
        <v>31</v>
      </c>
      <c r="J3" s="28">
        <f>SUM(J4:J6)</f>
        <v>299439459</v>
      </c>
      <c r="K3" s="13"/>
    </row>
    <row r="4" ht="18.75" customHeight="1">
      <c r="A4" s="29"/>
      <c r="B4" s="29"/>
      <c r="C4" s="21" t="s">
        <v>32</v>
      </c>
      <c r="D4" s="21" t="s">
        <v>33</v>
      </c>
      <c r="E4" s="30"/>
      <c r="F4" s="29"/>
      <c r="G4" s="13"/>
      <c r="H4" s="31">
        <v>1.1</v>
      </c>
      <c r="I4" s="32" t="s">
        <v>34</v>
      </c>
      <c r="J4" s="28">
        <f>SUMIF($E$8:$E$54,1.1,$C$8:$C$45)</f>
        <v>299439459</v>
      </c>
      <c r="K4" s="13"/>
    </row>
    <row r="5" ht="18.75" customHeight="1">
      <c r="A5" s="29"/>
      <c r="B5" s="29"/>
      <c r="C5" s="33"/>
      <c r="D5" s="33"/>
      <c r="E5" s="30"/>
      <c r="F5" s="29"/>
      <c r="G5" s="13"/>
      <c r="H5" s="31">
        <v>1.2</v>
      </c>
      <c r="I5" s="32" t="s">
        <v>35</v>
      </c>
      <c r="J5" s="28">
        <f>SUMIF($E$8:$E$54,1.2,$C$8:$C$45)</f>
        <v>0</v>
      </c>
      <c r="K5" s="13"/>
    </row>
    <row r="6" ht="18.75" customHeight="1">
      <c r="A6" s="33"/>
      <c r="B6" s="33"/>
      <c r="C6" s="34"/>
      <c r="D6" s="34"/>
      <c r="E6" s="35"/>
      <c r="F6" s="33"/>
      <c r="G6" s="13"/>
      <c r="H6" s="31">
        <v>1.3</v>
      </c>
      <c r="I6" s="32" t="s">
        <v>36</v>
      </c>
      <c r="J6" s="28">
        <f>SUMIF($E$8:$E$54,1.3,$C$8:$C$45)</f>
        <v>0</v>
      </c>
      <c r="K6" s="13"/>
    </row>
    <row r="7" ht="21.75" customHeight="1">
      <c r="A7" s="36"/>
      <c r="B7" s="37"/>
      <c r="C7" s="38">
        <f t="shared" ref="C7:D7" si="1">SUM(C8:C66)</f>
        <v>299439459</v>
      </c>
      <c r="D7" s="38">
        <f t="shared" si="1"/>
        <v>259193146</v>
      </c>
      <c r="E7" s="39"/>
      <c r="F7" s="40"/>
      <c r="G7" s="40" t="s">
        <v>37</v>
      </c>
      <c r="H7" s="41"/>
      <c r="I7" s="40"/>
      <c r="J7" s="42"/>
      <c r="K7" s="40"/>
    </row>
    <row r="8" ht="18.75" customHeight="1">
      <c r="A8" s="43">
        <v>1.0</v>
      </c>
      <c r="B8" s="44">
        <v>45679.0</v>
      </c>
      <c r="C8" s="45"/>
      <c r="D8" s="46">
        <v>9000000.0</v>
      </c>
      <c r="E8" s="47" t="s">
        <v>38</v>
      </c>
      <c r="F8" s="48" t="s">
        <v>39</v>
      </c>
      <c r="G8" s="13"/>
      <c r="H8" s="26">
        <v>2.0</v>
      </c>
      <c r="I8" s="49" t="s">
        <v>40</v>
      </c>
      <c r="J8" s="28">
        <f>SUM(J9:J19)</f>
        <v>259193146</v>
      </c>
      <c r="K8" s="13"/>
    </row>
    <row r="9" ht="18.75" customHeight="1">
      <c r="A9" s="50">
        <v>2.0</v>
      </c>
      <c r="B9" s="44">
        <v>45679.0</v>
      </c>
      <c r="C9" s="45"/>
      <c r="D9" s="51">
        <v>2.8605142E7</v>
      </c>
      <c r="E9" s="47" t="s">
        <v>38</v>
      </c>
      <c r="F9" s="48" t="s">
        <v>41</v>
      </c>
      <c r="G9" s="52"/>
      <c r="H9" s="53">
        <v>2.1</v>
      </c>
      <c r="I9" s="54" t="s">
        <v>42</v>
      </c>
      <c r="J9" s="55">
        <f>SUMIF($E$8:$E$54,2.1,$D$8:$D$45)</f>
        <v>0</v>
      </c>
      <c r="K9" s="13"/>
    </row>
    <row r="10" ht="18.75" customHeight="1">
      <c r="A10" s="50">
        <v>3.0</v>
      </c>
      <c r="B10" s="44">
        <v>45663.0</v>
      </c>
      <c r="C10" s="45"/>
      <c r="D10" s="51">
        <v>1.17798939E8</v>
      </c>
      <c r="E10" s="47" t="s">
        <v>43</v>
      </c>
      <c r="F10" s="48" t="s">
        <v>44</v>
      </c>
      <c r="G10" s="52"/>
      <c r="H10" s="53">
        <v>2.2</v>
      </c>
      <c r="I10" s="54" t="s">
        <v>45</v>
      </c>
      <c r="J10" s="28">
        <f>SUMIF($E$8:$E$54,2.2,$D$8:$D$45)</f>
        <v>117798939</v>
      </c>
      <c r="K10" s="13"/>
    </row>
    <row r="11" ht="18.75" customHeight="1">
      <c r="A11" s="50">
        <v>4.0</v>
      </c>
      <c r="B11" s="44">
        <v>45663.0</v>
      </c>
      <c r="C11" s="45"/>
      <c r="D11" s="51">
        <v>4.1799387E7</v>
      </c>
      <c r="E11" s="47" t="s">
        <v>46</v>
      </c>
      <c r="F11" s="48" t="s">
        <v>47</v>
      </c>
      <c r="G11" s="52"/>
      <c r="H11" s="53">
        <v>2.3</v>
      </c>
      <c r="I11" s="54" t="s">
        <v>48</v>
      </c>
      <c r="J11" s="28">
        <f>SUMIF($E$8:$E$54,2.3,$D$8:$D$45)</f>
        <v>2000000</v>
      </c>
      <c r="K11" s="13"/>
    </row>
    <row r="12" ht="18.75" customHeight="1">
      <c r="A12" s="50">
        <v>5.0</v>
      </c>
      <c r="B12" s="44">
        <v>45666.0</v>
      </c>
      <c r="C12" s="56"/>
      <c r="D12" s="57">
        <v>1093520.0</v>
      </c>
      <c r="E12" s="47" t="s">
        <v>49</v>
      </c>
      <c r="F12" s="48" t="s">
        <v>50</v>
      </c>
      <c r="G12" s="52"/>
      <c r="H12" s="53">
        <v>2.4</v>
      </c>
      <c r="I12" s="54" t="s">
        <v>51</v>
      </c>
      <c r="J12" s="28">
        <f>SUMIF($E$8:$E$54,2.4,$D$8:$D$45)</f>
        <v>0</v>
      </c>
      <c r="K12" s="13"/>
    </row>
    <row r="13" ht="18.75" customHeight="1">
      <c r="A13" s="50">
        <v>6.0</v>
      </c>
      <c r="B13" s="44">
        <v>45679.0</v>
      </c>
      <c r="C13" s="45"/>
      <c r="D13" s="51">
        <v>1.2698616E7</v>
      </c>
      <c r="E13" s="58" t="s">
        <v>38</v>
      </c>
      <c r="F13" s="48" t="s">
        <v>52</v>
      </c>
      <c r="G13" s="52"/>
      <c r="H13" s="53">
        <v>2.5</v>
      </c>
      <c r="I13" s="54" t="s">
        <v>53</v>
      </c>
      <c r="J13" s="28">
        <f>SUMIF($E$8:$E$54,2.5,$D$8:$D$45)</f>
        <v>69501300</v>
      </c>
      <c r="K13" s="13"/>
    </row>
    <row r="14" ht="18.75" customHeight="1">
      <c r="A14" s="50">
        <v>7.0</v>
      </c>
      <c r="B14" s="44">
        <v>45679.0</v>
      </c>
      <c r="C14" s="45"/>
      <c r="D14" s="51">
        <v>1.6832542E7</v>
      </c>
      <c r="E14" s="47" t="s">
        <v>38</v>
      </c>
      <c r="F14" s="48" t="s">
        <v>54</v>
      </c>
      <c r="G14" s="52"/>
      <c r="H14" s="53">
        <v>2.6</v>
      </c>
      <c r="I14" s="54" t="s">
        <v>55</v>
      </c>
      <c r="J14" s="28">
        <f>SUMIF($E$8:$E$54,2.6,$D$8:$D$45)</f>
        <v>41799387</v>
      </c>
      <c r="K14" s="13"/>
    </row>
    <row r="15" ht="18.75" customHeight="1">
      <c r="A15" s="50">
        <v>8.0</v>
      </c>
      <c r="B15" s="44">
        <v>45660.0</v>
      </c>
      <c r="C15" s="45"/>
      <c r="D15" s="51">
        <v>1500000.0</v>
      </c>
      <c r="E15" s="47" t="s">
        <v>38</v>
      </c>
      <c r="F15" s="48" t="s">
        <v>56</v>
      </c>
      <c r="G15" s="52"/>
      <c r="H15" s="53">
        <v>2.7</v>
      </c>
      <c r="I15" s="54" t="s">
        <v>57</v>
      </c>
      <c r="J15" s="28">
        <f>SUMIF($E$8:$E$54,2.7,$D$8:$D$45)</f>
        <v>1093520</v>
      </c>
      <c r="K15" s="13"/>
    </row>
    <row r="16" ht="18.75" customHeight="1">
      <c r="A16" s="50">
        <v>9.0</v>
      </c>
      <c r="B16" s="44">
        <v>45663.0</v>
      </c>
      <c r="C16" s="57"/>
      <c r="D16" s="51">
        <v>-195000.0</v>
      </c>
      <c r="E16" s="47" t="s">
        <v>38</v>
      </c>
      <c r="F16" s="48" t="s">
        <v>58</v>
      </c>
      <c r="G16" s="52"/>
      <c r="H16" s="53">
        <v>2.8</v>
      </c>
      <c r="I16" s="54" t="s">
        <v>59</v>
      </c>
      <c r="J16" s="28">
        <f>SUMIF($E$8:$E$54,2.8,$D$8:$D$45)</f>
        <v>27000000</v>
      </c>
      <c r="K16" s="13"/>
    </row>
    <row r="17" ht="18.75" customHeight="1">
      <c r="A17" s="50">
        <v>10.0</v>
      </c>
      <c r="B17" s="44">
        <v>45663.0</v>
      </c>
      <c r="C17" s="45"/>
      <c r="D17" s="51">
        <v>2.7E7</v>
      </c>
      <c r="E17" s="47" t="s">
        <v>60</v>
      </c>
      <c r="F17" s="48" t="s">
        <v>61</v>
      </c>
      <c r="G17" s="52"/>
      <c r="H17" s="53">
        <v>2.9</v>
      </c>
      <c r="I17" s="54" t="s">
        <v>62</v>
      </c>
      <c r="J17" s="28">
        <f>SUMIF($E$8:$E$54,2.9,$D$8:$D$45)</f>
        <v>0</v>
      </c>
      <c r="K17" s="13"/>
    </row>
    <row r="18" ht="18.75" customHeight="1">
      <c r="A18" s="50">
        <v>11.0</v>
      </c>
      <c r="B18" s="44">
        <v>45660.0</v>
      </c>
      <c r="C18" s="45"/>
      <c r="D18" s="51">
        <v>1060000.0</v>
      </c>
      <c r="E18" s="47" t="s">
        <v>38</v>
      </c>
      <c r="F18" s="48" t="s">
        <v>63</v>
      </c>
      <c r="G18" s="52"/>
      <c r="H18" s="53">
        <v>2.11</v>
      </c>
      <c r="I18" s="54" t="s">
        <v>64</v>
      </c>
      <c r="J18" s="28">
        <f>SUMIF($E$8:$E$54,2.11,$D$8:$D$45)</f>
        <v>0</v>
      </c>
      <c r="K18" s="13"/>
    </row>
    <row r="19" ht="18.75" customHeight="1">
      <c r="A19" s="50">
        <v>12.0</v>
      </c>
      <c r="B19" s="44">
        <v>45664.0</v>
      </c>
      <c r="C19" s="59">
        <v>9.9919883E7</v>
      </c>
      <c r="D19" s="60"/>
      <c r="E19" s="47" t="s">
        <v>65</v>
      </c>
      <c r="F19" s="61" t="s">
        <v>66</v>
      </c>
      <c r="G19" s="52"/>
      <c r="H19" s="53">
        <v>2.12</v>
      </c>
      <c r="I19" s="54" t="s">
        <v>67</v>
      </c>
      <c r="J19" s="28">
        <f>SUMIF($E$8:$E$54,2.12,$D$8:$D$45)</f>
        <v>0</v>
      </c>
      <c r="K19" s="13"/>
    </row>
    <row r="20" ht="18.75" customHeight="1">
      <c r="A20" s="50">
        <v>13.0</v>
      </c>
      <c r="B20" s="44">
        <v>45663.0</v>
      </c>
      <c r="C20" s="60"/>
      <c r="D20" s="59">
        <v>1000000.0</v>
      </c>
      <c r="E20" s="47" t="s">
        <v>68</v>
      </c>
      <c r="F20" s="62" t="s">
        <v>69</v>
      </c>
      <c r="G20" s="52"/>
      <c r="H20" s="63">
        <v>3.0</v>
      </c>
      <c r="I20" s="64" t="s">
        <v>70</v>
      </c>
      <c r="J20" s="65">
        <f>J3-J8</f>
        <v>40246313</v>
      </c>
      <c r="K20" s="13"/>
    </row>
    <row r="21" ht="18.75" customHeight="1">
      <c r="A21" s="50">
        <v>14.0</v>
      </c>
      <c r="B21" s="44">
        <v>45671.0</v>
      </c>
      <c r="C21" s="60"/>
      <c r="D21" s="59">
        <v>1000000.0</v>
      </c>
      <c r="E21" s="47" t="s">
        <v>68</v>
      </c>
      <c r="F21" s="62" t="s">
        <v>71</v>
      </c>
      <c r="G21" s="13"/>
      <c r="H21" s="13"/>
      <c r="I21" s="13"/>
      <c r="J21" s="13"/>
      <c r="K21" s="13"/>
    </row>
    <row r="22" ht="18.75" customHeight="1">
      <c r="A22" s="50">
        <v>15.0</v>
      </c>
      <c r="B22" s="44">
        <v>45679.0</v>
      </c>
      <c r="C22" s="59">
        <v>1.1E7</v>
      </c>
      <c r="D22" s="60"/>
      <c r="E22" s="47" t="s">
        <v>65</v>
      </c>
      <c r="F22" s="66" t="s">
        <v>72</v>
      </c>
      <c r="G22" s="13"/>
      <c r="H22" s="14" t="s">
        <v>73</v>
      </c>
      <c r="I22" s="15"/>
      <c r="J22" s="16"/>
      <c r="K22" s="13"/>
    </row>
    <row r="23" ht="18.75" customHeight="1">
      <c r="A23" s="50">
        <v>16.0</v>
      </c>
      <c r="B23" s="44">
        <v>45679.0</v>
      </c>
      <c r="C23" s="59">
        <v>7.7599693E7</v>
      </c>
      <c r="D23" s="60"/>
      <c r="E23" s="47" t="s">
        <v>65</v>
      </c>
      <c r="F23" s="66" t="s">
        <v>74</v>
      </c>
      <c r="G23" s="52"/>
      <c r="H23" s="54"/>
      <c r="I23" s="64" t="s">
        <v>26</v>
      </c>
      <c r="J23" s="53" t="s">
        <v>27</v>
      </c>
      <c r="K23" s="13"/>
    </row>
    <row r="24" ht="18.75" customHeight="1">
      <c r="A24" s="50">
        <v>17.0</v>
      </c>
      <c r="B24" s="44">
        <v>45682.0</v>
      </c>
      <c r="C24" s="59">
        <v>1.10919883E8</v>
      </c>
      <c r="D24" s="60"/>
      <c r="E24" s="47" t="s">
        <v>65</v>
      </c>
      <c r="F24" s="66" t="s">
        <v>75</v>
      </c>
      <c r="G24" s="52"/>
      <c r="H24" s="64" t="s">
        <v>76</v>
      </c>
      <c r="I24" s="64" t="s">
        <v>77</v>
      </c>
      <c r="J24" s="67">
        <v>0.0</v>
      </c>
      <c r="K24" s="13"/>
    </row>
    <row r="25" ht="18.75" customHeight="1">
      <c r="A25" s="50">
        <v>18.0</v>
      </c>
      <c r="B25" s="68"/>
      <c r="C25" s="60"/>
      <c r="D25" s="60"/>
      <c r="E25" s="47"/>
      <c r="F25" s="66"/>
      <c r="G25" s="52"/>
      <c r="H25" s="64" t="s">
        <v>78</v>
      </c>
      <c r="I25" s="64" t="s">
        <v>79</v>
      </c>
      <c r="J25" s="69">
        <f>SUM(J26:J28)</f>
        <v>299439459</v>
      </c>
      <c r="K25" s="13"/>
    </row>
    <row r="26" ht="18.75" customHeight="1">
      <c r="A26" s="50">
        <v>19.0</v>
      </c>
      <c r="B26" s="68"/>
      <c r="C26" s="60"/>
      <c r="D26" s="60"/>
      <c r="E26" s="47"/>
      <c r="F26" s="54"/>
      <c r="G26" s="52"/>
      <c r="H26" s="54"/>
      <c r="I26" s="54" t="s">
        <v>80</v>
      </c>
      <c r="J26" s="69">
        <f>J3</f>
        <v>299439459</v>
      </c>
      <c r="K26" s="13"/>
    </row>
    <row r="27" ht="18.75" customHeight="1">
      <c r="A27" s="50">
        <v>20.0</v>
      </c>
      <c r="B27" s="68"/>
      <c r="C27" s="60"/>
      <c r="D27" s="60"/>
      <c r="E27" s="47"/>
      <c r="F27" s="54"/>
      <c r="G27" s="52"/>
      <c r="H27" s="54"/>
      <c r="I27" s="54" t="s">
        <v>81</v>
      </c>
      <c r="J27" s="64"/>
      <c r="K27" s="13"/>
    </row>
    <row r="28" ht="18.75" customHeight="1">
      <c r="A28" s="50">
        <v>21.0</v>
      </c>
      <c r="B28" s="68"/>
      <c r="C28" s="60"/>
      <c r="D28" s="60"/>
      <c r="E28" s="47"/>
      <c r="F28" s="54"/>
      <c r="G28" s="52"/>
      <c r="H28" s="54"/>
      <c r="I28" s="54" t="s">
        <v>82</v>
      </c>
      <c r="J28" s="64"/>
      <c r="K28" s="13"/>
    </row>
    <row r="29" ht="18.75" customHeight="1">
      <c r="A29" s="50">
        <v>22.0</v>
      </c>
      <c r="B29" s="68"/>
      <c r="C29" s="60"/>
      <c r="D29" s="60"/>
      <c r="E29" s="47"/>
      <c r="F29" s="54"/>
      <c r="G29" s="52"/>
      <c r="H29" s="64" t="s">
        <v>83</v>
      </c>
      <c r="I29" s="64" t="s">
        <v>84</v>
      </c>
      <c r="J29" s="69">
        <f>SUM(J30:J41)</f>
        <v>259193146</v>
      </c>
      <c r="K29" s="13"/>
    </row>
    <row r="30" ht="18.75" customHeight="1">
      <c r="A30" s="50">
        <v>23.0</v>
      </c>
      <c r="B30" s="68"/>
      <c r="C30" s="60"/>
      <c r="D30" s="60"/>
      <c r="E30" s="47"/>
      <c r="F30" s="54"/>
      <c r="G30" s="52"/>
      <c r="H30" s="53">
        <v>2.1</v>
      </c>
      <c r="I30" s="54" t="s">
        <v>42</v>
      </c>
      <c r="J30" s="69">
        <f>J9</f>
        <v>0</v>
      </c>
      <c r="K30" s="13"/>
    </row>
    <row r="31" ht="18.75" customHeight="1">
      <c r="A31" s="50">
        <v>24.0</v>
      </c>
      <c r="B31" s="68"/>
      <c r="C31" s="60"/>
      <c r="D31" s="60"/>
      <c r="E31" s="47"/>
      <c r="F31" s="54"/>
      <c r="G31" s="52"/>
      <c r="H31" s="31">
        <v>1.3</v>
      </c>
      <c r="I31" s="54" t="s">
        <v>85</v>
      </c>
      <c r="J31" s="67"/>
      <c r="K31" s="13"/>
    </row>
    <row r="32" ht="18.75" customHeight="1">
      <c r="A32" s="50">
        <v>25.0</v>
      </c>
      <c r="B32" s="68"/>
      <c r="C32" s="60"/>
      <c r="D32" s="60"/>
      <c r="E32" s="47"/>
      <c r="F32" s="54"/>
      <c r="G32" s="52"/>
      <c r="H32" s="53">
        <v>2.2</v>
      </c>
      <c r="I32" s="54" t="s">
        <v>45</v>
      </c>
      <c r="J32" s="69">
        <f t="shared" ref="J32:J41" si="2">J10</f>
        <v>117798939</v>
      </c>
      <c r="K32" s="13"/>
    </row>
    <row r="33" ht="18.75" customHeight="1">
      <c r="A33" s="50">
        <v>26.0</v>
      </c>
      <c r="B33" s="68"/>
      <c r="C33" s="60"/>
      <c r="D33" s="60"/>
      <c r="E33" s="47"/>
      <c r="F33" s="54"/>
      <c r="G33" s="52"/>
      <c r="H33" s="53">
        <v>2.3</v>
      </c>
      <c r="I33" s="54" t="s">
        <v>48</v>
      </c>
      <c r="J33" s="69">
        <f t="shared" si="2"/>
        <v>2000000</v>
      </c>
      <c r="K33" s="13"/>
    </row>
    <row r="34" ht="18.75" customHeight="1">
      <c r="A34" s="50">
        <v>27.0</v>
      </c>
      <c r="B34" s="68"/>
      <c r="C34" s="60"/>
      <c r="D34" s="60"/>
      <c r="E34" s="47"/>
      <c r="F34" s="54"/>
      <c r="G34" s="52"/>
      <c r="H34" s="53">
        <v>2.4</v>
      </c>
      <c r="I34" s="54" t="s">
        <v>51</v>
      </c>
      <c r="J34" s="69">
        <f t="shared" si="2"/>
        <v>0</v>
      </c>
      <c r="K34" s="13"/>
    </row>
    <row r="35" ht="18.75" customHeight="1">
      <c r="A35" s="50">
        <v>28.0</v>
      </c>
      <c r="B35" s="68"/>
      <c r="C35" s="60"/>
      <c r="D35" s="60"/>
      <c r="E35" s="47"/>
      <c r="F35" s="54"/>
      <c r="G35" s="52"/>
      <c r="H35" s="53">
        <v>2.5</v>
      </c>
      <c r="I35" s="54" t="s">
        <v>53</v>
      </c>
      <c r="J35" s="69">
        <f t="shared" si="2"/>
        <v>69501300</v>
      </c>
      <c r="K35" s="13"/>
    </row>
    <row r="36" ht="18.75" customHeight="1">
      <c r="A36" s="50">
        <v>29.0</v>
      </c>
      <c r="B36" s="68"/>
      <c r="C36" s="60"/>
      <c r="D36" s="60"/>
      <c r="E36" s="47"/>
      <c r="F36" s="54"/>
      <c r="G36" s="52"/>
      <c r="H36" s="53">
        <v>2.6</v>
      </c>
      <c r="I36" s="54" t="s">
        <v>55</v>
      </c>
      <c r="J36" s="69">
        <f t="shared" si="2"/>
        <v>41799387</v>
      </c>
      <c r="K36" s="13"/>
    </row>
    <row r="37" ht="18.75" customHeight="1">
      <c r="A37" s="50">
        <v>30.0</v>
      </c>
      <c r="B37" s="68"/>
      <c r="C37" s="60"/>
      <c r="D37" s="60"/>
      <c r="E37" s="47"/>
      <c r="F37" s="54"/>
      <c r="G37" s="52"/>
      <c r="H37" s="53">
        <v>2.7</v>
      </c>
      <c r="I37" s="54" t="s">
        <v>57</v>
      </c>
      <c r="J37" s="69">
        <f t="shared" si="2"/>
        <v>1093520</v>
      </c>
      <c r="K37" s="13"/>
    </row>
    <row r="38" ht="18.75" customHeight="1">
      <c r="A38" s="50">
        <v>31.0</v>
      </c>
      <c r="B38" s="68"/>
      <c r="C38" s="60"/>
      <c r="D38" s="60"/>
      <c r="E38" s="47"/>
      <c r="F38" s="54"/>
      <c r="G38" s="52"/>
      <c r="H38" s="53">
        <v>2.8</v>
      </c>
      <c r="I38" s="54" t="s">
        <v>59</v>
      </c>
      <c r="J38" s="69">
        <f t="shared" si="2"/>
        <v>27000000</v>
      </c>
      <c r="K38" s="13"/>
    </row>
    <row r="39" ht="18.75" customHeight="1">
      <c r="A39" s="50">
        <v>32.0</v>
      </c>
      <c r="B39" s="68"/>
      <c r="C39" s="60"/>
      <c r="D39" s="60"/>
      <c r="E39" s="47"/>
      <c r="F39" s="54"/>
      <c r="G39" s="52"/>
      <c r="H39" s="53">
        <v>2.9</v>
      </c>
      <c r="I39" s="54" t="s">
        <v>62</v>
      </c>
      <c r="J39" s="69">
        <f t="shared" si="2"/>
        <v>0</v>
      </c>
      <c r="K39" s="13"/>
    </row>
    <row r="40" ht="18.75" customHeight="1">
      <c r="A40" s="50">
        <v>33.0</v>
      </c>
      <c r="B40" s="68"/>
      <c r="C40" s="60"/>
      <c r="D40" s="60"/>
      <c r="E40" s="47"/>
      <c r="F40" s="54"/>
      <c r="G40" s="52"/>
      <c r="H40" s="53">
        <v>2.11</v>
      </c>
      <c r="I40" s="54" t="s">
        <v>64</v>
      </c>
      <c r="J40" s="69">
        <f t="shared" si="2"/>
        <v>0</v>
      </c>
      <c r="K40" s="13"/>
    </row>
    <row r="41" ht="18.75" customHeight="1">
      <c r="A41" s="50">
        <v>34.0</v>
      </c>
      <c r="B41" s="68"/>
      <c r="C41" s="60"/>
      <c r="D41" s="60"/>
      <c r="E41" s="47"/>
      <c r="F41" s="54"/>
      <c r="G41" s="52"/>
      <c r="H41" s="53">
        <v>2.12</v>
      </c>
      <c r="I41" s="54" t="s">
        <v>86</v>
      </c>
      <c r="J41" s="69">
        <f t="shared" si="2"/>
        <v>0</v>
      </c>
      <c r="K41" s="13"/>
    </row>
    <row r="42" ht="18.75" customHeight="1">
      <c r="A42" s="50">
        <v>35.0</v>
      </c>
      <c r="B42" s="68"/>
      <c r="C42" s="60"/>
      <c r="D42" s="60"/>
      <c r="E42" s="47"/>
      <c r="F42" s="54"/>
      <c r="G42" s="52"/>
      <c r="H42" s="64" t="s">
        <v>87</v>
      </c>
      <c r="I42" s="64" t="s">
        <v>5</v>
      </c>
      <c r="J42" s="28">
        <f>J24+J25-J29</f>
        <v>40246313</v>
      </c>
      <c r="K42" s="13"/>
    </row>
    <row r="43" ht="18.75" customHeight="1">
      <c r="A43" s="50">
        <v>36.0</v>
      </c>
      <c r="B43" s="68"/>
      <c r="C43" s="60"/>
      <c r="D43" s="60"/>
      <c r="E43" s="47"/>
      <c r="F43" s="54"/>
      <c r="G43" s="13"/>
      <c r="H43" s="13"/>
      <c r="I43" s="13"/>
      <c r="J43" s="13"/>
      <c r="K43" s="13"/>
    </row>
    <row r="44" ht="18.75" customHeight="1">
      <c r="A44" s="50">
        <v>37.0</v>
      </c>
      <c r="B44" s="68"/>
      <c r="C44" s="60"/>
      <c r="D44" s="60"/>
      <c r="E44" s="47"/>
      <c r="F44" s="54"/>
      <c r="G44" s="13"/>
      <c r="H44" s="70" t="s">
        <v>88</v>
      </c>
      <c r="I44" s="71"/>
      <c r="J44" s="71"/>
      <c r="K44" s="24"/>
    </row>
    <row r="45" ht="18.75" customHeight="1">
      <c r="A45" s="50">
        <v>38.0</v>
      </c>
      <c r="B45" s="68"/>
      <c r="C45" s="60"/>
      <c r="D45" s="60"/>
      <c r="E45" s="47"/>
      <c r="F45" s="54"/>
      <c r="G45" s="52"/>
      <c r="H45" s="64" t="s">
        <v>25</v>
      </c>
      <c r="I45" s="64" t="s">
        <v>26</v>
      </c>
      <c r="J45" s="53" t="s">
        <v>27</v>
      </c>
      <c r="K45" s="72" t="s">
        <v>89</v>
      </c>
    </row>
    <row r="46" ht="18.75" customHeight="1">
      <c r="A46" s="50">
        <v>39.0</v>
      </c>
      <c r="B46" s="68"/>
      <c r="C46" s="60"/>
      <c r="D46" s="60"/>
      <c r="E46" s="47"/>
      <c r="F46" s="54"/>
      <c r="G46" s="52"/>
      <c r="H46" s="64" t="s">
        <v>76</v>
      </c>
      <c r="I46" s="64" t="s">
        <v>77</v>
      </c>
      <c r="J46" s="69">
        <f>J42</f>
        <v>40246313</v>
      </c>
      <c r="K46" s="73"/>
    </row>
    <row r="47" ht="18.75" customHeight="1">
      <c r="A47" s="50">
        <v>40.0</v>
      </c>
      <c r="B47" s="68"/>
      <c r="C47" s="60"/>
      <c r="D47" s="60"/>
      <c r="E47" s="47"/>
      <c r="F47" s="54"/>
      <c r="G47" s="52"/>
      <c r="H47" s="64" t="s">
        <v>78</v>
      </c>
      <c r="I47" s="64" t="s">
        <v>79</v>
      </c>
      <c r="J47" s="69">
        <f>SUM(J48:J54)</f>
        <v>247357258</v>
      </c>
      <c r="K47" s="73"/>
    </row>
    <row r="48" ht="18.75" customHeight="1">
      <c r="A48" s="50">
        <v>41.0</v>
      </c>
      <c r="B48" s="68"/>
      <c r="C48" s="54"/>
      <c r="D48" s="60"/>
      <c r="E48" s="47"/>
      <c r="F48" s="54"/>
      <c r="G48" s="52"/>
      <c r="H48" s="54"/>
      <c r="I48" s="54" t="s">
        <v>90</v>
      </c>
      <c r="J48" s="74">
        <v>8.0957397E7</v>
      </c>
      <c r="K48" s="73">
        <v>45869.0</v>
      </c>
    </row>
    <row r="49" ht="18.75" customHeight="1">
      <c r="A49" s="50">
        <v>42.0</v>
      </c>
      <c r="B49" s="68"/>
      <c r="C49" s="54"/>
      <c r="D49" s="60"/>
      <c r="E49" s="47"/>
      <c r="F49" s="54"/>
      <c r="G49" s="52"/>
      <c r="H49" s="54"/>
      <c r="I49" s="54" t="s">
        <v>91</v>
      </c>
      <c r="J49" s="74">
        <v>7.5442464E7</v>
      </c>
      <c r="K49" s="73">
        <v>45869.0</v>
      </c>
    </row>
    <row r="50" ht="18.75" customHeight="1">
      <c r="A50" s="50">
        <v>43.0</v>
      </c>
      <c r="B50" s="68"/>
      <c r="C50" s="54"/>
      <c r="D50" s="60"/>
      <c r="E50" s="47"/>
      <c r="F50" s="54"/>
      <c r="G50" s="52"/>
      <c r="H50" s="54"/>
      <c r="I50" s="54" t="s">
        <v>92</v>
      </c>
      <c r="J50" s="74">
        <v>7.5957397E7</v>
      </c>
      <c r="K50" s="73">
        <v>45869.0</v>
      </c>
    </row>
    <row r="51" ht="18.75" customHeight="1">
      <c r="A51" s="50">
        <v>44.0</v>
      </c>
      <c r="B51" s="68"/>
      <c r="C51" s="54"/>
      <c r="D51" s="60"/>
      <c r="E51" s="47"/>
      <c r="F51" s="54"/>
      <c r="G51" s="52"/>
      <c r="H51" s="54"/>
      <c r="I51" s="54" t="s">
        <v>93</v>
      </c>
      <c r="J51" s="74">
        <v>1.5E7</v>
      </c>
      <c r="K51" s="73">
        <v>45869.0</v>
      </c>
    </row>
    <row r="52" ht="18.75" customHeight="1">
      <c r="A52" s="50">
        <v>45.0</v>
      </c>
      <c r="B52" s="68"/>
      <c r="C52" s="54"/>
      <c r="D52" s="60"/>
      <c r="E52" s="47"/>
      <c r="F52" s="54"/>
      <c r="G52" s="52"/>
      <c r="H52" s="54"/>
      <c r="I52" s="54"/>
      <c r="J52" s="64"/>
      <c r="K52" s="73"/>
    </row>
    <row r="53" ht="18.75" customHeight="1">
      <c r="A53" s="50">
        <v>46.0</v>
      </c>
      <c r="B53" s="68"/>
      <c r="C53" s="54"/>
      <c r="D53" s="60"/>
      <c r="E53" s="47"/>
      <c r="F53" s="54"/>
      <c r="G53" s="52"/>
      <c r="H53" s="54"/>
      <c r="I53" s="54"/>
      <c r="J53" s="64"/>
      <c r="K53" s="73"/>
    </row>
    <row r="54" ht="18.75" customHeight="1">
      <c r="A54" s="50">
        <v>47.0</v>
      </c>
      <c r="B54" s="68"/>
      <c r="C54" s="54"/>
      <c r="D54" s="60"/>
      <c r="E54" s="47"/>
      <c r="F54" s="54"/>
      <c r="G54" s="52"/>
      <c r="H54" s="54"/>
      <c r="I54" s="54"/>
      <c r="J54" s="64"/>
      <c r="K54" s="73"/>
    </row>
    <row r="55" ht="18.75" customHeight="1">
      <c r="A55" s="50">
        <v>48.0</v>
      </c>
      <c r="B55" s="68"/>
      <c r="C55" s="54"/>
      <c r="D55" s="60"/>
      <c r="E55" s="47"/>
      <c r="F55" s="54"/>
      <c r="G55" s="52"/>
      <c r="H55" s="64" t="s">
        <v>83</v>
      </c>
      <c r="I55" s="64" t="s">
        <v>84</v>
      </c>
      <c r="J55" s="74">
        <f>SUM(J56:J65)</f>
        <v>232522117</v>
      </c>
      <c r="K55" s="73"/>
    </row>
    <row r="56" ht="18.75" customHeight="1">
      <c r="A56" s="50">
        <v>49.0</v>
      </c>
      <c r="B56" s="68"/>
      <c r="C56" s="75"/>
      <c r="D56" s="60"/>
      <c r="E56" s="47"/>
      <c r="F56" s="54"/>
      <c r="G56" s="52"/>
      <c r="H56" s="54"/>
      <c r="I56" s="54" t="s">
        <v>94</v>
      </c>
      <c r="J56" s="74">
        <v>8.8398E7</v>
      </c>
      <c r="K56" s="76"/>
    </row>
    <row r="57" ht="18.75" customHeight="1">
      <c r="A57" s="50">
        <v>50.0</v>
      </c>
      <c r="B57" s="68"/>
      <c r="C57" s="54"/>
      <c r="D57" s="60"/>
      <c r="E57" s="47"/>
      <c r="F57" s="54"/>
      <c r="G57" s="52"/>
      <c r="H57" s="54"/>
      <c r="I57" s="54" t="s">
        <v>93</v>
      </c>
      <c r="J57" s="74">
        <v>1.35E7</v>
      </c>
      <c r="K57" s="76"/>
    </row>
    <row r="58" ht="18.75" customHeight="1">
      <c r="A58" s="50">
        <v>51.0</v>
      </c>
      <c r="B58" s="68"/>
      <c r="C58" s="54"/>
      <c r="D58" s="60"/>
      <c r="E58" s="47"/>
      <c r="F58" s="54"/>
      <c r="G58" s="52"/>
      <c r="H58" s="54"/>
      <c r="I58" s="54" t="s">
        <v>95</v>
      </c>
      <c r="J58" s="74">
        <v>6.2276077E7</v>
      </c>
      <c r="K58" s="76"/>
    </row>
    <row r="59" ht="18.75" customHeight="1">
      <c r="A59" s="50">
        <v>52.0</v>
      </c>
      <c r="B59" s="68"/>
      <c r="C59" s="75"/>
      <c r="D59" s="60"/>
      <c r="E59" s="47"/>
      <c r="F59" s="54"/>
      <c r="G59" s="52"/>
      <c r="H59" s="54"/>
      <c r="I59" s="54" t="s">
        <v>96</v>
      </c>
      <c r="J59" s="74">
        <v>5.094804E7</v>
      </c>
      <c r="K59" s="76"/>
    </row>
    <row r="60" ht="18.75" customHeight="1">
      <c r="A60" s="50">
        <v>53.0</v>
      </c>
      <c r="B60" s="68"/>
      <c r="C60" s="54"/>
      <c r="D60" s="60"/>
      <c r="E60" s="47"/>
      <c r="F60" s="54"/>
      <c r="G60" s="52"/>
      <c r="H60" s="54"/>
      <c r="I60" s="54" t="s">
        <v>97</v>
      </c>
      <c r="J60" s="74">
        <v>1.54E7</v>
      </c>
      <c r="K60" s="73"/>
    </row>
    <row r="61" ht="18.75" customHeight="1">
      <c r="A61" s="50">
        <v>54.0</v>
      </c>
      <c r="B61" s="68"/>
      <c r="C61" s="54"/>
      <c r="D61" s="60"/>
      <c r="E61" s="47"/>
      <c r="F61" s="54"/>
      <c r="G61" s="52"/>
      <c r="H61" s="54"/>
      <c r="I61" s="54" t="s">
        <v>98</v>
      </c>
      <c r="J61" s="74">
        <v>2000000.0</v>
      </c>
      <c r="K61" s="73"/>
    </row>
    <row r="62" ht="18.75" customHeight="1">
      <c r="A62" s="50">
        <v>55.0</v>
      </c>
      <c r="B62" s="68"/>
      <c r="C62" s="54"/>
      <c r="D62" s="60"/>
      <c r="E62" s="47"/>
      <c r="F62" s="54"/>
      <c r="G62" s="52"/>
      <c r="H62" s="54"/>
      <c r="I62" s="54"/>
      <c r="J62" s="74"/>
      <c r="K62" s="73"/>
    </row>
    <row r="63" ht="18.75" customHeight="1">
      <c r="A63" s="50">
        <v>56.0</v>
      </c>
      <c r="B63" s="68"/>
      <c r="C63" s="54"/>
      <c r="D63" s="60"/>
      <c r="E63" s="47"/>
      <c r="F63" s="54"/>
      <c r="G63" s="52"/>
      <c r="H63" s="54"/>
      <c r="I63" s="54"/>
      <c r="J63" s="74"/>
      <c r="K63" s="73"/>
    </row>
    <row r="64" ht="18.75" customHeight="1">
      <c r="A64" s="50">
        <v>57.0</v>
      </c>
      <c r="B64" s="68"/>
      <c r="C64" s="54"/>
      <c r="D64" s="60"/>
      <c r="E64" s="47"/>
      <c r="F64" s="54"/>
      <c r="G64" s="52"/>
      <c r="H64" s="54"/>
      <c r="I64" s="54"/>
      <c r="J64" s="74"/>
      <c r="K64" s="73"/>
    </row>
    <row r="65" ht="18.75" customHeight="1">
      <c r="A65" s="50">
        <v>58.0</v>
      </c>
      <c r="B65" s="68"/>
      <c r="C65" s="54"/>
      <c r="D65" s="60"/>
      <c r="E65" s="47"/>
      <c r="F65" s="54"/>
      <c r="G65" s="52"/>
      <c r="H65" s="54"/>
      <c r="I65" s="54"/>
      <c r="J65" s="74"/>
      <c r="K65" s="73"/>
    </row>
    <row r="66" ht="18.75" customHeight="1">
      <c r="A66" s="50">
        <v>59.0</v>
      </c>
      <c r="B66" s="68"/>
      <c r="C66" s="75"/>
      <c r="D66" s="60"/>
      <c r="E66" s="47"/>
      <c r="F66" s="54"/>
      <c r="G66" s="52"/>
      <c r="H66" s="64" t="s">
        <v>87</v>
      </c>
      <c r="I66" s="64" t="s">
        <v>5</v>
      </c>
      <c r="J66" s="28">
        <f>J46+J47-J55</f>
        <v>55081454</v>
      </c>
      <c r="K66" s="73"/>
    </row>
    <row r="67" ht="18.75" customHeight="1">
      <c r="A67" s="77"/>
      <c r="B67" s="78"/>
      <c r="C67" s="77"/>
      <c r="D67" s="77"/>
      <c r="E67" s="77"/>
      <c r="F67" s="77"/>
      <c r="G67" s="77"/>
      <c r="H67" s="77"/>
      <c r="I67" s="77"/>
      <c r="J67" s="77"/>
      <c r="K67" s="77"/>
    </row>
    <row r="68" ht="18.75" customHeight="1">
      <c r="A68" s="77"/>
      <c r="B68" s="78"/>
      <c r="C68" s="77"/>
      <c r="D68" s="77"/>
      <c r="E68" s="77"/>
      <c r="F68" s="77"/>
      <c r="G68" s="77"/>
      <c r="H68" s="77"/>
      <c r="I68" s="77"/>
      <c r="J68" s="77"/>
      <c r="K68" s="77"/>
    </row>
    <row r="69" ht="18.75" customHeight="1">
      <c r="A69" s="77"/>
      <c r="B69" s="78"/>
      <c r="C69" s="77"/>
      <c r="D69" s="77"/>
      <c r="E69" s="77"/>
      <c r="F69" s="77"/>
      <c r="G69" s="77"/>
      <c r="H69" s="77"/>
      <c r="I69" s="77"/>
      <c r="J69" s="77"/>
      <c r="K69" s="77"/>
    </row>
    <row r="70" ht="18.75" customHeight="1">
      <c r="A70" s="77"/>
      <c r="B70" s="78"/>
      <c r="C70" s="77"/>
      <c r="D70" s="77"/>
      <c r="E70" s="77"/>
      <c r="F70" s="77"/>
      <c r="G70" s="77"/>
      <c r="H70" s="77"/>
      <c r="I70" s="77"/>
      <c r="J70" s="77"/>
      <c r="K70" s="77"/>
    </row>
    <row r="71" ht="18.75" customHeight="1">
      <c r="A71" s="77"/>
      <c r="B71" s="78"/>
      <c r="C71" s="77"/>
      <c r="D71" s="77"/>
      <c r="E71" s="77"/>
      <c r="F71" s="77"/>
      <c r="G71" s="77"/>
      <c r="H71" s="77"/>
      <c r="I71" s="77"/>
      <c r="J71" s="77"/>
      <c r="K71" s="77"/>
    </row>
    <row r="72" ht="18.75" customHeight="1">
      <c r="A72" s="77"/>
      <c r="B72" s="78"/>
      <c r="C72" s="77"/>
      <c r="D72" s="77"/>
      <c r="E72" s="77"/>
      <c r="F72" s="77"/>
      <c r="G72" s="77"/>
      <c r="H72" s="77"/>
      <c r="I72" s="77"/>
      <c r="J72" s="77"/>
      <c r="K72" s="77"/>
    </row>
    <row r="73" ht="18.75" customHeight="1">
      <c r="A73" s="77"/>
      <c r="B73" s="78"/>
      <c r="C73" s="77"/>
      <c r="D73" s="77"/>
      <c r="E73" s="77"/>
      <c r="F73" s="77"/>
      <c r="G73" s="77"/>
      <c r="H73" s="77"/>
      <c r="I73" s="77"/>
      <c r="J73" s="77"/>
      <c r="K73" s="77"/>
    </row>
    <row r="74" ht="18.75" customHeight="1">
      <c r="A74" s="77"/>
      <c r="B74" s="78"/>
      <c r="C74" s="77"/>
      <c r="D74" s="77"/>
      <c r="E74" s="77"/>
      <c r="F74" s="77"/>
      <c r="G74" s="77"/>
      <c r="H74" s="77"/>
      <c r="I74" s="77"/>
      <c r="J74" s="77"/>
      <c r="K74" s="77"/>
    </row>
    <row r="75" ht="18.75" customHeight="1">
      <c r="A75" s="77"/>
      <c r="B75" s="78"/>
      <c r="C75" s="77"/>
      <c r="D75" s="77"/>
      <c r="E75" s="77"/>
      <c r="F75" s="77"/>
      <c r="G75" s="77"/>
      <c r="H75" s="77"/>
      <c r="I75" s="77"/>
      <c r="J75" s="77"/>
      <c r="K75" s="77"/>
    </row>
    <row r="76" ht="18.75" customHeight="1">
      <c r="A76" s="77"/>
      <c r="B76" s="78"/>
      <c r="C76" s="77"/>
      <c r="D76" s="77"/>
      <c r="E76" s="77"/>
      <c r="F76" s="77"/>
      <c r="G76" s="77"/>
      <c r="H76" s="77"/>
      <c r="I76" s="77"/>
      <c r="J76" s="77"/>
      <c r="K76" s="77"/>
    </row>
    <row r="77" ht="18.75" customHeight="1">
      <c r="A77" s="77"/>
      <c r="B77" s="78"/>
      <c r="C77" s="77"/>
      <c r="D77" s="77"/>
      <c r="E77" s="77"/>
      <c r="F77" s="77"/>
      <c r="G77" s="77"/>
      <c r="H77" s="77"/>
      <c r="I77" s="77"/>
      <c r="J77" s="77"/>
      <c r="K77" s="77"/>
    </row>
    <row r="78" ht="18.75" customHeight="1">
      <c r="A78" s="77"/>
      <c r="B78" s="78"/>
      <c r="C78" s="77"/>
      <c r="D78" s="77"/>
      <c r="E78" s="77"/>
      <c r="F78" s="77"/>
      <c r="G78" s="77"/>
      <c r="H78" s="77"/>
      <c r="I78" s="77"/>
      <c r="J78" s="77"/>
      <c r="K78" s="77"/>
    </row>
    <row r="79" ht="18.75" customHeight="1">
      <c r="A79" s="77"/>
      <c r="B79" s="78"/>
      <c r="C79" s="77"/>
      <c r="D79" s="77"/>
      <c r="E79" s="77"/>
      <c r="F79" s="77"/>
      <c r="G79" s="77"/>
      <c r="H79" s="77"/>
      <c r="I79" s="77"/>
      <c r="J79" s="77"/>
      <c r="K79" s="77"/>
    </row>
    <row r="80" ht="18.75" customHeight="1">
      <c r="A80" s="77"/>
      <c r="B80" s="78"/>
      <c r="C80" s="77"/>
      <c r="D80" s="77"/>
      <c r="E80" s="77"/>
      <c r="F80" s="77"/>
      <c r="G80" s="77"/>
      <c r="H80" s="77"/>
      <c r="I80" s="77"/>
      <c r="J80" s="77"/>
      <c r="K80" s="77"/>
    </row>
    <row r="81" ht="18.75" customHeight="1">
      <c r="A81" s="77"/>
      <c r="B81" s="78"/>
      <c r="C81" s="77"/>
      <c r="D81" s="77"/>
      <c r="E81" s="77"/>
      <c r="F81" s="77"/>
      <c r="G81" s="77"/>
      <c r="H81" s="77"/>
      <c r="I81" s="77"/>
      <c r="J81" s="77"/>
      <c r="K81" s="77"/>
    </row>
    <row r="82" ht="18.75" customHeight="1">
      <c r="A82" s="77"/>
      <c r="B82" s="78"/>
      <c r="C82" s="77"/>
      <c r="D82" s="77"/>
      <c r="E82" s="77"/>
      <c r="F82" s="77"/>
      <c r="G82" s="77"/>
      <c r="H82" s="77"/>
      <c r="I82" s="77"/>
      <c r="J82" s="77"/>
      <c r="K82" s="77"/>
    </row>
    <row r="83" ht="18.75" customHeight="1">
      <c r="A83" s="77"/>
      <c r="B83" s="78"/>
      <c r="C83" s="77"/>
      <c r="D83" s="77"/>
      <c r="E83" s="77"/>
      <c r="F83" s="77"/>
      <c r="G83" s="77"/>
      <c r="H83" s="77"/>
      <c r="I83" s="77"/>
      <c r="J83" s="77"/>
      <c r="K83" s="77"/>
    </row>
    <row r="84" ht="18.75" customHeight="1">
      <c r="A84" s="77"/>
      <c r="B84" s="78"/>
      <c r="C84" s="77"/>
      <c r="D84" s="77"/>
      <c r="E84" s="77"/>
      <c r="F84" s="77"/>
      <c r="G84" s="77"/>
      <c r="H84" s="77"/>
      <c r="I84" s="77"/>
      <c r="J84" s="77"/>
      <c r="K84" s="77"/>
    </row>
    <row r="85" ht="18.75" customHeight="1">
      <c r="A85" s="77"/>
      <c r="B85" s="78"/>
      <c r="C85" s="77"/>
      <c r="D85" s="77"/>
      <c r="E85" s="77"/>
      <c r="F85" s="77"/>
      <c r="G85" s="77"/>
      <c r="H85" s="77"/>
      <c r="I85" s="77"/>
      <c r="J85" s="77"/>
      <c r="K85" s="77"/>
    </row>
    <row r="86" ht="18.75" customHeight="1">
      <c r="A86" s="77"/>
      <c r="B86" s="78"/>
      <c r="C86" s="77"/>
      <c r="D86" s="77"/>
      <c r="E86" s="77"/>
      <c r="F86" s="77"/>
      <c r="G86" s="77"/>
      <c r="H86" s="77"/>
      <c r="I86" s="77"/>
      <c r="J86" s="77"/>
      <c r="K86" s="77"/>
    </row>
    <row r="87" ht="18.75" customHeight="1">
      <c r="A87" s="77"/>
      <c r="B87" s="78"/>
      <c r="C87" s="77"/>
      <c r="D87" s="77"/>
      <c r="E87" s="77"/>
      <c r="F87" s="77"/>
      <c r="G87" s="77"/>
      <c r="H87" s="77"/>
      <c r="I87" s="77"/>
      <c r="J87" s="77"/>
      <c r="K87" s="77"/>
    </row>
    <row r="88" ht="18.75" customHeight="1">
      <c r="A88" s="77"/>
      <c r="B88" s="78"/>
      <c r="C88" s="77"/>
      <c r="D88" s="77"/>
      <c r="E88" s="77"/>
      <c r="F88" s="77"/>
      <c r="G88" s="77"/>
      <c r="H88" s="77"/>
      <c r="I88" s="77"/>
      <c r="J88" s="77"/>
      <c r="K88" s="77"/>
    </row>
    <row r="89" ht="18.75" customHeight="1">
      <c r="A89" s="77"/>
      <c r="B89" s="78"/>
      <c r="C89" s="77"/>
      <c r="D89" s="77"/>
      <c r="E89" s="77"/>
      <c r="F89" s="77"/>
      <c r="G89" s="77"/>
      <c r="H89" s="77"/>
      <c r="I89" s="77"/>
      <c r="J89" s="77"/>
      <c r="K89" s="77"/>
    </row>
    <row r="90" ht="18.75" customHeight="1">
      <c r="A90" s="77"/>
      <c r="B90" s="78"/>
      <c r="C90" s="77"/>
      <c r="D90" s="77"/>
      <c r="E90" s="77"/>
      <c r="F90" s="77"/>
      <c r="G90" s="77"/>
      <c r="H90" s="77"/>
      <c r="I90" s="77"/>
      <c r="J90" s="77"/>
      <c r="K90" s="77"/>
    </row>
    <row r="91" ht="18.75" customHeight="1">
      <c r="A91" s="77"/>
      <c r="B91" s="78"/>
      <c r="C91" s="77"/>
      <c r="D91" s="77"/>
      <c r="E91" s="77"/>
      <c r="F91" s="77"/>
      <c r="G91" s="77"/>
      <c r="H91" s="77"/>
      <c r="I91" s="77"/>
      <c r="J91" s="77"/>
      <c r="K91" s="77"/>
    </row>
    <row r="92" ht="18.75" customHeight="1">
      <c r="A92" s="77"/>
      <c r="B92" s="78"/>
      <c r="C92" s="77"/>
      <c r="D92" s="77"/>
      <c r="E92" s="77"/>
      <c r="F92" s="77"/>
      <c r="G92" s="77"/>
      <c r="H92" s="77"/>
      <c r="I92" s="77"/>
      <c r="J92" s="77"/>
      <c r="K92" s="77"/>
    </row>
    <row r="93" ht="18.75" customHeight="1">
      <c r="A93" s="77"/>
      <c r="B93" s="78"/>
      <c r="C93" s="77"/>
      <c r="D93" s="77"/>
      <c r="E93" s="77"/>
      <c r="F93" s="77"/>
      <c r="G93" s="77"/>
      <c r="H93" s="77"/>
      <c r="I93" s="77"/>
      <c r="J93" s="77"/>
      <c r="K93" s="77"/>
    </row>
    <row r="94" ht="18.75" customHeight="1">
      <c r="A94" s="77"/>
      <c r="B94" s="78"/>
      <c r="C94" s="77"/>
      <c r="D94" s="77"/>
      <c r="E94" s="77"/>
      <c r="F94" s="77"/>
      <c r="G94" s="77"/>
      <c r="H94" s="77"/>
      <c r="I94" s="77"/>
      <c r="J94" s="77"/>
      <c r="K94" s="77"/>
    </row>
    <row r="95" ht="18.75" customHeight="1">
      <c r="A95" s="77"/>
      <c r="B95" s="78"/>
      <c r="C95" s="77"/>
      <c r="D95" s="77"/>
      <c r="E95" s="77"/>
      <c r="F95" s="77"/>
      <c r="G95" s="77"/>
      <c r="H95" s="77"/>
      <c r="I95" s="77"/>
      <c r="J95" s="77"/>
      <c r="K95" s="77"/>
    </row>
    <row r="96" ht="18.75" customHeight="1">
      <c r="A96" s="77"/>
      <c r="B96" s="78"/>
      <c r="C96" s="77"/>
      <c r="D96" s="77"/>
      <c r="E96" s="77"/>
      <c r="F96" s="77"/>
      <c r="G96" s="77"/>
      <c r="H96" s="77"/>
      <c r="I96" s="77"/>
      <c r="J96" s="77"/>
      <c r="K96" s="77"/>
    </row>
    <row r="97" ht="18.75" customHeight="1">
      <c r="A97" s="77"/>
      <c r="B97" s="78"/>
      <c r="C97" s="77"/>
      <c r="D97" s="77"/>
      <c r="E97" s="77"/>
      <c r="F97" s="77"/>
      <c r="G97" s="77"/>
      <c r="H97" s="77"/>
      <c r="I97" s="77"/>
      <c r="J97" s="77"/>
      <c r="K97" s="77"/>
    </row>
    <row r="98" ht="18.75" customHeight="1">
      <c r="A98" s="77"/>
      <c r="B98" s="78"/>
      <c r="C98" s="77"/>
      <c r="D98" s="77"/>
      <c r="E98" s="77"/>
      <c r="F98" s="77"/>
      <c r="G98" s="77"/>
      <c r="H98" s="77"/>
      <c r="I98" s="77"/>
      <c r="J98" s="77"/>
      <c r="K98" s="77"/>
    </row>
    <row r="99" ht="18.75" customHeight="1">
      <c r="A99" s="77"/>
      <c r="B99" s="78"/>
      <c r="C99" s="77"/>
      <c r="D99" s="77"/>
      <c r="E99" s="77"/>
      <c r="F99" s="77"/>
      <c r="G99" s="77"/>
      <c r="H99" s="77"/>
      <c r="I99" s="77"/>
      <c r="J99" s="77"/>
      <c r="K99" s="77"/>
    </row>
    <row r="100" ht="18.75" customHeight="1">
      <c r="A100" s="77"/>
      <c r="B100" s="78"/>
      <c r="C100" s="77"/>
      <c r="D100" s="77"/>
      <c r="E100" s="77"/>
      <c r="F100" s="77"/>
      <c r="G100" s="77"/>
      <c r="H100" s="77"/>
      <c r="I100" s="77"/>
      <c r="J100" s="77"/>
      <c r="K100" s="77"/>
    </row>
    <row r="101" ht="18.75" customHeight="1">
      <c r="A101" s="77"/>
      <c r="B101" s="78"/>
      <c r="C101" s="77"/>
      <c r="D101" s="77"/>
      <c r="E101" s="77"/>
      <c r="F101" s="77"/>
      <c r="G101" s="77"/>
      <c r="H101" s="77"/>
      <c r="I101" s="77"/>
      <c r="J101" s="77"/>
      <c r="K101" s="77"/>
    </row>
    <row r="102" ht="18.75" customHeight="1">
      <c r="A102" s="77"/>
      <c r="B102" s="78"/>
      <c r="C102" s="77"/>
      <c r="D102" s="77"/>
      <c r="E102" s="77"/>
      <c r="F102" s="77"/>
      <c r="G102" s="77"/>
      <c r="H102" s="77"/>
      <c r="I102" s="77"/>
      <c r="J102" s="77"/>
      <c r="K102" s="77"/>
    </row>
    <row r="103" ht="18.75" customHeight="1">
      <c r="A103" s="77"/>
      <c r="B103" s="78"/>
      <c r="C103" s="77"/>
      <c r="D103" s="77"/>
      <c r="E103" s="77"/>
      <c r="F103" s="77"/>
      <c r="G103" s="77"/>
      <c r="H103" s="77"/>
      <c r="I103" s="77"/>
      <c r="J103" s="77"/>
      <c r="K103" s="77"/>
    </row>
    <row r="104" ht="18.75" customHeight="1">
      <c r="A104" s="77"/>
      <c r="B104" s="78"/>
      <c r="C104" s="77"/>
      <c r="D104" s="77"/>
      <c r="E104" s="77"/>
      <c r="F104" s="77"/>
      <c r="G104" s="77"/>
      <c r="H104" s="77"/>
      <c r="I104" s="77"/>
      <c r="J104" s="77"/>
      <c r="K104" s="77"/>
    </row>
    <row r="105" ht="18.75" customHeight="1">
      <c r="A105" s="77"/>
      <c r="B105" s="78"/>
      <c r="C105" s="77"/>
      <c r="D105" s="77"/>
      <c r="E105" s="77"/>
      <c r="F105" s="77"/>
      <c r="G105" s="77"/>
      <c r="H105" s="77"/>
      <c r="I105" s="77"/>
      <c r="J105" s="77"/>
      <c r="K105" s="77"/>
    </row>
    <row r="106" ht="18.75" customHeight="1">
      <c r="A106" s="77"/>
      <c r="B106" s="78"/>
      <c r="C106" s="77"/>
      <c r="D106" s="77"/>
      <c r="E106" s="77"/>
      <c r="F106" s="77"/>
      <c r="G106" s="77"/>
      <c r="H106" s="77"/>
      <c r="I106" s="77"/>
      <c r="J106" s="77"/>
      <c r="K106" s="77"/>
    </row>
    <row r="107" ht="18.75" customHeight="1">
      <c r="A107" s="77"/>
      <c r="B107" s="78"/>
      <c r="C107" s="77"/>
      <c r="D107" s="77"/>
      <c r="E107" s="77"/>
      <c r="F107" s="77"/>
      <c r="G107" s="77"/>
      <c r="H107" s="77"/>
      <c r="I107" s="77"/>
      <c r="J107" s="77"/>
      <c r="K107" s="77"/>
    </row>
    <row r="108" ht="18.75" customHeight="1">
      <c r="A108" s="77"/>
      <c r="B108" s="78"/>
      <c r="C108" s="77"/>
      <c r="D108" s="77"/>
      <c r="E108" s="77"/>
      <c r="F108" s="77"/>
      <c r="G108" s="77"/>
      <c r="H108" s="77"/>
      <c r="I108" s="77"/>
      <c r="J108" s="77"/>
      <c r="K108" s="77"/>
    </row>
    <row r="109" ht="18.75" customHeight="1">
      <c r="A109" s="77"/>
      <c r="B109" s="78"/>
      <c r="C109" s="77"/>
      <c r="D109" s="77"/>
      <c r="E109" s="77"/>
      <c r="F109" s="77"/>
      <c r="G109" s="77"/>
      <c r="H109" s="77"/>
      <c r="I109" s="77"/>
      <c r="J109" s="77"/>
      <c r="K109" s="77"/>
    </row>
    <row r="110" ht="18.75" customHeight="1">
      <c r="A110" s="77"/>
      <c r="B110" s="78"/>
      <c r="C110" s="77"/>
      <c r="D110" s="77"/>
      <c r="E110" s="77"/>
      <c r="F110" s="77"/>
      <c r="G110" s="77"/>
      <c r="H110" s="77"/>
      <c r="I110" s="77"/>
      <c r="J110" s="77"/>
      <c r="K110" s="77"/>
    </row>
    <row r="111" ht="18.75" customHeight="1">
      <c r="A111" s="77"/>
      <c r="B111" s="78"/>
      <c r="C111" s="77"/>
      <c r="D111" s="77"/>
      <c r="E111" s="77"/>
      <c r="F111" s="77"/>
      <c r="G111" s="77"/>
      <c r="H111" s="77"/>
      <c r="I111" s="77"/>
      <c r="J111" s="77"/>
      <c r="K111" s="77"/>
    </row>
    <row r="112" ht="18.75" customHeight="1">
      <c r="A112" s="77"/>
      <c r="B112" s="78"/>
      <c r="C112" s="77"/>
      <c r="D112" s="77"/>
      <c r="E112" s="77"/>
      <c r="F112" s="77"/>
      <c r="G112" s="77"/>
      <c r="H112" s="77"/>
      <c r="I112" s="77"/>
      <c r="J112" s="77"/>
      <c r="K112" s="77"/>
    </row>
    <row r="113" ht="18.75" customHeight="1">
      <c r="A113" s="77"/>
      <c r="B113" s="78"/>
      <c r="C113" s="77"/>
      <c r="D113" s="77"/>
      <c r="E113" s="77"/>
      <c r="F113" s="77"/>
      <c r="G113" s="77"/>
      <c r="H113" s="77"/>
      <c r="I113" s="77"/>
      <c r="J113" s="77"/>
      <c r="K113" s="77"/>
    </row>
    <row r="114" ht="18.75" customHeight="1">
      <c r="A114" s="77"/>
      <c r="B114" s="78"/>
      <c r="C114" s="77"/>
      <c r="D114" s="77"/>
      <c r="E114" s="77"/>
      <c r="F114" s="77"/>
      <c r="G114" s="77"/>
      <c r="H114" s="77"/>
      <c r="I114" s="77"/>
      <c r="J114" s="77"/>
      <c r="K114" s="77"/>
    </row>
    <row r="115" ht="18.75" customHeight="1">
      <c r="A115" s="77"/>
      <c r="B115" s="78"/>
      <c r="C115" s="77"/>
      <c r="D115" s="77"/>
      <c r="E115" s="77"/>
      <c r="F115" s="77"/>
      <c r="G115" s="77"/>
      <c r="H115" s="77"/>
      <c r="I115" s="77"/>
      <c r="J115" s="77"/>
      <c r="K115" s="77"/>
    </row>
    <row r="116" ht="18.75" customHeight="1">
      <c r="A116" s="77"/>
      <c r="B116" s="78"/>
      <c r="C116" s="77"/>
      <c r="D116" s="77"/>
      <c r="E116" s="77"/>
      <c r="F116" s="77"/>
      <c r="G116" s="77"/>
      <c r="H116" s="77"/>
      <c r="I116" s="77"/>
      <c r="J116" s="77"/>
      <c r="K116" s="77"/>
    </row>
    <row r="117" ht="18.75" customHeight="1">
      <c r="A117" s="77"/>
      <c r="B117" s="78"/>
      <c r="C117" s="77"/>
      <c r="D117" s="77"/>
      <c r="E117" s="77"/>
      <c r="F117" s="77"/>
      <c r="G117" s="77"/>
      <c r="H117" s="77"/>
      <c r="I117" s="77"/>
      <c r="J117" s="77"/>
      <c r="K117" s="77"/>
    </row>
    <row r="118" ht="18.75" customHeight="1">
      <c r="A118" s="77"/>
      <c r="B118" s="78"/>
      <c r="C118" s="77"/>
      <c r="D118" s="77"/>
      <c r="E118" s="77"/>
      <c r="F118" s="77"/>
      <c r="G118" s="77"/>
      <c r="H118" s="77"/>
      <c r="I118" s="77"/>
      <c r="J118" s="77"/>
      <c r="K118" s="77"/>
    </row>
    <row r="119" ht="18.75" customHeight="1">
      <c r="A119" s="77"/>
      <c r="B119" s="78"/>
      <c r="C119" s="77"/>
      <c r="D119" s="77"/>
      <c r="E119" s="77"/>
      <c r="F119" s="77"/>
      <c r="G119" s="77"/>
      <c r="H119" s="77"/>
      <c r="I119" s="77"/>
      <c r="J119" s="77"/>
      <c r="K119" s="77"/>
    </row>
    <row r="120" ht="18.75" customHeight="1">
      <c r="A120" s="77"/>
      <c r="B120" s="78"/>
      <c r="C120" s="77"/>
      <c r="D120" s="77"/>
      <c r="E120" s="77"/>
      <c r="F120" s="77"/>
      <c r="G120" s="77"/>
      <c r="H120" s="77"/>
      <c r="I120" s="77"/>
      <c r="J120" s="77"/>
      <c r="K120" s="77"/>
    </row>
    <row r="121" ht="18.75" customHeight="1">
      <c r="A121" s="77"/>
      <c r="B121" s="78"/>
      <c r="C121" s="77"/>
      <c r="D121" s="77"/>
      <c r="E121" s="77"/>
      <c r="F121" s="77"/>
      <c r="G121" s="77"/>
      <c r="H121" s="77"/>
      <c r="I121" s="77"/>
      <c r="J121" s="77"/>
      <c r="K121" s="77"/>
    </row>
    <row r="122" ht="18.75" customHeight="1">
      <c r="A122" s="77"/>
      <c r="B122" s="78"/>
      <c r="C122" s="77"/>
      <c r="D122" s="77"/>
      <c r="E122" s="77"/>
      <c r="F122" s="77"/>
      <c r="G122" s="77"/>
      <c r="H122" s="77"/>
      <c r="I122" s="77"/>
      <c r="J122" s="77"/>
      <c r="K122" s="77"/>
    </row>
    <row r="123" ht="18.75" customHeight="1">
      <c r="A123" s="77"/>
      <c r="B123" s="78"/>
      <c r="C123" s="77"/>
      <c r="D123" s="77"/>
      <c r="E123" s="77"/>
      <c r="F123" s="77"/>
      <c r="G123" s="77"/>
      <c r="H123" s="77"/>
      <c r="I123" s="77"/>
      <c r="J123" s="77"/>
      <c r="K123" s="77"/>
    </row>
    <row r="124" ht="18.75" customHeight="1">
      <c r="A124" s="77"/>
      <c r="B124" s="78"/>
      <c r="C124" s="77"/>
      <c r="D124" s="77"/>
      <c r="E124" s="77"/>
      <c r="F124" s="77"/>
      <c r="G124" s="77"/>
      <c r="H124" s="77"/>
      <c r="I124" s="77"/>
      <c r="J124" s="77"/>
      <c r="K124" s="77"/>
    </row>
    <row r="125" ht="18.75" customHeight="1">
      <c r="A125" s="77"/>
      <c r="B125" s="78"/>
      <c r="C125" s="77"/>
      <c r="D125" s="77"/>
      <c r="E125" s="77"/>
      <c r="F125" s="77"/>
      <c r="G125" s="77"/>
      <c r="H125" s="77"/>
      <c r="I125" s="77"/>
      <c r="J125" s="77"/>
      <c r="K125" s="77"/>
    </row>
    <row r="126" ht="18.75" customHeight="1">
      <c r="A126" s="77"/>
      <c r="B126" s="78"/>
      <c r="C126" s="77"/>
      <c r="D126" s="77"/>
      <c r="E126" s="77"/>
      <c r="F126" s="77"/>
      <c r="G126" s="77"/>
      <c r="H126" s="77"/>
      <c r="I126" s="77"/>
      <c r="J126" s="77"/>
      <c r="K126" s="77"/>
    </row>
    <row r="127" ht="18.75" customHeight="1">
      <c r="A127" s="77"/>
      <c r="B127" s="78"/>
      <c r="C127" s="77"/>
      <c r="D127" s="77"/>
      <c r="E127" s="77"/>
      <c r="F127" s="77"/>
      <c r="G127" s="77"/>
      <c r="H127" s="77"/>
      <c r="I127" s="77"/>
      <c r="J127" s="77"/>
      <c r="K127" s="77"/>
    </row>
    <row r="128" ht="18.75" customHeight="1">
      <c r="A128" s="77"/>
      <c r="B128" s="78"/>
      <c r="C128" s="77"/>
      <c r="D128" s="77"/>
      <c r="E128" s="77"/>
      <c r="F128" s="77"/>
      <c r="G128" s="77"/>
      <c r="H128" s="77"/>
      <c r="I128" s="77"/>
      <c r="J128" s="77"/>
      <c r="K128" s="77"/>
    </row>
    <row r="129" ht="18.75" customHeight="1">
      <c r="A129" s="77"/>
      <c r="B129" s="78"/>
      <c r="C129" s="77"/>
      <c r="D129" s="77"/>
      <c r="E129" s="77"/>
      <c r="F129" s="77"/>
      <c r="G129" s="77"/>
      <c r="H129" s="77"/>
      <c r="I129" s="77"/>
      <c r="J129" s="77"/>
      <c r="K129" s="77"/>
    </row>
    <row r="130" ht="18.75" customHeight="1">
      <c r="A130" s="77"/>
      <c r="B130" s="78"/>
      <c r="C130" s="77"/>
      <c r="D130" s="77"/>
      <c r="E130" s="77"/>
      <c r="F130" s="77"/>
      <c r="G130" s="77"/>
      <c r="H130" s="77"/>
      <c r="I130" s="77"/>
      <c r="J130" s="77"/>
      <c r="K130" s="77"/>
    </row>
    <row r="131" ht="18.75" customHeight="1">
      <c r="A131" s="77"/>
      <c r="B131" s="78"/>
      <c r="C131" s="77"/>
      <c r="D131" s="77"/>
      <c r="E131" s="77"/>
      <c r="F131" s="77"/>
      <c r="G131" s="77"/>
      <c r="H131" s="77"/>
      <c r="I131" s="77"/>
      <c r="J131" s="77"/>
      <c r="K131" s="77"/>
    </row>
    <row r="132" ht="18.75" customHeight="1">
      <c r="A132" s="77"/>
      <c r="B132" s="78"/>
      <c r="C132" s="77"/>
      <c r="D132" s="77"/>
      <c r="E132" s="77"/>
      <c r="F132" s="77"/>
      <c r="G132" s="77"/>
      <c r="H132" s="77"/>
      <c r="I132" s="77"/>
      <c r="J132" s="77"/>
      <c r="K132" s="77"/>
    </row>
    <row r="133" ht="18.75" customHeight="1">
      <c r="A133" s="77"/>
      <c r="B133" s="78"/>
      <c r="C133" s="77"/>
      <c r="D133" s="77"/>
      <c r="E133" s="77"/>
      <c r="F133" s="77"/>
      <c r="G133" s="77"/>
      <c r="H133" s="77"/>
      <c r="I133" s="77"/>
      <c r="J133" s="77"/>
      <c r="K133" s="77"/>
    </row>
    <row r="134" ht="18.75" customHeight="1">
      <c r="A134" s="77"/>
      <c r="B134" s="78"/>
      <c r="C134" s="77"/>
      <c r="D134" s="77"/>
      <c r="E134" s="77"/>
      <c r="F134" s="77"/>
      <c r="G134" s="77"/>
      <c r="H134" s="77"/>
      <c r="I134" s="77"/>
      <c r="J134" s="77"/>
      <c r="K134" s="77"/>
    </row>
    <row r="135" ht="18.75" customHeight="1">
      <c r="A135" s="77"/>
      <c r="B135" s="78"/>
      <c r="C135" s="77"/>
      <c r="D135" s="77"/>
      <c r="E135" s="77"/>
      <c r="F135" s="77"/>
      <c r="G135" s="77"/>
      <c r="H135" s="77"/>
      <c r="I135" s="77"/>
      <c r="J135" s="77"/>
      <c r="K135" s="77"/>
    </row>
    <row r="136" ht="18.75" customHeight="1">
      <c r="A136" s="77"/>
      <c r="B136" s="78"/>
      <c r="C136" s="77"/>
      <c r="D136" s="77"/>
      <c r="E136" s="77"/>
      <c r="F136" s="77"/>
      <c r="G136" s="77"/>
      <c r="H136" s="77"/>
      <c r="I136" s="77"/>
      <c r="J136" s="77"/>
      <c r="K136" s="77"/>
    </row>
    <row r="137" ht="18.75" customHeight="1">
      <c r="A137" s="77"/>
      <c r="B137" s="78"/>
      <c r="C137" s="77"/>
      <c r="D137" s="77"/>
      <c r="E137" s="77"/>
      <c r="F137" s="77"/>
      <c r="G137" s="77"/>
      <c r="H137" s="77"/>
      <c r="I137" s="77"/>
      <c r="J137" s="77"/>
      <c r="K137" s="77"/>
    </row>
    <row r="138" ht="18.75" customHeight="1">
      <c r="A138" s="77"/>
      <c r="B138" s="78"/>
      <c r="C138" s="77"/>
      <c r="D138" s="77"/>
      <c r="E138" s="77"/>
      <c r="F138" s="77"/>
      <c r="G138" s="77"/>
      <c r="H138" s="77"/>
      <c r="I138" s="77"/>
      <c r="J138" s="77"/>
      <c r="K138" s="77"/>
    </row>
    <row r="139" ht="18.75" customHeight="1">
      <c r="A139" s="77"/>
      <c r="B139" s="78"/>
      <c r="C139" s="77"/>
      <c r="D139" s="77"/>
      <c r="E139" s="77"/>
      <c r="F139" s="77"/>
      <c r="G139" s="77"/>
      <c r="H139" s="77"/>
      <c r="I139" s="77"/>
      <c r="J139" s="77"/>
      <c r="K139" s="77"/>
    </row>
    <row r="140" ht="18.75" customHeight="1">
      <c r="A140" s="77"/>
      <c r="B140" s="78"/>
      <c r="C140" s="77"/>
      <c r="D140" s="77"/>
      <c r="E140" s="77"/>
      <c r="F140" s="77"/>
      <c r="G140" s="77"/>
      <c r="H140" s="77"/>
      <c r="I140" s="77"/>
      <c r="J140" s="77"/>
      <c r="K140" s="77"/>
    </row>
    <row r="141" ht="18.75" customHeight="1">
      <c r="A141" s="77"/>
      <c r="B141" s="78"/>
      <c r="C141" s="77"/>
      <c r="D141" s="77"/>
      <c r="E141" s="77"/>
      <c r="F141" s="77"/>
      <c r="G141" s="77"/>
      <c r="H141" s="77"/>
      <c r="I141" s="77"/>
      <c r="J141" s="77"/>
      <c r="K141" s="77"/>
    </row>
    <row r="142" ht="18.75" customHeight="1">
      <c r="A142" s="77"/>
      <c r="B142" s="78"/>
      <c r="C142" s="77"/>
      <c r="D142" s="77"/>
      <c r="E142" s="77"/>
      <c r="F142" s="77"/>
      <c r="G142" s="77"/>
      <c r="H142" s="77"/>
      <c r="I142" s="77"/>
      <c r="J142" s="77"/>
      <c r="K142" s="77"/>
    </row>
    <row r="143" ht="18.75" customHeight="1">
      <c r="A143" s="77"/>
      <c r="B143" s="78"/>
      <c r="C143" s="77"/>
      <c r="D143" s="77"/>
      <c r="E143" s="77"/>
      <c r="F143" s="77"/>
      <c r="G143" s="77"/>
      <c r="H143" s="77"/>
      <c r="I143" s="77"/>
      <c r="J143" s="77"/>
      <c r="K143" s="77"/>
    </row>
    <row r="144" ht="18.75" customHeight="1">
      <c r="A144" s="77"/>
      <c r="B144" s="78"/>
      <c r="C144" s="77"/>
      <c r="D144" s="77"/>
      <c r="E144" s="77"/>
      <c r="F144" s="77"/>
      <c r="G144" s="77"/>
      <c r="H144" s="77"/>
      <c r="I144" s="77"/>
      <c r="J144" s="77"/>
      <c r="K144" s="77"/>
    </row>
    <row r="145" ht="18.75" customHeight="1">
      <c r="A145" s="77"/>
      <c r="B145" s="78"/>
      <c r="C145" s="77"/>
      <c r="D145" s="77"/>
      <c r="E145" s="77"/>
      <c r="F145" s="77"/>
      <c r="G145" s="77"/>
      <c r="H145" s="77"/>
      <c r="I145" s="77"/>
      <c r="J145" s="77"/>
      <c r="K145" s="77"/>
    </row>
    <row r="146" ht="18.75" customHeight="1">
      <c r="A146" s="77"/>
      <c r="B146" s="78"/>
      <c r="C146" s="77"/>
      <c r="D146" s="77"/>
      <c r="E146" s="77"/>
      <c r="F146" s="77"/>
      <c r="G146" s="77"/>
      <c r="H146" s="77"/>
      <c r="I146" s="77"/>
      <c r="J146" s="77"/>
      <c r="K146" s="77"/>
    </row>
    <row r="147" ht="18.75" customHeight="1">
      <c r="A147" s="77"/>
      <c r="B147" s="78"/>
      <c r="C147" s="77"/>
      <c r="D147" s="77"/>
      <c r="E147" s="77"/>
      <c r="F147" s="77"/>
      <c r="G147" s="77"/>
      <c r="H147" s="77"/>
      <c r="I147" s="77"/>
      <c r="J147" s="77"/>
      <c r="K147" s="77"/>
    </row>
    <row r="148" ht="18.75" customHeight="1">
      <c r="A148" s="77"/>
      <c r="B148" s="78"/>
      <c r="C148" s="77"/>
      <c r="D148" s="77"/>
      <c r="E148" s="77"/>
      <c r="F148" s="77"/>
      <c r="G148" s="77"/>
      <c r="H148" s="77"/>
      <c r="I148" s="77"/>
      <c r="J148" s="77"/>
      <c r="K148" s="77"/>
    </row>
    <row r="149" ht="18.75" customHeight="1">
      <c r="A149" s="77"/>
      <c r="B149" s="78"/>
      <c r="C149" s="77"/>
      <c r="D149" s="77"/>
      <c r="E149" s="77"/>
      <c r="F149" s="77"/>
      <c r="G149" s="77"/>
      <c r="H149" s="77"/>
      <c r="I149" s="77"/>
      <c r="J149" s="77"/>
      <c r="K149" s="77"/>
    </row>
    <row r="150" ht="18.75" customHeight="1">
      <c r="A150" s="77"/>
      <c r="B150" s="78"/>
      <c r="C150" s="77"/>
      <c r="D150" s="77"/>
      <c r="E150" s="77"/>
      <c r="F150" s="77"/>
      <c r="G150" s="77"/>
      <c r="H150" s="77"/>
      <c r="I150" s="77"/>
      <c r="J150" s="77"/>
      <c r="K150" s="77"/>
    </row>
    <row r="151" ht="18.75" customHeight="1">
      <c r="A151" s="77"/>
      <c r="B151" s="78"/>
      <c r="C151" s="77"/>
      <c r="D151" s="77"/>
      <c r="E151" s="77"/>
      <c r="F151" s="77"/>
      <c r="G151" s="77"/>
      <c r="H151" s="77"/>
      <c r="I151" s="77"/>
      <c r="J151" s="77"/>
      <c r="K151" s="77"/>
    </row>
    <row r="152" ht="18.75" customHeight="1">
      <c r="A152" s="77"/>
      <c r="B152" s="78"/>
      <c r="C152" s="77"/>
      <c r="D152" s="77"/>
      <c r="E152" s="77"/>
      <c r="F152" s="77"/>
      <c r="G152" s="77"/>
      <c r="H152" s="77"/>
      <c r="I152" s="77"/>
      <c r="J152" s="77"/>
      <c r="K152" s="77"/>
    </row>
    <row r="153" ht="18.75" customHeight="1">
      <c r="A153" s="77"/>
      <c r="B153" s="78"/>
      <c r="C153" s="77"/>
      <c r="D153" s="77"/>
      <c r="E153" s="77"/>
      <c r="F153" s="77"/>
      <c r="G153" s="77"/>
      <c r="H153" s="77"/>
      <c r="I153" s="77"/>
      <c r="J153" s="77"/>
      <c r="K153" s="77"/>
    </row>
    <row r="154" ht="18.75" customHeight="1">
      <c r="A154" s="77"/>
      <c r="B154" s="78"/>
      <c r="C154" s="77"/>
      <c r="D154" s="77"/>
      <c r="E154" s="77"/>
      <c r="F154" s="77"/>
      <c r="G154" s="77"/>
      <c r="H154" s="77"/>
      <c r="I154" s="77"/>
      <c r="J154" s="77"/>
      <c r="K154" s="77"/>
    </row>
    <row r="155" ht="18.75" customHeight="1">
      <c r="B155" s="79"/>
    </row>
    <row r="156" ht="18.75" customHeight="1">
      <c r="B156" s="79"/>
    </row>
    <row r="157" ht="18.75" customHeight="1">
      <c r="B157" s="79"/>
    </row>
    <row r="158" ht="18.75" customHeight="1">
      <c r="B158" s="79"/>
    </row>
    <row r="159" ht="18.75" customHeight="1">
      <c r="B159" s="79"/>
    </row>
    <row r="160" ht="18.75" customHeight="1">
      <c r="B160" s="79"/>
    </row>
    <row r="161" ht="18.75" customHeight="1">
      <c r="B161" s="79"/>
    </row>
    <row r="162" ht="18.75" customHeight="1">
      <c r="B162" s="79"/>
    </row>
    <row r="163" ht="18.75" customHeight="1">
      <c r="B163" s="79"/>
    </row>
    <row r="164" ht="18.75" customHeight="1">
      <c r="B164" s="79"/>
    </row>
    <row r="165" ht="18.75" customHeight="1">
      <c r="B165" s="79"/>
    </row>
    <row r="166" ht="18.75" customHeight="1">
      <c r="B166" s="79"/>
    </row>
    <row r="167" ht="18.75" customHeight="1">
      <c r="B167" s="79"/>
    </row>
    <row r="168" ht="18.75" customHeight="1">
      <c r="B168" s="79"/>
    </row>
    <row r="169" ht="18.75" customHeight="1">
      <c r="B169" s="79"/>
    </row>
    <row r="170" ht="18.75" customHeight="1">
      <c r="B170" s="79"/>
    </row>
    <row r="171" ht="18.75" customHeight="1">
      <c r="B171" s="79"/>
    </row>
    <row r="172" ht="18.75" customHeight="1">
      <c r="B172" s="79"/>
    </row>
    <row r="173" ht="18.75" customHeight="1">
      <c r="B173" s="79"/>
    </row>
    <row r="174" ht="18.75" customHeight="1">
      <c r="B174" s="79"/>
    </row>
    <row r="175" ht="18.75" customHeight="1">
      <c r="B175" s="79"/>
    </row>
    <row r="176" ht="18.75" customHeight="1">
      <c r="B176" s="79"/>
    </row>
    <row r="177" ht="18.75" customHeight="1">
      <c r="B177" s="79"/>
    </row>
    <row r="178" ht="18.75" customHeight="1">
      <c r="B178" s="79"/>
    </row>
    <row r="179" ht="18.75" customHeight="1">
      <c r="B179" s="79"/>
    </row>
    <row r="180" ht="18.75" customHeight="1">
      <c r="B180" s="79"/>
    </row>
    <row r="181" ht="18.75" customHeight="1">
      <c r="B181" s="79"/>
    </row>
    <row r="182" ht="18.75" customHeight="1">
      <c r="B182" s="79"/>
    </row>
    <row r="183" ht="18.75" customHeight="1">
      <c r="B183" s="79"/>
    </row>
    <row r="184" ht="18.75" customHeight="1">
      <c r="B184" s="79"/>
    </row>
    <row r="185" ht="18.75" customHeight="1">
      <c r="B185" s="79"/>
    </row>
    <row r="186" ht="18.75" customHeight="1">
      <c r="B186" s="79"/>
    </row>
    <row r="187" ht="18.75" customHeight="1">
      <c r="B187" s="79"/>
    </row>
    <row r="188" ht="18.75" customHeight="1">
      <c r="B188" s="79"/>
    </row>
    <row r="189" ht="18.75" customHeight="1">
      <c r="B189" s="79"/>
    </row>
    <row r="190" ht="18.75" customHeight="1">
      <c r="B190" s="79"/>
    </row>
    <row r="191" ht="18.75" customHeight="1">
      <c r="B191" s="79"/>
    </row>
    <row r="192" ht="18.75" customHeight="1">
      <c r="B192" s="79"/>
    </row>
    <row r="193" ht="18.75" customHeight="1">
      <c r="B193" s="79"/>
    </row>
    <row r="194" ht="18.75" customHeight="1">
      <c r="B194" s="79"/>
    </row>
    <row r="195" ht="18.75" customHeight="1">
      <c r="B195" s="79"/>
    </row>
    <row r="196" ht="18.75" customHeight="1">
      <c r="B196" s="79"/>
    </row>
    <row r="197" ht="18.75" customHeight="1">
      <c r="B197" s="79"/>
    </row>
    <row r="198" ht="18.75" customHeight="1">
      <c r="B198" s="79"/>
    </row>
    <row r="199" ht="18.75" customHeight="1">
      <c r="B199" s="79"/>
    </row>
    <row r="200" ht="18.75" customHeight="1">
      <c r="B200" s="79"/>
    </row>
    <row r="201" ht="18.75" customHeight="1">
      <c r="B201" s="79"/>
    </row>
    <row r="202" ht="18.75" customHeight="1">
      <c r="B202" s="79"/>
    </row>
    <row r="203" ht="18.75" customHeight="1">
      <c r="B203" s="79"/>
    </row>
    <row r="204" ht="18.75" customHeight="1">
      <c r="B204" s="79"/>
    </row>
    <row r="205" ht="18.75" customHeight="1">
      <c r="B205" s="79"/>
    </row>
    <row r="206" ht="18.75" customHeight="1">
      <c r="B206" s="79"/>
    </row>
    <row r="207" ht="18.75" customHeight="1">
      <c r="B207" s="79"/>
    </row>
    <row r="208" ht="18.75" customHeight="1">
      <c r="B208" s="79"/>
    </row>
    <row r="209" ht="18.75" customHeight="1">
      <c r="B209" s="79"/>
    </row>
    <row r="210" ht="18.75" customHeight="1">
      <c r="B210" s="79"/>
    </row>
    <row r="211" ht="18.75" customHeight="1">
      <c r="B211" s="79"/>
    </row>
    <row r="212" ht="18.75" customHeight="1">
      <c r="B212" s="79"/>
    </row>
    <row r="213" ht="18.75" customHeight="1">
      <c r="B213" s="79"/>
    </row>
    <row r="214" ht="18.75" customHeight="1">
      <c r="B214" s="79"/>
    </row>
    <row r="215" ht="18.75" customHeight="1">
      <c r="B215" s="79"/>
    </row>
    <row r="216" ht="18.75" customHeight="1">
      <c r="B216" s="79"/>
    </row>
    <row r="217" ht="18.75" customHeight="1">
      <c r="B217" s="79"/>
    </row>
    <row r="218" ht="18.75" customHeight="1">
      <c r="B218" s="79"/>
    </row>
    <row r="219" ht="18.75" customHeight="1">
      <c r="B219" s="79"/>
    </row>
    <row r="220" ht="18.75" customHeight="1">
      <c r="B220" s="79"/>
    </row>
    <row r="221" ht="18.75" customHeight="1">
      <c r="B221" s="79"/>
    </row>
    <row r="222" ht="18.75" customHeight="1">
      <c r="B222" s="79"/>
    </row>
    <row r="223" ht="18.75" customHeight="1">
      <c r="B223" s="79"/>
    </row>
    <row r="224" ht="18.75" customHeight="1">
      <c r="B224" s="79"/>
    </row>
    <row r="225" ht="18.75" customHeight="1">
      <c r="B225" s="79"/>
    </row>
    <row r="226" ht="18.75" customHeight="1">
      <c r="B226" s="79"/>
    </row>
    <row r="227" ht="18.75" customHeight="1">
      <c r="B227" s="79"/>
    </row>
    <row r="228" ht="18.75" customHeight="1">
      <c r="B228" s="79"/>
    </row>
    <row r="229" ht="18.75" customHeight="1">
      <c r="B229" s="79"/>
    </row>
    <row r="230" ht="18.75" customHeight="1">
      <c r="B230" s="79"/>
    </row>
    <row r="231" ht="18.75" customHeight="1">
      <c r="B231" s="79"/>
    </row>
    <row r="232" ht="18.75" customHeight="1">
      <c r="B232" s="79"/>
    </row>
    <row r="233" ht="18.75" customHeight="1">
      <c r="B233" s="79"/>
    </row>
    <row r="234" ht="18.75" customHeight="1">
      <c r="B234" s="79"/>
    </row>
    <row r="235" ht="18.75" customHeight="1">
      <c r="B235" s="79"/>
    </row>
    <row r="236" ht="18.75" customHeight="1">
      <c r="B236" s="79"/>
    </row>
    <row r="237" ht="18.75" customHeight="1">
      <c r="B237" s="79"/>
    </row>
    <row r="238" ht="18.75" customHeight="1">
      <c r="B238" s="79"/>
    </row>
    <row r="239" ht="18.75" customHeight="1">
      <c r="B239" s="79"/>
    </row>
    <row r="240" ht="18.75" customHeight="1">
      <c r="B240" s="79"/>
    </row>
    <row r="241" ht="18.75" customHeight="1">
      <c r="B241" s="79"/>
    </row>
    <row r="242" ht="18.75" customHeight="1">
      <c r="B242" s="79"/>
    </row>
    <row r="243" ht="18.75" customHeight="1">
      <c r="B243" s="79"/>
    </row>
    <row r="244" ht="18.75" customHeight="1">
      <c r="B244" s="79"/>
    </row>
    <row r="245" ht="18.75" customHeight="1">
      <c r="B245" s="79"/>
    </row>
    <row r="246" ht="18.75" customHeight="1">
      <c r="B246" s="79"/>
    </row>
    <row r="247" ht="18.75" customHeight="1">
      <c r="B247" s="79"/>
    </row>
    <row r="248" ht="18.75" customHeight="1">
      <c r="B248" s="79"/>
    </row>
    <row r="249" ht="18.75" customHeight="1">
      <c r="B249" s="79"/>
    </row>
    <row r="250" ht="18.75" customHeight="1">
      <c r="B250" s="79"/>
    </row>
    <row r="251" ht="18.75" customHeight="1">
      <c r="B251" s="79"/>
    </row>
    <row r="252" ht="18.75" customHeight="1">
      <c r="B252" s="79"/>
    </row>
    <row r="253" ht="18.75" customHeight="1">
      <c r="B253" s="79"/>
    </row>
    <row r="254" ht="18.75" customHeight="1">
      <c r="B254" s="79"/>
    </row>
    <row r="255" ht="18.75" customHeight="1">
      <c r="B255" s="79"/>
    </row>
    <row r="256" ht="18.75" customHeight="1">
      <c r="B256" s="79"/>
    </row>
    <row r="257" ht="18.75" customHeight="1">
      <c r="B257" s="79"/>
    </row>
    <row r="258" ht="18.75" customHeight="1">
      <c r="B258" s="79"/>
    </row>
    <row r="259" ht="18.75" customHeight="1">
      <c r="B259" s="79"/>
    </row>
    <row r="260" ht="18.75" customHeight="1">
      <c r="B260" s="79"/>
    </row>
    <row r="261" ht="18.75" customHeight="1">
      <c r="B261" s="79"/>
    </row>
    <row r="262" ht="18.75" customHeight="1">
      <c r="B262" s="79"/>
    </row>
    <row r="263" ht="18.75" customHeight="1">
      <c r="B263" s="79"/>
    </row>
    <row r="264" ht="18.75" customHeight="1">
      <c r="B264" s="79"/>
    </row>
    <row r="265" ht="18.75" customHeight="1">
      <c r="B265" s="79"/>
    </row>
    <row r="266" ht="18.75" customHeight="1">
      <c r="B266" s="79"/>
    </row>
    <row r="267" ht="18.75" customHeight="1">
      <c r="B267" s="79"/>
    </row>
    <row r="268" ht="18.75" customHeight="1">
      <c r="B268" s="79"/>
    </row>
    <row r="269" ht="18.75" customHeight="1">
      <c r="B269" s="79"/>
    </row>
    <row r="270" ht="18.75" customHeight="1">
      <c r="B270" s="79"/>
    </row>
    <row r="271" ht="18.75" customHeight="1">
      <c r="B271" s="79"/>
    </row>
    <row r="272" ht="18.75" customHeight="1">
      <c r="B272" s="79"/>
    </row>
    <row r="273" ht="18.75" customHeight="1">
      <c r="B273" s="79"/>
    </row>
    <row r="274" ht="18.75" customHeight="1">
      <c r="B274" s="79"/>
    </row>
    <row r="275" ht="18.75" customHeight="1">
      <c r="B275" s="79"/>
    </row>
    <row r="276" ht="18.75" customHeight="1">
      <c r="B276" s="79"/>
    </row>
    <row r="277" ht="18.75" customHeight="1">
      <c r="B277" s="79"/>
    </row>
    <row r="278" ht="18.75" customHeight="1">
      <c r="B278" s="79"/>
    </row>
    <row r="279" ht="18.75" customHeight="1">
      <c r="B279" s="79"/>
    </row>
    <row r="280" ht="18.75" customHeight="1">
      <c r="B280" s="79"/>
    </row>
    <row r="281" ht="18.75" customHeight="1">
      <c r="B281" s="79"/>
    </row>
    <row r="282" ht="18.75" customHeight="1">
      <c r="B282" s="79"/>
    </row>
    <row r="283" ht="18.75" customHeight="1">
      <c r="B283" s="79"/>
    </row>
    <row r="284" ht="18.75" customHeight="1">
      <c r="B284" s="79"/>
    </row>
    <row r="285" ht="18.75" customHeight="1">
      <c r="B285" s="79"/>
    </row>
    <row r="286" ht="18.75" customHeight="1">
      <c r="B286" s="79"/>
    </row>
    <row r="287" ht="18.75" customHeight="1">
      <c r="B287" s="79"/>
    </row>
    <row r="288" ht="18.75" customHeight="1">
      <c r="B288" s="79"/>
    </row>
    <row r="289" ht="18.75" customHeight="1">
      <c r="B289" s="79"/>
    </row>
    <row r="290" ht="18.75" customHeight="1">
      <c r="B290" s="79"/>
    </row>
    <row r="291" ht="18.75" customHeight="1">
      <c r="B291" s="79"/>
    </row>
    <row r="292" ht="18.75" customHeight="1">
      <c r="B292" s="79"/>
    </row>
    <row r="293" ht="18.75" customHeight="1">
      <c r="B293" s="79"/>
    </row>
    <row r="294" ht="18.75" customHeight="1">
      <c r="B294" s="79"/>
    </row>
    <row r="295" ht="18.75" customHeight="1">
      <c r="B295" s="79"/>
    </row>
    <row r="296" ht="18.75" customHeight="1">
      <c r="B296" s="79"/>
    </row>
    <row r="297" ht="18.75" customHeight="1">
      <c r="B297" s="79"/>
    </row>
    <row r="298" ht="18.75" customHeight="1">
      <c r="B298" s="79"/>
    </row>
    <row r="299" ht="18.75" customHeight="1">
      <c r="B299" s="79"/>
    </row>
    <row r="300" ht="18.75" customHeight="1">
      <c r="B300" s="79"/>
    </row>
    <row r="301" ht="18.75" customHeight="1">
      <c r="B301" s="79"/>
    </row>
    <row r="302" ht="18.75" customHeight="1">
      <c r="B302" s="79"/>
    </row>
    <row r="303" ht="18.75" customHeight="1">
      <c r="B303" s="79"/>
    </row>
    <row r="304" ht="18.75" customHeight="1">
      <c r="B304" s="79"/>
    </row>
    <row r="305" ht="18.75" customHeight="1">
      <c r="B305" s="79"/>
    </row>
    <row r="306" ht="18.75" customHeight="1">
      <c r="B306" s="79"/>
    </row>
    <row r="307" ht="18.75" customHeight="1">
      <c r="B307" s="79"/>
    </row>
    <row r="308" ht="18.75" customHeight="1">
      <c r="B308" s="79"/>
    </row>
    <row r="309" ht="18.75" customHeight="1">
      <c r="B309" s="79"/>
    </row>
    <row r="310" ht="18.75" customHeight="1">
      <c r="B310" s="79"/>
    </row>
    <row r="311" ht="18.75" customHeight="1">
      <c r="B311" s="79"/>
    </row>
    <row r="312" ht="18.75" customHeight="1">
      <c r="B312" s="79"/>
    </row>
    <row r="313" ht="18.75" customHeight="1">
      <c r="B313" s="79"/>
    </row>
    <row r="314" ht="18.75" customHeight="1">
      <c r="B314" s="79"/>
    </row>
    <row r="315" ht="18.75" customHeight="1">
      <c r="B315" s="79"/>
    </row>
    <row r="316" ht="18.75" customHeight="1">
      <c r="B316" s="79"/>
    </row>
    <row r="317" ht="18.75" customHeight="1">
      <c r="B317" s="79"/>
    </row>
    <row r="318" ht="18.75" customHeight="1">
      <c r="B318" s="79"/>
    </row>
    <row r="319" ht="18.75" customHeight="1">
      <c r="B319" s="79"/>
    </row>
    <row r="320" ht="18.75" customHeight="1">
      <c r="B320" s="79"/>
    </row>
    <row r="321" ht="18.75" customHeight="1">
      <c r="B321" s="79"/>
    </row>
    <row r="322" ht="18.75" customHeight="1">
      <c r="B322" s="79"/>
    </row>
    <row r="323" ht="18.75" customHeight="1">
      <c r="B323" s="79"/>
    </row>
    <row r="324" ht="18.75" customHeight="1">
      <c r="B324" s="79"/>
    </row>
    <row r="325" ht="18.75" customHeight="1">
      <c r="B325" s="79"/>
    </row>
    <row r="326" ht="18.75" customHeight="1">
      <c r="B326" s="79"/>
    </row>
    <row r="327" ht="18.75" customHeight="1">
      <c r="B327" s="79"/>
    </row>
    <row r="328" ht="18.75" customHeight="1">
      <c r="B328" s="79"/>
    </row>
    <row r="329" ht="18.75" customHeight="1">
      <c r="B329" s="79"/>
    </row>
    <row r="330" ht="18.75" customHeight="1">
      <c r="B330" s="79"/>
    </row>
    <row r="331" ht="18.75" customHeight="1">
      <c r="B331" s="79"/>
    </row>
    <row r="332" ht="18.75" customHeight="1">
      <c r="B332" s="79"/>
    </row>
    <row r="333" ht="18.75" customHeight="1">
      <c r="B333" s="79"/>
    </row>
    <row r="334" ht="18.75" customHeight="1">
      <c r="B334" s="79"/>
    </row>
    <row r="335" ht="18.75" customHeight="1">
      <c r="B335" s="79"/>
    </row>
    <row r="336" ht="18.75" customHeight="1">
      <c r="B336" s="79"/>
    </row>
    <row r="337" ht="18.75" customHeight="1">
      <c r="B337" s="79"/>
    </row>
    <row r="338" ht="18.75" customHeight="1">
      <c r="B338" s="79"/>
    </row>
    <row r="339" ht="18.75" customHeight="1">
      <c r="B339" s="79"/>
    </row>
    <row r="340" ht="18.75" customHeight="1">
      <c r="B340" s="79"/>
    </row>
    <row r="341" ht="18.75" customHeight="1">
      <c r="B341" s="79"/>
    </row>
    <row r="342" ht="18.75" customHeight="1">
      <c r="B342" s="79"/>
    </row>
    <row r="343" ht="18.75" customHeight="1">
      <c r="B343" s="79"/>
    </row>
    <row r="344" ht="18.75" customHeight="1">
      <c r="B344" s="79"/>
    </row>
    <row r="345" ht="18.75" customHeight="1">
      <c r="B345" s="79"/>
    </row>
    <row r="346" ht="18.75" customHeight="1">
      <c r="B346" s="79"/>
    </row>
    <row r="347" ht="18.75" customHeight="1">
      <c r="B347" s="79"/>
    </row>
    <row r="348" ht="18.75" customHeight="1">
      <c r="B348" s="79"/>
    </row>
    <row r="349" ht="18.75" customHeight="1">
      <c r="B349" s="79"/>
    </row>
    <row r="350" ht="18.75" customHeight="1">
      <c r="B350" s="79"/>
    </row>
    <row r="351" ht="18.75" customHeight="1">
      <c r="B351" s="79"/>
    </row>
    <row r="352" ht="18.75" customHeight="1">
      <c r="B352" s="79"/>
    </row>
    <row r="353" ht="18.75" customHeight="1">
      <c r="B353" s="79"/>
    </row>
    <row r="354" ht="18.75" customHeight="1">
      <c r="B354" s="79"/>
    </row>
    <row r="355" ht="18.75" customHeight="1">
      <c r="B355" s="79"/>
    </row>
    <row r="356" ht="18.75" customHeight="1">
      <c r="B356" s="79"/>
    </row>
    <row r="357" ht="18.75" customHeight="1">
      <c r="B357" s="79"/>
    </row>
    <row r="358" ht="18.75" customHeight="1">
      <c r="B358" s="79"/>
    </row>
    <row r="359" ht="18.75" customHeight="1">
      <c r="B359" s="79"/>
    </row>
    <row r="360" ht="18.75" customHeight="1">
      <c r="B360" s="79"/>
    </row>
    <row r="361" ht="18.75" customHeight="1">
      <c r="B361" s="79"/>
    </row>
    <row r="362" ht="18.75" customHeight="1">
      <c r="B362" s="79"/>
    </row>
    <row r="363" ht="18.75" customHeight="1">
      <c r="B363" s="79"/>
    </row>
    <row r="364" ht="18.75" customHeight="1">
      <c r="B364" s="79"/>
    </row>
    <row r="365" ht="18.75" customHeight="1">
      <c r="B365" s="79"/>
    </row>
    <row r="366" ht="18.75" customHeight="1">
      <c r="B366" s="79"/>
    </row>
    <row r="367" ht="18.75" customHeight="1">
      <c r="B367" s="79"/>
    </row>
    <row r="368" ht="18.75" customHeight="1">
      <c r="B368" s="79"/>
    </row>
    <row r="369" ht="18.75" customHeight="1">
      <c r="B369" s="79"/>
    </row>
    <row r="370" ht="18.75" customHeight="1">
      <c r="B370" s="79"/>
    </row>
    <row r="371" ht="18.75" customHeight="1">
      <c r="B371" s="79"/>
    </row>
    <row r="372" ht="18.75" customHeight="1">
      <c r="B372" s="79"/>
    </row>
    <row r="373" ht="18.75" customHeight="1">
      <c r="B373" s="79"/>
    </row>
    <row r="374" ht="18.75" customHeight="1">
      <c r="B374" s="79"/>
    </row>
    <row r="375" ht="18.75" customHeight="1">
      <c r="B375" s="79"/>
    </row>
    <row r="376" ht="18.75" customHeight="1">
      <c r="B376" s="79"/>
    </row>
    <row r="377" ht="18.75" customHeight="1">
      <c r="B377" s="79"/>
    </row>
    <row r="378" ht="18.75" customHeight="1">
      <c r="B378" s="79"/>
    </row>
    <row r="379" ht="18.75" customHeight="1">
      <c r="B379" s="79"/>
    </row>
    <row r="380" ht="18.75" customHeight="1">
      <c r="B380" s="79"/>
    </row>
    <row r="381" ht="18.75" customHeight="1">
      <c r="B381" s="79"/>
    </row>
    <row r="382" ht="18.75" customHeight="1">
      <c r="B382" s="79"/>
    </row>
    <row r="383" ht="18.75" customHeight="1">
      <c r="B383" s="79"/>
    </row>
    <row r="384" ht="18.75" customHeight="1">
      <c r="B384" s="79"/>
    </row>
    <row r="385" ht="18.75" customHeight="1">
      <c r="B385" s="79"/>
    </row>
    <row r="386" ht="18.75" customHeight="1">
      <c r="B386" s="79"/>
    </row>
    <row r="387" ht="18.75" customHeight="1">
      <c r="B387" s="79"/>
    </row>
    <row r="388" ht="18.75" customHeight="1">
      <c r="B388" s="79"/>
    </row>
    <row r="389" ht="18.75" customHeight="1">
      <c r="B389" s="79"/>
    </row>
    <row r="390" ht="18.75" customHeight="1">
      <c r="B390" s="79"/>
    </row>
    <row r="391" ht="18.75" customHeight="1">
      <c r="B391" s="79"/>
    </row>
    <row r="392" ht="18.75" customHeight="1">
      <c r="B392" s="79"/>
    </row>
    <row r="393" ht="18.75" customHeight="1">
      <c r="B393" s="79"/>
    </row>
    <row r="394" ht="18.75" customHeight="1">
      <c r="B394" s="79"/>
    </row>
    <row r="395" ht="18.75" customHeight="1">
      <c r="B395" s="79"/>
    </row>
    <row r="396" ht="18.75" customHeight="1">
      <c r="B396" s="79"/>
    </row>
    <row r="397" ht="18.75" customHeight="1">
      <c r="B397" s="79"/>
    </row>
    <row r="398" ht="18.75" customHeight="1">
      <c r="B398" s="79"/>
    </row>
    <row r="399" ht="18.75" customHeight="1">
      <c r="B399" s="79"/>
    </row>
    <row r="400" ht="18.75" customHeight="1">
      <c r="B400" s="79"/>
    </row>
    <row r="401" ht="18.75" customHeight="1">
      <c r="B401" s="79"/>
    </row>
    <row r="402" ht="18.75" customHeight="1">
      <c r="B402" s="79"/>
    </row>
    <row r="403" ht="18.75" customHeight="1">
      <c r="B403" s="79"/>
    </row>
    <row r="404" ht="18.75" customHeight="1">
      <c r="B404" s="79"/>
    </row>
    <row r="405" ht="18.75" customHeight="1">
      <c r="B405" s="79"/>
    </row>
    <row r="406" ht="18.75" customHeight="1">
      <c r="B406" s="79"/>
    </row>
    <row r="407" ht="18.75" customHeight="1">
      <c r="B407" s="79"/>
    </row>
    <row r="408" ht="18.75" customHeight="1">
      <c r="B408" s="79"/>
    </row>
    <row r="409" ht="18.75" customHeight="1">
      <c r="B409" s="79"/>
    </row>
    <row r="410" ht="18.75" customHeight="1">
      <c r="B410" s="79"/>
    </row>
    <row r="411" ht="18.75" customHeight="1">
      <c r="B411" s="79"/>
    </row>
    <row r="412" ht="18.75" customHeight="1">
      <c r="B412" s="79"/>
    </row>
    <row r="413" ht="18.75" customHeight="1">
      <c r="B413" s="79"/>
    </row>
    <row r="414" ht="18.75" customHeight="1">
      <c r="B414" s="79"/>
    </row>
    <row r="415" ht="18.75" customHeight="1">
      <c r="B415" s="79"/>
    </row>
    <row r="416" ht="18.75" customHeight="1">
      <c r="B416" s="79"/>
    </row>
    <row r="417" ht="18.75" customHeight="1">
      <c r="B417" s="79"/>
    </row>
    <row r="418" ht="18.75" customHeight="1">
      <c r="B418" s="79"/>
    </row>
    <row r="419" ht="18.75" customHeight="1">
      <c r="B419" s="79"/>
    </row>
    <row r="420" ht="18.75" customHeight="1">
      <c r="B420" s="79"/>
    </row>
    <row r="421" ht="18.75" customHeight="1">
      <c r="B421" s="79"/>
    </row>
    <row r="422" ht="18.75" customHeight="1">
      <c r="B422" s="79"/>
    </row>
    <row r="423" ht="18.75" customHeight="1">
      <c r="B423" s="79"/>
    </row>
    <row r="424" ht="18.75" customHeight="1">
      <c r="B424" s="79"/>
    </row>
    <row r="425" ht="18.75" customHeight="1">
      <c r="B425" s="79"/>
    </row>
    <row r="426" ht="18.75" customHeight="1">
      <c r="B426" s="79"/>
    </row>
    <row r="427" ht="18.75" customHeight="1">
      <c r="B427" s="79"/>
    </row>
    <row r="428" ht="18.75" customHeight="1">
      <c r="B428" s="79"/>
    </row>
    <row r="429" ht="18.75" customHeight="1">
      <c r="B429" s="79"/>
    </row>
    <row r="430" ht="18.75" customHeight="1">
      <c r="B430" s="79"/>
    </row>
    <row r="431" ht="18.75" customHeight="1">
      <c r="B431" s="79"/>
    </row>
    <row r="432" ht="18.75" customHeight="1">
      <c r="B432" s="79"/>
    </row>
    <row r="433" ht="18.75" customHeight="1">
      <c r="B433" s="79"/>
    </row>
    <row r="434" ht="18.75" customHeight="1">
      <c r="B434" s="79"/>
    </row>
    <row r="435" ht="18.75" customHeight="1">
      <c r="B435" s="79"/>
    </row>
    <row r="436" ht="18.75" customHeight="1">
      <c r="B436" s="79"/>
    </row>
    <row r="437" ht="18.75" customHeight="1">
      <c r="B437" s="79"/>
    </row>
    <row r="438" ht="18.75" customHeight="1">
      <c r="B438" s="79"/>
    </row>
    <row r="439" ht="18.75" customHeight="1">
      <c r="B439" s="79"/>
    </row>
    <row r="440" ht="18.75" customHeight="1">
      <c r="B440" s="79"/>
    </row>
    <row r="441" ht="18.75" customHeight="1">
      <c r="B441" s="79"/>
    </row>
    <row r="442" ht="18.75" customHeight="1">
      <c r="B442" s="79"/>
    </row>
    <row r="443" ht="18.75" customHeight="1">
      <c r="B443" s="79"/>
    </row>
    <row r="444" ht="18.75" customHeight="1">
      <c r="B444" s="79"/>
    </row>
    <row r="445" ht="18.75" customHeight="1">
      <c r="B445" s="79"/>
    </row>
    <row r="446" ht="18.75" customHeight="1">
      <c r="B446" s="79"/>
    </row>
    <row r="447" ht="18.75" customHeight="1">
      <c r="B447" s="79"/>
    </row>
    <row r="448" ht="18.75" customHeight="1">
      <c r="B448" s="79"/>
    </row>
    <row r="449" ht="18.75" customHeight="1">
      <c r="B449" s="79"/>
    </row>
    <row r="450" ht="18.75" customHeight="1">
      <c r="B450" s="79"/>
    </row>
    <row r="451" ht="18.75" customHeight="1">
      <c r="B451" s="79"/>
    </row>
    <row r="452" ht="18.75" customHeight="1">
      <c r="B452" s="79"/>
    </row>
    <row r="453" ht="18.75" customHeight="1">
      <c r="B453" s="79"/>
    </row>
    <row r="454" ht="18.75" customHeight="1">
      <c r="B454" s="79"/>
    </row>
    <row r="455" ht="18.75" customHeight="1">
      <c r="B455" s="79"/>
    </row>
    <row r="456" ht="18.75" customHeight="1">
      <c r="B456" s="79"/>
    </row>
    <row r="457" ht="18.75" customHeight="1">
      <c r="B457" s="79"/>
    </row>
    <row r="458" ht="18.75" customHeight="1">
      <c r="B458" s="79"/>
    </row>
    <row r="459" ht="18.75" customHeight="1">
      <c r="B459" s="79"/>
    </row>
    <row r="460" ht="18.75" customHeight="1">
      <c r="B460" s="79"/>
    </row>
    <row r="461" ht="18.75" customHeight="1">
      <c r="B461" s="79"/>
    </row>
    <row r="462" ht="18.75" customHeight="1">
      <c r="B462" s="79"/>
    </row>
    <row r="463" ht="18.75" customHeight="1">
      <c r="B463" s="79"/>
    </row>
    <row r="464" ht="18.75" customHeight="1">
      <c r="B464" s="79"/>
    </row>
    <row r="465" ht="18.75" customHeight="1">
      <c r="B465" s="79"/>
    </row>
    <row r="466" ht="18.75" customHeight="1">
      <c r="B466" s="79"/>
    </row>
    <row r="467" ht="18.75" customHeight="1">
      <c r="B467" s="79"/>
    </row>
    <row r="468" ht="18.75" customHeight="1">
      <c r="B468" s="79"/>
    </row>
    <row r="469" ht="18.75" customHeight="1">
      <c r="B469" s="79"/>
    </row>
    <row r="470" ht="18.75" customHeight="1">
      <c r="B470" s="79"/>
    </row>
    <row r="471" ht="18.75" customHeight="1">
      <c r="B471" s="79"/>
    </row>
    <row r="472" ht="18.75" customHeight="1">
      <c r="B472" s="79"/>
    </row>
    <row r="473" ht="18.75" customHeight="1">
      <c r="B473" s="79"/>
    </row>
    <row r="474" ht="18.75" customHeight="1">
      <c r="B474" s="79"/>
    </row>
    <row r="475" ht="18.75" customHeight="1">
      <c r="B475" s="79"/>
    </row>
    <row r="476" ht="18.75" customHeight="1">
      <c r="B476" s="79"/>
    </row>
    <row r="477" ht="18.75" customHeight="1">
      <c r="B477" s="79"/>
    </row>
    <row r="478" ht="18.75" customHeight="1">
      <c r="B478" s="79"/>
    </row>
    <row r="479" ht="18.75" customHeight="1">
      <c r="B479" s="79"/>
    </row>
    <row r="480" ht="18.75" customHeight="1">
      <c r="B480" s="79"/>
    </row>
    <row r="481" ht="18.75" customHeight="1">
      <c r="B481" s="79"/>
    </row>
    <row r="482" ht="18.75" customHeight="1">
      <c r="B482" s="79"/>
    </row>
    <row r="483" ht="18.75" customHeight="1">
      <c r="B483" s="79"/>
    </row>
    <row r="484" ht="18.75" customHeight="1">
      <c r="B484" s="79"/>
    </row>
    <row r="485" ht="18.75" customHeight="1">
      <c r="B485" s="79"/>
    </row>
    <row r="486" ht="18.75" customHeight="1">
      <c r="B486" s="79"/>
    </row>
    <row r="487" ht="18.75" customHeight="1">
      <c r="B487" s="79"/>
    </row>
    <row r="488" ht="18.75" customHeight="1">
      <c r="B488" s="79"/>
    </row>
    <row r="489" ht="18.75" customHeight="1">
      <c r="B489" s="79"/>
    </row>
    <row r="490" ht="18.75" customHeight="1">
      <c r="B490" s="79"/>
    </row>
    <row r="491" ht="18.75" customHeight="1">
      <c r="B491" s="79"/>
    </row>
    <row r="492" ht="18.75" customHeight="1">
      <c r="B492" s="79"/>
    </row>
    <row r="493" ht="18.75" customHeight="1">
      <c r="B493" s="79"/>
    </row>
    <row r="494" ht="18.75" customHeight="1">
      <c r="B494" s="79"/>
    </row>
    <row r="495" ht="18.75" customHeight="1">
      <c r="B495" s="79"/>
    </row>
    <row r="496" ht="18.75" customHeight="1">
      <c r="B496" s="79"/>
    </row>
    <row r="497" ht="18.75" customHeight="1">
      <c r="B497" s="79"/>
    </row>
    <row r="498" ht="18.75" customHeight="1">
      <c r="B498" s="79"/>
    </row>
    <row r="499" ht="18.75" customHeight="1">
      <c r="B499" s="79"/>
    </row>
    <row r="500" ht="18.75" customHeight="1">
      <c r="B500" s="79"/>
    </row>
    <row r="501" ht="18.75" customHeight="1">
      <c r="B501" s="79"/>
    </row>
    <row r="502" ht="18.75" customHeight="1">
      <c r="B502" s="79"/>
    </row>
    <row r="503" ht="18.75" customHeight="1">
      <c r="B503" s="79"/>
    </row>
    <row r="504" ht="18.75" customHeight="1">
      <c r="B504" s="79"/>
    </row>
    <row r="505" ht="18.75" customHeight="1">
      <c r="B505" s="79"/>
    </row>
    <row r="506" ht="18.75" customHeight="1">
      <c r="B506" s="79"/>
    </row>
    <row r="507" ht="18.75" customHeight="1">
      <c r="B507" s="79"/>
    </row>
    <row r="508" ht="18.75" customHeight="1">
      <c r="B508" s="79"/>
    </row>
    <row r="509" ht="18.75" customHeight="1">
      <c r="B509" s="79"/>
    </row>
    <row r="510" ht="18.75" customHeight="1">
      <c r="B510" s="79"/>
    </row>
    <row r="511" ht="18.75" customHeight="1">
      <c r="B511" s="79"/>
    </row>
    <row r="512" ht="18.75" customHeight="1">
      <c r="B512" s="79"/>
    </row>
    <row r="513" ht="18.75" customHeight="1">
      <c r="B513" s="79"/>
    </row>
    <row r="514" ht="18.75" customHeight="1">
      <c r="B514" s="79"/>
    </row>
    <row r="515" ht="18.75" customHeight="1">
      <c r="B515" s="79"/>
    </row>
    <row r="516" ht="18.75" customHeight="1">
      <c r="B516" s="79"/>
    </row>
    <row r="517" ht="18.75" customHeight="1">
      <c r="B517" s="79"/>
    </row>
    <row r="518" ht="18.75" customHeight="1">
      <c r="B518" s="79"/>
    </row>
    <row r="519" ht="18.75" customHeight="1">
      <c r="B519" s="79"/>
    </row>
    <row r="520" ht="18.75" customHeight="1">
      <c r="B520" s="79"/>
    </row>
    <row r="521" ht="18.75" customHeight="1">
      <c r="B521" s="79"/>
    </row>
    <row r="522" ht="18.75" customHeight="1">
      <c r="B522" s="79"/>
    </row>
    <row r="523" ht="18.75" customHeight="1">
      <c r="B523" s="79"/>
    </row>
    <row r="524" ht="18.75" customHeight="1">
      <c r="B524" s="79"/>
    </row>
    <row r="525" ht="18.75" customHeight="1">
      <c r="B525" s="79"/>
    </row>
    <row r="526" ht="18.75" customHeight="1">
      <c r="B526" s="79"/>
    </row>
    <row r="527" ht="18.75" customHeight="1">
      <c r="B527" s="79"/>
    </row>
    <row r="528" ht="18.75" customHeight="1">
      <c r="B528" s="79"/>
    </row>
    <row r="529" ht="18.75" customHeight="1">
      <c r="B529" s="79"/>
    </row>
    <row r="530" ht="18.75" customHeight="1">
      <c r="B530" s="79"/>
    </row>
    <row r="531" ht="18.75" customHeight="1">
      <c r="B531" s="79"/>
    </row>
    <row r="532" ht="18.75" customHeight="1">
      <c r="B532" s="79"/>
    </row>
    <row r="533" ht="18.75" customHeight="1">
      <c r="B533" s="79"/>
    </row>
    <row r="534" ht="18.75" customHeight="1">
      <c r="B534" s="79"/>
    </row>
    <row r="535" ht="18.75" customHeight="1">
      <c r="B535" s="79"/>
    </row>
    <row r="536" ht="18.75" customHeight="1">
      <c r="B536" s="79"/>
    </row>
    <row r="537" ht="18.75" customHeight="1">
      <c r="B537" s="79"/>
    </row>
    <row r="538" ht="18.75" customHeight="1">
      <c r="B538" s="79"/>
    </row>
    <row r="539" ht="18.75" customHeight="1">
      <c r="B539" s="79"/>
    </row>
    <row r="540" ht="18.75" customHeight="1">
      <c r="B540" s="79"/>
    </row>
    <row r="541" ht="18.75" customHeight="1">
      <c r="B541" s="79"/>
    </row>
    <row r="542" ht="18.75" customHeight="1">
      <c r="B542" s="79"/>
    </row>
    <row r="543" ht="18.75" customHeight="1">
      <c r="B543" s="79"/>
    </row>
    <row r="544" ht="18.75" customHeight="1">
      <c r="B544" s="79"/>
    </row>
    <row r="545" ht="18.75" customHeight="1">
      <c r="B545" s="79"/>
    </row>
    <row r="546" ht="18.75" customHeight="1">
      <c r="B546" s="79"/>
    </row>
    <row r="547" ht="18.75" customHeight="1">
      <c r="B547" s="79"/>
    </row>
    <row r="548" ht="18.75" customHeight="1">
      <c r="B548" s="79"/>
    </row>
    <row r="549" ht="18.75" customHeight="1">
      <c r="B549" s="79"/>
    </row>
    <row r="550" ht="18.75" customHeight="1">
      <c r="B550" s="79"/>
    </row>
    <row r="551" ht="18.75" customHeight="1">
      <c r="B551" s="79"/>
    </row>
    <row r="552" ht="18.75" customHeight="1">
      <c r="B552" s="79"/>
    </row>
    <row r="553" ht="18.75" customHeight="1">
      <c r="B553" s="79"/>
    </row>
    <row r="554" ht="18.75" customHeight="1">
      <c r="B554" s="79"/>
    </row>
    <row r="555" ht="18.75" customHeight="1">
      <c r="B555" s="79"/>
    </row>
    <row r="556" ht="18.75" customHeight="1">
      <c r="B556" s="79"/>
    </row>
    <row r="557" ht="18.75" customHeight="1">
      <c r="B557" s="79"/>
    </row>
    <row r="558" ht="18.75" customHeight="1">
      <c r="B558" s="79"/>
    </row>
    <row r="559" ht="18.75" customHeight="1">
      <c r="B559" s="79"/>
    </row>
    <row r="560" ht="18.75" customHeight="1">
      <c r="B560" s="79"/>
    </row>
    <row r="561" ht="18.75" customHeight="1">
      <c r="B561" s="79"/>
    </row>
    <row r="562" ht="18.75" customHeight="1">
      <c r="B562" s="79"/>
    </row>
    <row r="563" ht="18.75" customHeight="1">
      <c r="B563" s="79"/>
    </row>
    <row r="564" ht="18.75" customHeight="1">
      <c r="B564" s="79"/>
    </row>
    <row r="565" ht="18.75" customHeight="1">
      <c r="B565" s="79"/>
    </row>
    <row r="566" ht="18.75" customHeight="1">
      <c r="B566" s="79"/>
    </row>
    <row r="567" ht="18.75" customHeight="1">
      <c r="B567" s="79"/>
    </row>
    <row r="568" ht="18.75" customHeight="1">
      <c r="B568" s="79"/>
    </row>
    <row r="569" ht="18.75" customHeight="1">
      <c r="B569" s="79"/>
    </row>
    <row r="570" ht="18.75" customHeight="1">
      <c r="B570" s="79"/>
    </row>
    <row r="571" ht="18.75" customHeight="1">
      <c r="B571" s="79"/>
    </row>
    <row r="572" ht="18.75" customHeight="1">
      <c r="B572" s="79"/>
    </row>
    <row r="573" ht="18.75" customHeight="1">
      <c r="B573" s="79"/>
    </row>
    <row r="574" ht="18.75" customHeight="1">
      <c r="B574" s="79"/>
    </row>
    <row r="575" ht="18.75" customHeight="1">
      <c r="B575" s="79"/>
    </row>
    <row r="576" ht="18.75" customHeight="1">
      <c r="B576" s="79"/>
    </row>
    <row r="577" ht="18.75" customHeight="1">
      <c r="B577" s="79"/>
    </row>
    <row r="578" ht="18.75" customHeight="1">
      <c r="B578" s="79"/>
    </row>
    <row r="579" ht="18.75" customHeight="1">
      <c r="B579" s="79"/>
    </row>
    <row r="580" ht="18.75" customHeight="1">
      <c r="B580" s="79"/>
    </row>
    <row r="581" ht="18.75" customHeight="1">
      <c r="B581" s="79"/>
    </row>
    <row r="582" ht="18.75" customHeight="1">
      <c r="B582" s="79"/>
    </row>
    <row r="583" ht="18.75" customHeight="1">
      <c r="B583" s="79"/>
    </row>
    <row r="584" ht="18.75" customHeight="1">
      <c r="B584" s="79"/>
    </row>
    <row r="585" ht="18.75" customHeight="1">
      <c r="B585" s="79"/>
    </row>
    <row r="586" ht="18.75" customHeight="1">
      <c r="B586" s="79"/>
    </row>
    <row r="587" ht="18.75" customHeight="1">
      <c r="B587" s="79"/>
    </row>
    <row r="588" ht="18.75" customHeight="1">
      <c r="B588" s="79"/>
    </row>
    <row r="589" ht="18.75" customHeight="1">
      <c r="B589" s="79"/>
    </row>
    <row r="590" ht="18.75" customHeight="1">
      <c r="B590" s="79"/>
    </row>
    <row r="591" ht="18.75" customHeight="1">
      <c r="B591" s="79"/>
    </row>
    <row r="592" ht="18.75" customHeight="1">
      <c r="B592" s="79"/>
    </row>
    <row r="593" ht="18.75" customHeight="1">
      <c r="B593" s="79"/>
    </row>
    <row r="594" ht="18.75" customHeight="1">
      <c r="B594" s="79"/>
    </row>
    <row r="595" ht="18.75" customHeight="1">
      <c r="B595" s="79"/>
    </row>
    <row r="596" ht="18.75" customHeight="1">
      <c r="B596" s="79"/>
    </row>
    <row r="597" ht="18.75" customHeight="1">
      <c r="B597" s="79"/>
    </row>
    <row r="598" ht="18.75" customHeight="1">
      <c r="B598" s="79"/>
    </row>
    <row r="599" ht="18.75" customHeight="1">
      <c r="B599" s="79"/>
    </row>
    <row r="600" ht="18.75" customHeight="1">
      <c r="B600" s="79"/>
    </row>
    <row r="601" ht="18.75" customHeight="1">
      <c r="B601" s="79"/>
    </row>
    <row r="602" ht="18.75" customHeight="1">
      <c r="B602" s="79"/>
    </row>
    <row r="603" ht="18.75" customHeight="1">
      <c r="B603" s="79"/>
    </row>
    <row r="604" ht="18.75" customHeight="1">
      <c r="B604" s="79"/>
    </row>
    <row r="605" ht="18.75" customHeight="1">
      <c r="B605" s="79"/>
    </row>
    <row r="606" ht="18.75" customHeight="1">
      <c r="B606" s="79"/>
    </row>
    <row r="607" ht="18.75" customHeight="1">
      <c r="B607" s="79"/>
    </row>
    <row r="608" ht="18.75" customHeight="1">
      <c r="B608" s="79"/>
    </row>
    <row r="609" ht="18.75" customHeight="1">
      <c r="B609" s="79"/>
    </row>
    <row r="610" ht="18.75" customHeight="1">
      <c r="B610" s="79"/>
    </row>
    <row r="611" ht="18.75" customHeight="1">
      <c r="B611" s="79"/>
    </row>
    <row r="612" ht="18.75" customHeight="1">
      <c r="B612" s="79"/>
    </row>
    <row r="613" ht="18.75" customHeight="1">
      <c r="B613" s="79"/>
    </row>
    <row r="614" ht="18.75" customHeight="1">
      <c r="B614" s="79"/>
    </row>
    <row r="615" ht="18.75" customHeight="1">
      <c r="B615" s="79"/>
    </row>
    <row r="616" ht="18.75" customHeight="1">
      <c r="B616" s="79"/>
    </row>
    <row r="617" ht="18.75" customHeight="1">
      <c r="B617" s="79"/>
    </row>
    <row r="618" ht="18.75" customHeight="1">
      <c r="B618" s="79"/>
    </row>
    <row r="619" ht="18.75" customHeight="1">
      <c r="B619" s="79"/>
    </row>
    <row r="620" ht="18.75" customHeight="1">
      <c r="B620" s="79"/>
    </row>
    <row r="621" ht="18.75" customHeight="1">
      <c r="B621" s="79"/>
    </row>
    <row r="622" ht="18.75" customHeight="1">
      <c r="B622" s="79"/>
    </row>
    <row r="623" ht="18.75" customHeight="1">
      <c r="B623" s="79"/>
    </row>
    <row r="624" ht="18.75" customHeight="1">
      <c r="B624" s="79"/>
    </row>
    <row r="625" ht="18.75" customHeight="1">
      <c r="B625" s="79"/>
    </row>
    <row r="626" ht="18.75" customHeight="1">
      <c r="B626" s="79"/>
    </row>
    <row r="627" ht="18.75" customHeight="1">
      <c r="B627" s="79"/>
    </row>
    <row r="628" ht="18.75" customHeight="1">
      <c r="B628" s="79"/>
    </row>
    <row r="629" ht="18.75" customHeight="1">
      <c r="B629" s="79"/>
    </row>
    <row r="630" ht="18.75" customHeight="1">
      <c r="B630" s="79"/>
    </row>
    <row r="631" ht="18.75" customHeight="1">
      <c r="B631" s="79"/>
    </row>
    <row r="632" ht="18.75" customHeight="1">
      <c r="B632" s="79"/>
    </row>
    <row r="633" ht="18.75" customHeight="1">
      <c r="B633" s="79"/>
    </row>
    <row r="634" ht="18.75" customHeight="1">
      <c r="B634" s="79"/>
    </row>
    <row r="635" ht="18.75" customHeight="1">
      <c r="B635" s="79"/>
    </row>
    <row r="636" ht="18.75" customHeight="1">
      <c r="B636" s="79"/>
    </row>
    <row r="637" ht="18.75" customHeight="1">
      <c r="B637" s="79"/>
    </row>
    <row r="638" ht="18.75" customHeight="1">
      <c r="B638" s="79"/>
    </row>
    <row r="639" ht="18.75" customHeight="1">
      <c r="B639" s="79"/>
    </row>
    <row r="640" ht="18.75" customHeight="1">
      <c r="B640" s="79"/>
    </row>
    <row r="641" ht="18.75" customHeight="1">
      <c r="B641" s="79"/>
    </row>
    <row r="642" ht="18.75" customHeight="1">
      <c r="B642" s="79"/>
    </row>
    <row r="643" ht="18.75" customHeight="1">
      <c r="B643" s="79"/>
    </row>
    <row r="644" ht="18.75" customHeight="1">
      <c r="B644" s="79"/>
    </row>
    <row r="645" ht="18.75" customHeight="1">
      <c r="B645" s="79"/>
    </row>
    <row r="646" ht="18.75" customHeight="1">
      <c r="B646" s="79"/>
    </row>
    <row r="647" ht="18.75" customHeight="1">
      <c r="B647" s="79"/>
    </row>
    <row r="648" ht="18.75" customHeight="1">
      <c r="B648" s="79"/>
    </row>
    <row r="649" ht="18.75" customHeight="1">
      <c r="B649" s="79"/>
    </row>
    <row r="650" ht="18.75" customHeight="1">
      <c r="B650" s="79"/>
    </row>
    <row r="651" ht="18.75" customHeight="1">
      <c r="B651" s="79"/>
    </row>
    <row r="652" ht="18.75" customHeight="1">
      <c r="B652" s="79"/>
    </row>
    <row r="653" ht="18.75" customHeight="1">
      <c r="B653" s="79"/>
    </row>
    <row r="654" ht="18.75" customHeight="1">
      <c r="B654" s="79"/>
    </row>
    <row r="655" ht="18.75" customHeight="1">
      <c r="B655" s="79"/>
    </row>
    <row r="656" ht="18.75" customHeight="1">
      <c r="B656" s="79"/>
    </row>
    <row r="657" ht="18.75" customHeight="1">
      <c r="B657" s="79"/>
    </row>
    <row r="658" ht="18.75" customHeight="1">
      <c r="B658" s="79"/>
    </row>
    <row r="659" ht="18.75" customHeight="1">
      <c r="B659" s="79"/>
    </row>
    <row r="660" ht="18.75" customHeight="1">
      <c r="B660" s="79"/>
    </row>
    <row r="661" ht="18.75" customHeight="1">
      <c r="B661" s="79"/>
    </row>
    <row r="662" ht="18.75" customHeight="1">
      <c r="B662" s="79"/>
    </row>
    <row r="663" ht="18.75" customHeight="1">
      <c r="B663" s="79"/>
    </row>
    <row r="664" ht="18.75" customHeight="1">
      <c r="B664" s="79"/>
    </row>
    <row r="665" ht="18.75" customHeight="1">
      <c r="B665" s="79"/>
    </row>
    <row r="666" ht="18.75" customHeight="1">
      <c r="B666" s="79"/>
    </row>
    <row r="667" ht="18.75" customHeight="1">
      <c r="B667" s="79"/>
    </row>
    <row r="668" ht="18.75" customHeight="1">
      <c r="B668" s="79"/>
    </row>
    <row r="669" ht="18.75" customHeight="1">
      <c r="B669" s="79"/>
    </row>
    <row r="670" ht="18.75" customHeight="1">
      <c r="B670" s="79"/>
    </row>
    <row r="671" ht="18.75" customHeight="1">
      <c r="B671" s="79"/>
    </row>
    <row r="672" ht="18.75" customHeight="1">
      <c r="B672" s="79"/>
    </row>
    <row r="673" ht="18.75" customHeight="1">
      <c r="B673" s="79"/>
    </row>
    <row r="674" ht="18.75" customHeight="1">
      <c r="B674" s="79"/>
    </row>
    <row r="675" ht="18.75" customHeight="1">
      <c r="B675" s="79"/>
    </row>
    <row r="676" ht="18.75" customHeight="1">
      <c r="B676" s="79"/>
    </row>
    <row r="677" ht="18.75" customHeight="1">
      <c r="B677" s="79"/>
    </row>
    <row r="678" ht="18.75" customHeight="1">
      <c r="B678" s="79"/>
    </row>
    <row r="679" ht="18.75" customHeight="1">
      <c r="B679" s="79"/>
    </row>
    <row r="680" ht="18.75" customHeight="1">
      <c r="B680" s="79"/>
    </row>
    <row r="681" ht="18.75" customHeight="1">
      <c r="B681" s="79"/>
    </row>
    <row r="682" ht="18.75" customHeight="1">
      <c r="B682" s="79"/>
    </row>
    <row r="683" ht="18.75" customHeight="1">
      <c r="B683" s="79"/>
    </row>
    <row r="684" ht="18.75" customHeight="1">
      <c r="B684" s="79"/>
    </row>
    <row r="685" ht="18.75" customHeight="1">
      <c r="B685" s="79"/>
    </row>
    <row r="686" ht="18.75" customHeight="1">
      <c r="B686" s="79"/>
    </row>
    <row r="687" ht="18.75" customHeight="1">
      <c r="B687" s="79"/>
    </row>
    <row r="688" ht="18.75" customHeight="1">
      <c r="B688" s="79"/>
    </row>
    <row r="689" ht="18.75" customHeight="1">
      <c r="B689" s="79"/>
    </row>
    <row r="690" ht="18.75" customHeight="1">
      <c r="B690" s="79"/>
    </row>
    <row r="691" ht="18.75" customHeight="1">
      <c r="B691" s="79"/>
    </row>
    <row r="692" ht="18.75" customHeight="1">
      <c r="B692" s="79"/>
    </row>
    <row r="693" ht="18.75" customHeight="1">
      <c r="B693" s="79"/>
    </row>
    <row r="694" ht="18.75" customHeight="1">
      <c r="B694" s="79"/>
    </row>
    <row r="695" ht="18.75" customHeight="1">
      <c r="B695" s="79"/>
    </row>
    <row r="696" ht="18.75" customHeight="1">
      <c r="B696" s="79"/>
    </row>
    <row r="697" ht="18.75" customHeight="1">
      <c r="B697" s="79"/>
    </row>
    <row r="698" ht="18.75" customHeight="1">
      <c r="B698" s="79"/>
    </row>
    <row r="699" ht="18.75" customHeight="1">
      <c r="B699" s="79"/>
    </row>
    <row r="700" ht="18.75" customHeight="1">
      <c r="B700" s="79"/>
    </row>
    <row r="701" ht="18.75" customHeight="1">
      <c r="B701" s="79"/>
    </row>
    <row r="702" ht="18.75" customHeight="1">
      <c r="B702" s="79"/>
    </row>
    <row r="703" ht="18.75" customHeight="1">
      <c r="B703" s="79"/>
    </row>
    <row r="704" ht="18.75" customHeight="1">
      <c r="B704" s="79"/>
    </row>
    <row r="705" ht="18.75" customHeight="1">
      <c r="B705" s="79"/>
    </row>
    <row r="706" ht="18.75" customHeight="1">
      <c r="B706" s="79"/>
    </row>
    <row r="707" ht="18.75" customHeight="1">
      <c r="B707" s="79"/>
    </row>
    <row r="708" ht="18.75" customHeight="1">
      <c r="B708" s="79"/>
    </row>
    <row r="709" ht="18.75" customHeight="1">
      <c r="B709" s="79"/>
    </row>
    <row r="710" ht="18.75" customHeight="1">
      <c r="B710" s="79"/>
    </row>
    <row r="711" ht="18.75" customHeight="1">
      <c r="B711" s="79"/>
    </row>
    <row r="712" ht="18.75" customHeight="1">
      <c r="B712" s="79"/>
    </row>
    <row r="713" ht="18.75" customHeight="1">
      <c r="B713" s="79"/>
    </row>
    <row r="714" ht="18.75" customHeight="1">
      <c r="B714" s="79"/>
    </row>
    <row r="715" ht="18.75" customHeight="1">
      <c r="B715" s="79"/>
    </row>
    <row r="716" ht="18.75" customHeight="1">
      <c r="B716" s="79"/>
    </row>
    <row r="717" ht="18.75" customHeight="1">
      <c r="B717" s="79"/>
    </row>
    <row r="718" ht="18.75" customHeight="1">
      <c r="B718" s="79"/>
    </row>
    <row r="719" ht="18.75" customHeight="1">
      <c r="B719" s="79"/>
    </row>
    <row r="720" ht="18.75" customHeight="1">
      <c r="B720" s="79"/>
    </row>
    <row r="721" ht="18.75" customHeight="1">
      <c r="B721" s="79"/>
    </row>
    <row r="722" ht="18.75" customHeight="1">
      <c r="B722" s="79"/>
    </row>
    <row r="723" ht="18.75" customHeight="1">
      <c r="B723" s="79"/>
    </row>
    <row r="724" ht="18.75" customHeight="1">
      <c r="B724" s="79"/>
    </row>
    <row r="725" ht="18.75" customHeight="1">
      <c r="B725" s="79"/>
    </row>
    <row r="726" ht="18.75" customHeight="1">
      <c r="B726" s="79"/>
    </row>
    <row r="727" ht="18.75" customHeight="1">
      <c r="B727" s="79"/>
    </row>
    <row r="728" ht="18.75" customHeight="1">
      <c r="B728" s="79"/>
    </row>
    <row r="729" ht="18.75" customHeight="1">
      <c r="B729" s="79"/>
    </row>
    <row r="730" ht="18.75" customHeight="1">
      <c r="B730" s="79"/>
    </row>
    <row r="731" ht="18.75" customHeight="1">
      <c r="B731" s="79"/>
    </row>
    <row r="732" ht="18.75" customHeight="1">
      <c r="B732" s="79"/>
    </row>
    <row r="733" ht="18.75" customHeight="1">
      <c r="B733" s="79"/>
    </row>
    <row r="734" ht="18.75" customHeight="1">
      <c r="B734" s="79"/>
    </row>
    <row r="735" ht="18.75" customHeight="1">
      <c r="B735" s="79"/>
    </row>
    <row r="736" ht="18.75" customHeight="1">
      <c r="B736" s="79"/>
    </row>
    <row r="737" ht="18.75" customHeight="1">
      <c r="B737" s="79"/>
    </row>
    <row r="738" ht="18.75" customHeight="1">
      <c r="B738" s="79"/>
    </row>
    <row r="739" ht="18.75" customHeight="1">
      <c r="B739" s="79"/>
    </row>
    <row r="740" ht="18.75" customHeight="1">
      <c r="B740" s="79"/>
    </row>
    <row r="741" ht="18.75" customHeight="1">
      <c r="B741" s="79"/>
    </row>
    <row r="742" ht="18.75" customHeight="1">
      <c r="B742" s="79"/>
    </row>
    <row r="743" ht="18.75" customHeight="1">
      <c r="B743" s="79"/>
    </row>
    <row r="744" ht="18.75" customHeight="1">
      <c r="B744" s="79"/>
    </row>
    <row r="745" ht="18.75" customHeight="1">
      <c r="B745" s="79"/>
    </row>
    <row r="746" ht="18.75" customHeight="1">
      <c r="B746" s="79"/>
    </row>
    <row r="747" ht="18.75" customHeight="1">
      <c r="B747" s="79"/>
    </row>
    <row r="748" ht="18.75" customHeight="1">
      <c r="B748" s="79"/>
    </row>
    <row r="749" ht="18.75" customHeight="1">
      <c r="B749" s="79"/>
    </row>
    <row r="750" ht="18.75" customHeight="1">
      <c r="B750" s="79"/>
    </row>
    <row r="751" ht="18.75" customHeight="1">
      <c r="B751" s="79"/>
    </row>
    <row r="752" ht="18.75" customHeight="1">
      <c r="B752" s="79"/>
    </row>
    <row r="753" ht="18.75" customHeight="1">
      <c r="B753" s="79"/>
    </row>
    <row r="754" ht="18.75" customHeight="1">
      <c r="B754" s="79"/>
    </row>
    <row r="755" ht="18.75" customHeight="1">
      <c r="B755" s="79"/>
    </row>
    <row r="756" ht="18.75" customHeight="1">
      <c r="B756" s="79"/>
    </row>
    <row r="757" ht="18.75" customHeight="1">
      <c r="B757" s="79"/>
    </row>
    <row r="758" ht="18.75" customHeight="1">
      <c r="B758" s="79"/>
    </row>
    <row r="759" ht="18.75" customHeight="1">
      <c r="B759" s="79"/>
    </row>
    <row r="760" ht="18.75" customHeight="1">
      <c r="B760" s="79"/>
    </row>
    <row r="761" ht="18.75" customHeight="1">
      <c r="B761" s="79"/>
    </row>
    <row r="762" ht="18.75" customHeight="1">
      <c r="B762" s="79"/>
    </row>
    <row r="763" ht="18.75" customHeight="1">
      <c r="B763" s="79"/>
    </row>
    <row r="764" ht="18.75" customHeight="1">
      <c r="B764" s="79"/>
    </row>
    <row r="765" ht="18.75" customHeight="1">
      <c r="B765" s="79"/>
    </row>
    <row r="766" ht="18.75" customHeight="1">
      <c r="B766" s="79"/>
    </row>
    <row r="767" ht="18.75" customHeight="1">
      <c r="B767" s="79"/>
    </row>
    <row r="768" ht="18.75" customHeight="1">
      <c r="B768" s="79"/>
    </row>
    <row r="769" ht="18.75" customHeight="1">
      <c r="B769" s="79"/>
    </row>
    <row r="770" ht="18.75" customHeight="1">
      <c r="B770" s="79"/>
    </row>
    <row r="771" ht="18.75" customHeight="1">
      <c r="B771" s="79"/>
    </row>
    <row r="772" ht="18.75" customHeight="1">
      <c r="B772" s="79"/>
    </row>
    <row r="773" ht="18.75" customHeight="1">
      <c r="B773" s="79"/>
    </row>
    <row r="774" ht="18.75" customHeight="1">
      <c r="B774" s="79"/>
    </row>
    <row r="775" ht="18.75" customHeight="1">
      <c r="B775" s="79"/>
    </row>
    <row r="776" ht="18.75" customHeight="1">
      <c r="B776" s="79"/>
    </row>
    <row r="777" ht="18.75" customHeight="1">
      <c r="B777" s="79"/>
    </row>
    <row r="778" ht="18.75" customHeight="1">
      <c r="B778" s="79"/>
    </row>
    <row r="779" ht="18.75" customHeight="1">
      <c r="B779" s="79"/>
    </row>
    <row r="780" ht="18.75" customHeight="1">
      <c r="B780" s="79"/>
    </row>
    <row r="781" ht="18.75" customHeight="1">
      <c r="B781" s="79"/>
    </row>
    <row r="782" ht="18.75" customHeight="1">
      <c r="B782" s="79"/>
    </row>
    <row r="783" ht="18.75" customHeight="1">
      <c r="B783" s="79"/>
    </row>
    <row r="784" ht="18.75" customHeight="1">
      <c r="B784" s="79"/>
    </row>
    <row r="785" ht="18.75" customHeight="1">
      <c r="B785" s="79"/>
    </row>
    <row r="786" ht="18.75" customHeight="1">
      <c r="B786" s="79"/>
    </row>
    <row r="787" ht="18.75" customHeight="1">
      <c r="B787" s="79"/>
    </row>
    <row r="788" ht="18.75" customHeight="1">
      <c r="B788" s="79"/>
    </row>
    <row r="789" ht="18.75" customHeight="1">
      <c r="B789" s="79"/>
    </row>
    <row r="790" ht="18.75" customHeight="1">
      <c r="B790" s="79"/>
    </row>
    <row r="791" ht="18.75" customHeight="1">
      <c r="B791" s="79"/>
    </row>
    <row r="792" ht="18.75" customHeight="1">
      <c r="B792" s="79"/>
    </row>
    <row r="793" ht="18.75" customHeight="1">
      <c r="B793" s="79"/>
    </row>
    <row r="794" ht="18.75" customHeight="1">
      <c r="B794" s="79"/>
    </row>
    <row r="795" ht="18.75" customHeight="1">
      <c r="B795" s="79"/>
    </row>
    <row r="796" ht="18.75" customHeight="1">
      <c r="B796" s="79"/>
    </row>
    <row r="797" ht="18.75" customHeight="1">
      <c r="B797" s="79"/>
    </row>
    <row r="798" ht="18.75" customHeight="1">
      <c r="B798" s="79"/>
    </row>
    <row r="799" ht="18.75" customHeight="1">
      <c r="B799" s="79"/>
    </row>
    <row r="800" ht="18.75" customHeight="1">
      <c r="B800" s="79"/>
    </row>
    <row r="801" ht="18.75" customHeight="1">
      <c r="B801" s="79"/>
    </row>
    <row r="802" ht="18.75" customHeight="1">
      <c r="B802" s="79"/>
    </row>
    <row r="803" ht="18.75" customHeight="1">
      <c r="B803" s="79"/>
    </row>
    <row r="804" ht="18.75" customHeight="1">
      <c r="B804" s="79"/>
    </row>
    <row r="805" ht="18.75" customHeight="1">
      <c r="B805" s="79"/>
    </row>
    <row r="806" ht="18.75" customHeight="1">
      <c r="B806" s="79"/>
    </row>
    <row r="807" ht="18.75" customHeight="1">
      <c r="B807" s="79"/>
    </row>
    <row r="808" ht="18.75" customHeight="1">
      <c r="B808" s="79"/>
    </row>
    <row r="809" ht="18.75" customHeight="1">
      <c r="B809" s="79"/>
    </row>
    <row r="810" ht="18.75" customHeight="1">
      <c r="B810" s="79"/>
    </row>
    <row r="811" ht="18.75" customHeight="1">
      <c r="B811" s="79"/>
    </row>
    <row r="812" ht="18.75" customHeight="1">
      <c r="B812" s="79"/>
    </row>
    <row r="813" ht="18.75" customHeight="1">
      <c r="B813" s="79"/>
    </row>
    <row r="814" ht="18.75" customHeight="1">
      <c r="B814" s="79"/>
    </row>
    <row r="815" ht="18.75" customHeight="1">
      <c r="B815" s="79"/>
    </row>
    <row r="816" ht="18.75" customHeight="1">
      <c r="B816" s="79"/>
    </row>
    <row r="817" ht="18.75" customHeight="1">
      <c r="B817" s="79"/>
    </row>
    <row r="818" ht="18.75" customHeight="1">
      <c r="B818" s="79"/>
    </row>
    <row r="819" ht="18.75" customHeight="1">
      <c r="B819" s="79"/>
    </row>
    <row r="820" ht="18.75" customHeight="1">
      <c r="B820" s="79"/>
    </row>
    <row r="821" ht="18.75" customHeight="1">
      <c r="B821" s="79"/>
    </row>
    <row r="822" ht="18.75" customHeight="1">
      <c r="B822" s="79"/>
    </row>
    <row r="823" ht="18.75" customHeight="1">
      <c r="B823" s="79"/>
    </row>
    <row r="824" ht="18.75" customHeight="1">
      <c r="B824" s="79"/>
    </row>
    <row r="825" ht="18.75" customHeight="1">
      <c r="B825" s="79"/>
    </row>
    <row r="826" ht="18.75" customHeight="1">
      <c r="B826" s="79"/>
    </row>
    <row r="827" ht="18.75" customHeight="1">
      <c r="B827" s="79"/>
    </row>
    <row r="828" ht="18.75" customHeight="1">
      <c r="B828" s="79"/>
    </row>
    <row r="829" ht="18.75" customHeight="1">
      <c r="B829" s="79"/>
    </row>
    <row r="830" ht="18.75" customHeight="1">
      <c r="B830" s="79"/>
    </row>
    <row r="831" ht="18.75" customHeight="1">
      <c r="B831" s="79"/>
    </row>
    <row r="832" ht="18.75" customHeight="1">
      <c r="B832" s="79"/>
    </row>
    <row r="833" ht="18.75" customHeight="1">
      <c r="B833" s="79"/>
    </row>
    <row r="834" ht="18.75" customHeight="1">
      <c r="B834" s="79"/>
    </row>
    <row r="835" ht="18.75" customHeight="1">
      <c r="B835" s="79"/>
    </row>
    <row r="836" ht="18.75" customHeight="1">
      <c r="B836" s="79"/>
    </row>
    <row r="837" ht="18.75" customHeight="1">
      <c r="B837" s="79"/>
    </row>
    <row r="838" ht="18.75" customHeight="1">
      <c r="B838" s="79"/>
    </row>
    <row r="839" ht="18.75" customHeight="1">
      <c r="B839" s="79"/>
    </row>
    <row r="840" ht="18.75" customHeight="1">
      <c r="B840" s="79"/>
    </row>
    <row r="841" ht="18.75" customHeight="1">
      <c r="B841" s="79"/>
    </row>
    <row r="842" ht="18.75" customHeight="1">
      <c r="B842" s="79"/>
    </row>
    <row r="843" ht="18.75" customHeight="1">
      <c r="B843" s="79"/>
    </row>
    <row r="844" ht="18.75" customHeight="1">
      <c r="B844" s="79"/>
    </row>
    <row r="845" ht="18.75" customHeight="1">
      <c r="B845" s="79"/>
    </row>
    <row r="846" ht="18.75" customHeight="1">
      <c r="B846" s="79"/>
    </row>
    <row r="847" ht="18.75" customHeight="1">
      <c r="B847" s="79"/>
    </row>
    <row r="848" ht="18.75" customHeight="1">
      <c r="B848" s="79"/>
    </row>
    <row r="849" ht="18.75" customHeight="1">
      <c r="B849" s="79"/>
    </row>
    <row r="850" ht="18.75" customHeight="1">
      <c r="B850" s="79"/>
    </row>
    <row r="851" ht="18.75" customHeight="1">
      <c r="B851" s="79"/>
    </row>
    <row r="852" ht="18.75" customHeight="1">
      <c r="B852" s="79"/>
    </row>
    <row r="853" ht="18.75" customHeight="1">
      <c r="B853" s="79"/>
    </row>
    <row r="854" ht="18.75" customHeight="1">
      <c r="B854" s="79"/>
    </row>
    <row r="855" ht="18.75" customHeight="1">
      <c r="B855" s="79"/>
    </row>
    <row r="856" ht="18.75" customHeight="1">
      <c r="B856" s="79"/>
    </row>
    <row r="857" ht="18.75" customHeight="1">
      <c r="B857" s="79"/>
    </row>
    <row r="858" ht="18.75" customHeight="1">
      <c r="B858" s="79"/>
    </row>
    <row r="859" ht="18.75" customHeight="1">
      <c r="B859" s="79"/>
    </row>
    <row r="860" ht="18.75" customHeight="1">
      <c r="B860" s="79"/>
    </row>
    <row r="861" ht="18.75" customHeight="1">
      <c r="B861" s="79"/>
    </row>
    <row r="862" ht="18.75" customHeight="1">
      <c r="B862" s="79"/>
    </row>
    <row r="863" ht="18.75" customHeight="1">
      <c r="B863" s="79"/>
    </row>
    <row r="864" ht="18.75" customHeight="1">
      <c r="B864" s="79"/>
    </row>
    <row r="865" ht="18.75" customHeight="1">
      <c r="B865" s="79"/>
    </row>
    <row r="866" ht="18.75" customHeight="1">
      <c r="B866" s="79"/>
    </row>
    <row r="867" ht="18.75" customHeight="1">
      <c r="B867" s="79"/>
    </row>
    <row r="868" ht="18.75" customHeight="1">
      <c r="B868" s="79"/>
    </row>
    <row r="869" ht="18.75" customHeight="1">
      <c r="B869" s="79"/>
    </row>
    <row r="870" ht="18.75" customHeight="1">
      <c r="B870" s="79"/>
    </row>
    <row r="871" ht="18.75" customHeight="1">
      <c r="B871" s="79"/>
    </row>
    <row r="872" ht="18.75" customHeight="1">
      <c r="B872" s="79"/>
    </row>
    <row r="873" ht="18.75" customHeight="1">
      <c r="B873" s="79"/>
    </row>
    <row r="874" ht="18.75" customHeight="1">
      <c r="B874" s="79"/>
    </row>
    <row r="875" ht="18.75" customHeight="1">
      <c r="B875" s="79"/>
    </row>
    <row r="876" ht="18.75" customHeight="1">
      <c r="B876" s="79"/>
    </row>
    <row r="877" ht="18.75" customHeight="1">
      <c r="B877" s="79"/>
    </row>
    <row r="878" ht="18.75" customHeight="1">
      <c r="B878" s="79"/>
    </row>
    <row r="879" ht="18.75" customHeight="1">
      <c r="B879" s="79"/>
    </row>
    <row r="880" ht="18.75" customHeight="1">
      <c r="B880" s="79"/>
    </row>
    <row r="881" ht="18.75" customHeight="1">
      <c r="B881" s="79"/>
    </row>
    <row r="882" ht="18.75" customHeight="1">
      <c r="B882" s="79"/>
    </row>
    <row r="883" ht="18.75" customHeight="1">
      <c r="B883" s="79"/>
    </row>
    <row r="884" ht="18.75" customHeight="1">
      <c r="B884" s="79"/>
    </row>
    <row r="885" ht="18.75" customHeight="1">
      <c r="B885" s="79"/>
    </row>
    <row r="886" ht="18.75" customHeight="1">
      <c r="B886" s="79"/>
    </row>
    <row r="887" ht="18.75" customHeight="1">
      <c r="B887" s="79"/>
    </row>
    <row r="888" ht="18.75" customHeight="1">
      <c r="B888" s="79"/>
    </row>
    <row r="889" ht="18.75" customHeight="1">
      <c r="B889" s="79"/>
    </row>
    <row r="890" ht="18.75" customHeight="1">
      <c r="B890" s="79"/>
    </row>
    <row r="891" ht="18.75" customHeight="1">
      <c r="B891" s="79"/>
    </row>
    <row r="892" ht="18.75" customHeight="1">
      <c r="B892" s="79"/>
    </row>
    <row r="893" ht="18.75" customHeight="1">
      <c r="B893" s="79"/>
    </row>
    <row r="894" ht="18.75" customHeight="1">
      <c r="B894" s="79"/>
    </row>
    <row r="895" ht="18.75" customHeight="1">
      <c r="B895" s="79"/>
    </row>
    <row r="896" ht="18.75" customHeight="1">
      <c r="B896" s="79"/>
    </row>
    <row r="897" ht="18.75" customHeight="1">
      <c r="B897" s="79"/>
    </row>
    <row r="898" ht="18.75" customHeight="1">
      <c r="B898" s="79"/>
    </row>
    <row r="899" ht="18.75" customHeight="1">
      <c r="B899" s="79"/>
    </row>
    <row r="900" ht="18.75" customHeight="1">
      <c r="B900" s="79"/>
    </row>
    <row r="901" ht="18.75" customHeight="1">
      <c r="B901" s="79"/>
    </row>
    <row r="902" ht="18.75" customHeight="1">
      <c r="B902" s="79"/>
    </row>
    <row r="903" ht="18.75" customHeight="1">
      <c r="B903" s="79"/>
    </row>
    <row r="904" ht="18.75" customHeight="1">
      <c r="B904" s="79"/>
    </row>
    <row r="905" ht="18.75" customHeight="1">
      <c r="B905" s="79"/>
    </row>
    <row r="906" ht="18.75" customHeight="1">
      <c r="B906" s="79"/>
    </row>
    <row r="907" ht="18.75" customHeight="1">
      <c r="B907" s="79"/>
    </row>
    <row r="908" ht="18.75" customHeight="1">
      <c r="B908" s="79"/>
    </row>
    <row r="909" ht="18.75" customHeight="1">
      <c r="B909" s="79"/>
    </row>
    <row r="910" ht="18.75" customHeight="1">
      <c r="B910" s="79"/>
    </row>
    <row r="911" ht="18.75" customHeight="1">
      <c r="B911" s="79"/>
    </row>
    <row r="912" ht="18.75" customHeight="1">
      <c r="B912" s="79"/>
    </row>
    <row r="913" ht="18.75" customHeight="1">
      <c r="B913" s="79"/>
    </row>
    <row r="914" ht="18.75" customHeight="1">
      <c r="B914" s="79"/>
    </row>
    <row r="915" ht="18.75" customHeight="1">
      <c r="B915" s="79"/>
    </row>
    <row r="916" ht="18.75" customHeight="1">
      <c r="B916" s="79"/>
    </row>
    <row r="917" ht="18.75" customHeight="1">
      <c r="B917" s="79"/>
    </row>
    <row r="918" ht="18.75" customHeight="1">
      <c r="B918" s="79"/>
    </row>
    <row r="919" ht="18.75" customHeight="1">
      <c r="B919" s="79"/>
    </row>
    <row r="920" ht="18.75" customHeight="1">
      <c r="B920" s="79"/>
    </row>
    <row r="921" ht="18.75" customHeight="1">
      <c r="B921" s="79"/>
    </row>
    <row r="922" ht="18.75" customHeight="1">
      <c r="B922" s="79"/>
    </row>
    <row r="923" ht="18.75" customHeight="1">
      <c r="B923" s="79"/>
    </row>
    <row r="924" ht="18.75" customHeight="1">
      <c r="B924" s="79"/>
    </row>
    <row r="925" ht="18.75" customHeight="1">
      <c r="B925" s="79"/>
    </row>
    <row r="926" ht="18.75" customHeight="1">
      <c r="B926" s="79"/>
    </row>
    <row r="927" ht="18.75" customHeight="1">
      <c r="B927" s="79"/>
    </row>
    <row r="928" ht="18.75" customHeight="1">
      <c r="B928" s="79"/>
    </row>
    <row r="929" ht="18.75" customHeight="1">
      <c r="B929" s="79"/>
    </row>
    <row r="930" ht="18.75" customHeight="1">
      <c r="B930" s="79"/>
    </row>
    <row r="931" ht="18.75" customHeight="1">
      <c r="B931" s="79"/>
    </row>
    <row r="932" ht="18.75" customHeight="1">
      <c r="B932" s="79"/>
    </row>
    <row r="933" ht="18.75" customHeight="1">
      <c r="B933" s="79"/>
    </row>
    <row r="934" ht="18.75" customHeight="1">
      <c r="B934" s="79"/>
    </row>
    <row r="935" ht="18.75" customHeight="1">
      <c r="B935" s="79"/>
    </row>
    <row r="936" ht="18.75" customHeight="1">
      <c r="B936" s="79"/>
    </row>
    <row r="937" ht="18.75" customHeight="1">
      <c r="B937" s="79"/>
    </row>
    <row r="938" ht="18.75" customHeight="1">
      <c r="B938" s="79"/>
    </row>
    <row r="939" ht="18.75" customHeight="1">
      <c r="B939" s="79"/>
    </row>
    <row r="940" ht="18.75" customHeight="1">
      <c r="B940" s="79"/>
    </row>
    <row r="941" ht="18.75" customHeight="1">
      <c r="B941" s="79"/>
    </row>
    <row r="942" ht="18.75" customHeight="1">
      <c r="B942" s="79"/>
    </row>
    <row r="943" ht="18.75" customHeight="1">
      <c r="B943" s="79"/>
    </row>
    <row r="944" ht="18.75" customHeight="1">
      <c r="B944" s="79"/>
    </row>
    <row r="945" ht="18.75" customHeight="1">
      <c r="B945" s="79"/>
    </row>
    <row r="946" ht="18.75" customHeight="1">
      <c r="B946" s="79"/>
    </row>
    <row r="947" ht="18.75" customHeight="1">
      <c r="B947" s="79"/>
    </row>
    <row r="948" ht="18.75" customHeight="1">
      <c r="B948" s="79"/>
    </row>
    <row r="949" ht="18.75" customHeight="1">
      <c r="B949" s="79"/>
    </row>
    <row r="950" ht="18.75" customHeight="1">
      <c r="B950" s="79"/>
    </row>
    <row r="951" ht="18.75" customHeight="1">
      <c r="B951" s="79"/>
    </row>
    <row r="952" ht="18.75" customHeight="1">
      <c r="B952" s="79"/>
    </row>
    <row r="953" ht="18.75" customHeight="1">
      <c r="B953" s="79"/>
    </row>
    <row r="954" ht="18.75" customHeight="1">
      <c r="B954" s="79"/>
    </row>
  </sheetData>
  <mergeCells count="12">
    <mergeCell ref="C3:D3"/>
    <mergeCell ref="C4:C5"/>
    <mergeCell ref="D4:D5"/>
    <mergeCell ref="H22:J22"/>
    <mergeCell ref="H44:K44"/>
    <mergeCell ref="A1:F1"/>
    <mergeCell ref="H1:J1"/>
    <mergeCell ref="A2:F2"/>
    <mergeCell ref="A3:A6"/>
    <mergeCell ref="B3:B6"/>
    <mergeCell ref="E3:E6"/>
    <mergeCell ref="F3:F6"/>
  </mergeCells>
  <dataValidations>
    <dataValidation type="list" allowBlank="1" showErrorMessage="1" sqref="H4:H6 H9:H19 H30:H41 E67:E154">
      <formula1>"1.1,1.2,1.3,2.1,2.2,2.3,2.4,2.5,2.6,2.7,2.8,2.9,2.11,2.12"</formula1>
    </dataValidation>
    <dataValidation type="list" allowBlank="1" showErrorMessage="1" sqref="E8:E66">
      <formula1>"1,1,1,2,2,1,2,11,2,12,2,2,2,3,2,5,2,6,2,7,2,8,2,9,2,4,1,3"</formula1>
    </dataValidation>
  </dataValidations>
  <hyperlinks>
    <hyperlink r:id="rId1" ref="F20"/>
    <hyperlink r:id="rId2" ref="F21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6.0"/>
    <col customWidth="1" min="2" max="2" width="15.0"/>
    <col customWidth="1" min="3" max="4" width="17.0"/>
    <col customWidth="1" min="5" max="5" width="13.0"/>
    <col customWidth="1" min="6" max="6" width="47.0"/>
    <col customWidth="1" min="7" max="7" width="7.0"/>
    <col customWidth="1" min="8" max="8" width="14.0"/>
    <col customWidth="1" min="9" max="9" width="46.0"/>
    <col customWidth="1" min="10" max="10" width="16.0"/>
    <col customWidth="1" min="11" max="26" width="14.0"/>
  </cols>
  <sheetData>
    <row r="1" ht="18.75" customHeight="1">
      <c r="A1" s="11" t="s">
        <v>22</v>
      </c>
      <c r="F1" s="12"/>
      <c r="G1" s="13"/>
      <c r="H1" s="14" t="s">
        <v>23</v>
      </c>
      <c r="I1" s="15"/>
      <c r="J1" s="16"/>
      <c r="K1" s="13"/>
    </row>
    <row r="2" ht="18.75" customHeight="1">
      <c r="A2" s="17" t="s">
        <v>99</v>
      </c>
      <c r="G2" s="13"/>
      <c r="H2" s="18" t="s">
        <v>25</v>
      </c>
      <c r="I2" s="19" t="s">
        <v>26</v>
      </c>
      <c r="J2" s="20" t="s">
        <v>27</v>
      </c>
      <c r="K2" s="13"/>
    </row>
    <row r="3" ht="18.75" customHeight="1">
      <c r="A3" s="21" t="s">
        <v>28</v>
      </c>
      <c r="B3" s="21" t="s">
        <v>29</v>
      </c>
      <c r="C3" s="23" t="s">
        <v>30</v>
      </c>
      <c r="D3" s="24"/>
      <c r="E3" s="25" t="s">
        <v>25</v>
      </c>
      <c r="F3" s="21" t="s">
        <v>26</v>
      </c>
      <c r="G3" s="13"/>
      <c r="H3" s="26">
        <v>1.0</v>
      </c>
      <c r="I3" s="27" t="s">
        <v>31</v>
      </c>
      <c r="J3" s="28">
        <f>SUM(J4:J6)</f>
        <v>83099693</v>
      </c>
      <c r="K3" s="13"/>
    </row>
    <row r="4" ht="18.75" customHeight="1">
      <c r="A4" s="29"/>
      <c r="B4" s="29"/>
      <c r="C4" s="21" t="s">
        <v>32</v>
      </c>
      <c r="D4" s="21" t="s">
        <v>33</v>
      </c>
      <c r="E4" s="30"/>
      <c r="F4" s="29"/>
      <c r="G4" s="13"/>
      <c r="H4" s="31">
        <v>1.1</v>
      </c>
      <c r="I4" s="32" t="s">
        <v>34</v>
      </c>
      <c r="J4" s="28">
        <f>SUMIF($E$8:$E$54,1.1,$C$8:$C$45)</f>
        <v>83099693</v>
      </c>
      <c r="K4" s="13"/>
    </row>
    <row r="5" ht="18.75" customHeight="1">
      <c r="A5" s="29"/>
      <c r="B5" s="29"/>
      <c r="C5" s="33"/>
      <c r="D5" s="33"/>
      <c r="E5" s="30"/>
      <c r="F5" s="29"/>
      <c r="G5" s="13"/>
      <c r="H5" s="31">
        <v>1.2</v>
      </c>
      <c r="I5" s="32" t="s">
        <v>35</v>
      </c>
      <c r="J5" s="28">
        <f>SUMIF($E$8:$E$54,1.2,$C$8:$C$45)</f>
        <v>0</v>
      </c>
      <c r="K5" s="13"/>
    </row>
    <row r="6" ht="18.75" customHeight="1">
      <c r="A6" s="33"/>
      <c r="B6" s="33"/>
      <c r="C6" s="34"/>
      <c r="D6" s="34"/>
      <c r="E6" s="35"/>
      <c r="F6" s="33"/>
      <c r="G6" s="13"/>
      <c r="H6" s="31">
        <v>1.3</v>
      </c>
      <c r="I6" s="32" t="s">
        <v>36</v>
      </c>
      <c r="J6" s="28">
        <f>SUMIF($E$8:$E$54,1.3,$C$8:$C$45)</f>
        <v>0</v>
      </c>
      <c r="K6" s="13"/>
    </row>
    <row r="7" ht="21.75" customHeight="1">
      <c r="A7" s="36"/>
      <c r="B7" s="37"/>
      <c r="C7" s="38">
        <f t="shared" ref="C7:D7" si="1">SUM(C8:C66)</f>
        <v>83099693</v>
      </c>
      <c r="D7" s="38">
        <f t="shared" si="1"/>
        <v>142261299</v>
      </c>
      <c r="E7" s="39"/>
      <c r="F7" s="40"/>
      <c r="G7" s="40" t="s">
        <v>37</v>
      </c>
      <c r="H7" s="41"/>
      <c r="I7" s="40"/>
      <c r="J7" s="42"/>
      <c r="K7" s="40"/>
    </row>
    <row r="8" ht="18.75" customHeight="1">
      <c r="A8" s="43">
        <v>1.0</v>
      </c>
      <c r="B8" s="80">
        <v>45708.0</v>
      </c>
      <c r="C8" s="45"/>
      <c r="D8" s="46">
        <v>4645000.0</v>
      </c>
      <c r="E8" s="47" t="s">
        <v>49</v>
      </c>
      <c r="F8" s="48" t="s">
        <v>100</v>
      </c>
      <c r="G8" s="13"/>
      <c r="H8" s="26">
        <v>2.0</v>
      </c>
      <c r="I8" s="49" t="s">
        <v>40</v>
      </c>
      <c r="J8" s="28">
        <f>SUM(J9:J19)</f>
        <v>142261299</v>
      </c>
      <c r="K8" s="13"/>
    </row>
    <row r="9" ht="18.75" customHeight="1">
      <c r="A9" s="50">
        <v>2.0</v>
      </c>
      <c r="B9" s="80">
        <v>45700.0</v>
      </c>
      <c r="C9" s="45"/>
      <c r="D9" s="46">
        <v>2.6E7</v>
      </c>
      <c r="E9" s="47" t="s">
        <v>60</v>
      </c>
      <c r="F9" s="48" t="s">
        <v>61</v>
      </c>
      <c r="G9" s="52"/>
      <c r="H9" s="53">
        <v>2.1</v>
      </c>
      <c r="I9" s="54" t="s">
        <v>42</v>
      </c>
      <c r="J9" s="55">
        <f>SUMIF($E$8:$E$54,2.1,$D$8:$D$45)</f>
        <v>0</v>
      </c>
      <c r="K9" s="13"/>
    </row>
    <row r="10" ht="18.75" customHeight="1">
      <c r="A10" s="50">
        <v>3.0</v>
      </c>
      <c r="B10" s="80">
        <v>45700.0</v>
      </c>
      <c r="C10" s="45"/>
      <c r="D10" s="46">
        <v>1.0865096E7</v>
      </c>
      <c r="E10" s="47" t="s">
        <v>38</v>
      </c>
      <c r="F10" s="48" t="s">
        <v>101</v>
      </c>
      <c r="G10" s="52"/>
      <c r="H10" s="53">
        <v>2.2</v>
      </c>
      <c r="I10" s="54" t="s">
        <v>45</v>
      </c>
      <c r="J10" s="28">
        <f>SUMIF($E$8:$E$54,2.2,$D$8:$D$45)</f>
        <v>49646061</v>
      </c>
      <c r="K10" s="13"/>
    </row>
    <row r="11" ht="18.75" customHeight="1">
      <c r="A11" s="50">
        <v>4.0</v>
      </c>
      <c r="B11" s="80">
        <v>45695.0</v>
      </c>
      <c r="C11" s="45"/>
      <c r="D11" s="46">
        <v>4.9646061E7</v>
      </c>
      <c r="E11" s="47" t="s">
        <v>43</v>
      </c>
      <c r="F11" s="48" t="s">
        <v>102</v>
      </c>
      <c r="G11" s="52"/>
      <c r="H11" s="53">
        <v>2.3</v>
      </c>
      <c r="I11" s="54" t="s">
        <v>48</v>
      </c>
      <c r="J11" s="28">
        <f>SUMIF($E$8:$E$54,2.3,$D$8:$D$45)</f>
        <v>2500000</v>
      </c>
      <c r="K11" s="13"/>
    </row>
    <row r="12" ht="18.75" customHeight="1">
      <c r="A12" s="50">
        <v>5.0</v>
      </c>
      <c r="B12" s="80">
        <v>45695.0</v>
      </c>
      <c r="C12" s="56"/>
      <c r="D12" s="46">
        <v>1000000.0</v>
      </c>
      <c r="E12" s="47" t="s">
        <v>68</v>
      </c>
      <c r="F12" s="81" t="s">
        <v>103</v>
      </c>
      <c r="G12" s="52"/>
      <c r="H12" s="53">
        <v>2.4</v>
      </c>
      <c r="I12" s="54" t="s">
        <v>51</v>
      </c>
      <c r="J12" s="28">
        <f>SUMIF($E$8:$E$54,2.4,$D$8:$D$45)</f>
        <v>0</v>
      </c>
      <c r="K12" s="13"/>
    </row>
    <row r="13" ht="18.75" customHeight="1">
      <c r="A13" s="50">
        <v>6.0</v>
      </c>
      <c r="B13" s="80">
        <v>45699.0</v>
      </c>
      <c r="C13" s="51">
        <v>8.3099693E7</v>
      </c>
      <c r="D13" s="46"/>
      <c r="E13" s="58" t="s">
        <v>65</v>
      </c>
      <c r="F13" s="82" t="s">
        <v>104</v>
      </c>
      <c r="G13" s="52"/>
      <c r="H13" s="53">
        <v>2.5</v>
      </c>
      <c r="I13" s="54" t="s">
        <v>53</v>
      </c>
      <c r="J13" s="28">
        <f>SUMIF($E$8:$E$54,2.5,$D$8:$D$45)</f>
        <v>39470238</v>
      </c>
      <c r="K13" s="13"/>
    </row>
    <row r="14" ht="18.75" customHeight="1">
      <c r="A14" s="50">
        <v>7.0</v>
      </c>
      <c r="B14" s="80">
        <v>45700.0</v>
      </c>
      <c r="C14" s="45"/>
      <c r="D14" s="46">
        <v>2.8605142E7</v>
      </c>
      <c r="E14" s="47" t="s">
        <v>38</v>
      </c>
      <c r="F14" s="48" t="s">
        <v>105</v>
      </c>
      <c r="G14" s="52"/>
      <c r="H14" s="53">
        <v>2.6</v>
      </c>
      <c r="I14" s="54" t="s">
        <v>55</v>
      </c>
      <c r="J14" s="28">
        <f>SUMIF($E$8:$E$54,2.6,$D$8:$D$45)</f>
        <v>20000000</v>
      </c>
      <c r="K14" s="13"/>
    </row>
    <row r="15" ht="18.75" customHeight="1">
      <c r="A15" s="50">
        <v>8.0</v>
      </c>
      <c r="B15" s="80">
        <v>45702.0</v>
      </c>
      <c r="C15" s="45"/>
      <c r="D15" s="46">
        <v>1500000.0</v>
      </c>
      <c r="E15" s="47" t="s">
        <v>68</v>
      </c>
      <c r="F15" s="81" t="s">
        <v>106</v>
      </c>
      <c r="G15" s="52"/>
      <c r="H15" s="53">
        <v>2.7</v>
      </c>
      <c r="I15" s="54" t="s">
        <v>57</v>
      </c>
      <c r="J15" s="28">
        <f>SUMIF($E$8:$E$54,2.7,$D$8:$D$45)</f>
        <v>4645000</v>
      </c>
      <c r="K15" s="13"/>
    </row>
    <row r="16" ht="18.75" customHeight="1">
      <c r="A16" s="50">
        <v>9.0</v>
      </c>
      <c r="B16" s="80">
        <v>45712.0</v>
      </c>
      <c r="C16" s="45"/>
      <c r="D16" s="46">
        <v>2.0E7</v>
      </c>
      <c r="E16" s="47" t="s">
        <v>46</v>
      </c>
      <c r="F16" s="48" t="s">
        <v>107</v>
      </c>
      <c r="G16" s="52"/>
      <c r="H16" s="53">
        <v>2.8</v>
      </c>
      <c r="I16" s="54" t="s">
        <v>59</v>
      </c>
      <c r="J16" s="28">
        <f>SUMIF($E$8:$E$54,2.8,$D$8:$D$45)</f>
        <v>26000000</v>
      </c>
      <c r="K16" s="13"/>
    </row>
    <row r="17" ht="18.75" customHeight="1">
      <c r="A17" s="50">
        <v>10.0</v>
      </c>
      <c r="B17" s="83"/>
      <c r="C17" s="45"/>
      <c r="D17" s="46"/>
      <c r="E17" s="84"/>
      <c r="F17" s="85"/>
      <c r="G17" s="52"/>
      <c r="H17" s="53">
        <v>2.9</v>
      </c>
      <c r="I17" s="54" t="s">
        <v>62</v>
      </c>
      <c r="J17" s="28">
        <f>SUMIF($E$8:$E$54,2.9,$D$8:$D$45)</f>
        <v>0</v>
      </c>
      <c r="K17" s="13"/>
    </row>
    <row r="18" ht="18.75" customHeight="1">
      <c r="A18" s="50">
        <v>11.0</v>
      </c>
      <c r="B18" s="83"/>
      <c r="C18" s="45"/>
      <c r="D18" s="46"/>
      <c r="E18" s="84"/>
      <c r="F18" s="85"/>
      <c r="G18" s="52"/>
      <c r="H18" s="53">
        <v>2.11</v>
      </c>
      <c r="I18" s="54" t="s">
        <v>64</v>
      </c>
      <c r="J18" s="28">
        <f>SUMIF($E$8:$E$54,2.11,$D$8:$D$45)</f>
        <v>0</v>
      </c>
      <c r="K18" s="13"/>
    </row>
    <row r="19" ht="18.75" customHeight="1">
      <c r="A19" s="50">
        <v>12.0</v>
      </c>
      <c r="B19" s="76"/>
      <c r="C19" s="60"/>
      <c r="D19" s="46"/>
      <c r="E19" s="84"/>
      <c r="F19" s="86"/>
      <c r="G19" s="52"/>
      <c r="H19" s="53">
        <v>2.12</v>
      </c>
      <c r="I19" s="54" t="s">
        <v>67</v>
      </c>
      <c r="J19" s="28">
        <f>SUMIF($E$8:$E$54,2.12,$D$8:$D$45)</f>
        <v>0</v>
      </c>
      <c r="K19" s="13"/>
    </row>
    <row r="20" ht="18.75" customHeight="1">
      <c r="A20" s="50">
        <v>13.0</v>
      </c>
      <c r="B20" s="76"/>
      <c r="C20" s="60"/>
      <c r="D20" s="46"/>
      <c r="E20" s="84"/>
      <c r="F20" s="86"/>
      <c r="G20" s="52"/>
      <c r="H20" s="63">
        <v>3.0</v>
      </c>
      <c r="I20" s="64" t="s">
        <v>70</v>
      </c>
      <c r="J20" s="65">
        <f>J3-J8</f>
        <v>-59161606</v>
      </c>
      <c r="K20" s="13"/>
    </row>
    <row r="21" ht="18.75" customHeight="1">
      <c r="A21" s="50">
        <v>14.0</v>
      </c>
      <c r="B21" s="76"/>
      <c r="C21" s="60"/>
      <c r="D21" s="46"/>
      <c r="E21" s="84"/>
      <c r="F21" s="54"/>
      <c r="G21" s="13"/>
      <c r="H21" s="13"/>
      <c r="I21" s="13"/>
      <c r="J21" s="13"/>
      <c r="K21" s="13"/>
    </row>
    <row r="22" ht="18.75" customHeight="1">
      <c r="A22" s="50">
        <v>15.0</v>
      </c>
      <c r="B22" s="76"/>
      <c r="C22" s="60"/>
      <c r="D22" s="46"/>
      <c r="E22" s="84"/>
      <c r="F22" s="54"/>
      <c r="G22" s="13"/>
      <c r="H22" s="14" t="s">
        <v>73</v>
      </c>
      <c r="I22" s="15"/>
      <c r="J22" s="16"/>
      <c r="K22" s="13"/>
    </row>
    <row r="23" ht="18.75" customHeight="1">
      <c r="A23" s="50">
        <v>16.0</v>
      </c>
      <c r="B23" s="76"/>
      <c r="C23" s="60"/>
      <c r="D23" s="46"/>
      <c r="E23" s="84"/>
      <c r="F23" s="54"/>
      <c r="G23" s="52"/>
      <c r="H23" s="54"/>
      <c r="I23" s="64" t="s">
        <v>26</v>
      </c>
      <c r="J23" s="53" t="s">
        <v>27</v>
      </c>
      <c r="K23" s="13"/>
    </row>
    <row r="24" ht="18.75" customHeight="1">
      <c r="A24" s="50">
        <v>17.0</v>
      </c>
      <c r="B24" s="76"/>
      <c r="C24" s="60"/>
      <c r="D24" s="46"/>
      <c r="E24" s="84"/>
      <c r="F24" s="54"/>
      <c r="G24" s="52"/>
      <c r="H24" s="64" t="s">
        <v>76</v>
      </c>
      <c r="I24" s="64" t="s">
        <v>77</v>
      </c>
      <c r="J24" s="67">
        <v>0.0</v>
      </c>
      <c r="K24" s="13"/>
    </row>
    <row r="25" ht="18.75" customHeight="1">
      <c r="A25" s="50">
        <v>18.0</v>
      </c>
      <c r="B25" s="76"/>
      <c r="C25" s="60"/>
      <c r="D25" s="46"/>
      <c r="E25" s="84"/>
      <c r="F25" s="54"/>
      <c r="G25" s="52"/>
      <c r="H25" s="64" t="s">
        <v>78</v>
      </c>
      <c r="I25" s="64" t="s">
        <v>79</v>
      </c>
      <c r="J25" s="69">
        <f>SUM(J26:J28)</f>
        <v>83099693</v>
      </c>
      <c r="K25" s="13"/>
    </row>
    <row r="26" ht="18.75" customHeight="1">
      <c r="A26" s="50">
        <v>19.0</v>
      </c>
      <c r="B26" s="76"/>
      <c r="C26" s="60"/>
      <c r="D26" s="46"/>
      <c r="E26" s="84"/>
      <c r="F26" s="54"/>
      <c r="G26" s="52"/>
      <c r="H26" s="54"/>
      <c r="I26" s="54" t="s">
        <v>80</v>
      </c>
      <c r="J26" s="69">
        <f>J3</f>
        <v>83099693</v>
      </c>
      <c r="K26" s="13"/>
    </row>
    <row r="27" ht="18.75" customHeight="1">
      <c r="A27" s="50">
        <v>20.0</v>
      </c>
      <c r="B27" s="76"/>
      <c r="C27" s="60"/>
      <c r="D27" s="46"/>
      <c r="E27" s="84"/>
      <c r="F27" s="54"/>
      <c r="G27" s="52"/>
      <c r="H27" s="54"/>
      <c r="I27" s="54" t="s">
        <v>81</v>
      </c>
      <c r="J27" s="64"/>
      <c r="K27" s="13"/>
    </row>
    <row r="28" ht="18.75" customHeight="1">
      <c r="A28" s="50">
        <v>21.0</v>
      </c>
      <c r="B28" s="76"/>
      <c r="C28" s="60"/>
      <c r="D28" s="46"/>
      <c r="E28" s="84"/>
      <c r="F28" s="54"/>
      <c r="G28" s="52"/>
      <c r="H28" s="54"/>
      <c r="I28" s="54" t="s">
        <v>82</v>
      </c>
      <c r="J28" s="64"/>
      <c r="K28" s="13"/>
    </row>
    <row r="29" ht="18.75" customHeight="1">
      <c r="A29" s="50">
        <v>22.0</v>
      </c>
      <c r="B29" s="76"/>
      <c r="C29" s="60"/>
      <c r="D29" s="46"/>
      <c r="E29" s="84"/>
      <c r="F29" s="54"/>
      <c r="G29" s="52"/>
      <c r="H29" s="64" t="s">
        <v>83</v>
      </c>
      <c r="I29" s="64" t="s">
        <v>84</v>
      </c>
      <c r="J29" s="69">
        <f>SUM(J30:J41)</f>
        <v>142261299</v>
      </c>
      <c r="K29" s="13"/>
    </row>
    <row r="30" ht="18.75" customHeight="1">
      <c r="A30" s="50">
        <v>23.0</v>
      </c>
      <c r="B30" s="76"/>
      <c r="C30" s="60"/>
      <c r="D30" s="46"/>
      <c r="E30" s="84"/>
      <c r="F30" s="54"/>
      <c r="G30" s="52"/>
      <c r="H30" s="53">
        <v>2.1</v>
      </c>
      <c r="I30" s="54" t="s">
        <v>42</v>
      </c>
      <c r="J30" s="69">
        <f>J9</f>
        <v>0</v>
      </c>
      <c r="K30" s="13"/>
    </row>
    <row r="31" ht="18.75" customHeight="1">
      <c r="A31" s="50">
        <v>24.0</v>
      </c>
      <c r="B31" s="76"/>
      <c r="C31" s="60"/>
      <c r="D31" s="46"/>
      <c r="E31" s="84"/>
      <c r="F31" s="54"/>
      <c r="G31" s="52"/>
      <c r="H31" s="31">
        <v>1.3</v>
      </c>
      <c r="I31" s="54" t="s">
        <v>85</v>
      </c>
      <c r="J31" s="67"/>
      <c r="K31" s="13"/>
    </row>
    <row r="32" ht="18.75" customHeight="1">
      <c r="A32" s="50">
        <v>25.0</v>
      </c>
      <c r="B32" s="76"/>
      <c r="C32" s="60"/>
      <c r="D32" s="46"/>
      <c r="E32" s="84"/>
      <c r="F32" s="54"/>
      <c r="G32" s="52"/>
      <c r="H32" s="53">
        <v>2.2</v>
      </c>
      <c r="I32" s="54" t="s">
        <v>45</v>
      </c>
      <c r="J32" s="69">
        <f t="shared" ref="J32:J41" si="2">J10</f>
        <v>49646061</v>
      </c>
      <c r="K32" s="13"/>
    </row>
    <row r="33" ht="18.75" customHeight="1">
      <c r="A33" s="50">
        <v>26.0</v>
      </c>
      <c r="B33" s="76"/>
      <c r="C33" s="60"/>
      <c r="D33" s="46"/>
      <c r="E33" s="84"/>
      <c r="F33" s="54"/>
      <c r="G33" s="52"/>
      <c r="H33" s="53">
        <v>2.3</v>
      </c>
      <c r="I33" s="54" t="s">
        <v>48</v>
      </c>
      <c r="J33" s="69">
        <f t="shared" si="2"/>
        <v>2500000</v>
      </c>
      <c r="K33" s="13"/>
    </row>
    <row r="34" ht="18.75" customHeight="1">
      <c r="A34" s="50">
        <v>27.0</v>
      </c>
      <c r="B34" s="76"/>
      <c r="C34" s="60"/>
      <c r="D34" s="46"/>
      <c r="E34" s="84"/>
      <c r="F34" s="54"/>
      <c r="G34" s="52"/>
      <c r="H34" s="53">
        <v>2.4</v>
      </c>
      <c r="I34" s="54" t="s">
        <v>51</v>
      </c>
      <c r="J34" s="69">
        <f t="shared" si="2"/>
        <v>0</v>
      </c>
      <c r="K34" s="13"/>
    </row>
    <row r="35" ht="18.75" customHeight="1">
      <c r="A35" s="50">
        <v>28.0</v>
      </c>
      <c r="B35" s="76"/>
      <c r="C35" s="60"/>
      <c r="D35" s="46"/>
      <c r="E35" s="84"/>
      <c r="F35" s="54"/>
      <c r="G35" s="52"/>
      <c r="H35" s="53">
        <v>2.5</v>
      </c>
      <c r="I35" s="54" t="s">
        <v>53</v>
      </c>
      <c r="J35" s="69">
        <f t="shared" si="2"/>
        <v>39470238</v>
      </c>
      <c r="K35" s="13"/>
    </row>
    <row r="36" ht="18.75" customHeight="1">
      <c r="A36" s="50">
        <v>29.0</v>
      </c>
      <c r="B36" s="76"/>
      <c r="C36" s="60"/>
      <c r="D36" s="46"/>
      <c r="E36" s="84"/>
      <c r="F36" s="54"/>
      <c r="G36" s="52"/>
      <c r="H36" s="53">
        <v>2.6</v>
      </c>
      <c r="I36" s="54" t="s">
        <v>55</v>
      </c>
      <c r="J36" s="69">
        <f t="shared" si="2"/>
        <v>20000000</v>
      </c>
      <c r="K36" s="13"/>
    </row>
    <row r="37" ht="18.75" customHeight="1">
      <c r="A37" s="50">
        <v>30.0</v>
      </c>
      <c r="B37" s="76"/>
      <c r="C37" s="60"/>
      <c r="D37" s="46"/>
      <c r="E37" s="84"/>
      <c r="F37" s="54"/>
      <c r="G37" s="52"/>
      <c r="H37" s="53">
        <v>2.7</v>
      </c>
      <c r="I37" s="54" t="s">
        <v>57</v>
      </c>
      <c r="J37" s="69">
        <f t="shared" si="2"/>
        <v>4645000</v>
      </c>
      <c r="K37" s="13"/>
    </row>
    <row r="38" ht="18.75" customHeight="1">
      <c r="A38" s="50">
        <v>31.0</v>
      </c>
      <c r="B38" s="76"/>
      <c r="C38" s="60"/>
      <c r="D38" s="46"/>
      <c r="E38" s="84"/>
      <c r="F38" s="54"/>
      <c r="G38" s="52"/>
      <c r="H38" s="53">
        <v>2.8</v>
      </c>
      <c r="I38" s="54" t="s">
        <v>59</v>
      </c>
      <c r="J38" s="69">
        <f t="shared" si="2"/>
        <v>26000000</v>
      </c>
      <c r="K38" s="13"/>
    </row>
    <row r="39" ht="18.75" customHeight="1">
      <c r="A39" s="50">
        <v>32.0</v>
      </c>
      <c r="B39" s="76"/>
      <c r="C39" s="60"/>
      <c r="D39" s="46"/>
      <c r="E39" s="84"/>
      <c r="F39" s="54"/>
      <c r="G39" s="52"/>
      <c r="H39" s="53">
        <v>2.9</v>
      </c>
      <c r="I39" s="54" t="s">
        <v>62</v>
      </c>
      <c r="J39" s="69">
        <f t="shared" si="2"/>
        <v>0</v>
      </c>
      <c r="K39" s="13"/>
    </row>
    <row r="40" ht="18.75" customHeight="1">
      <c r="A40" s="50">
        <v>33.0</v>
      </c>
      <c r="B40" s="76"/>
      <c r="C40" s="60"/>
      <c r="D40" s="46"/>
      <c r="E40" s="84"/>
      <c r="F40" s="54"/>
      <c r="G40" s="52"/>
      <c r="H40" s="53">
        <v>2.11</v>
      </c>
      <c r="I40" s="54" t="s">
        <v>64</v>
      </c>
      <c r="J40" s="69">
        <f t="shared" si="2"/>
        <v>0</v>
      </c>
      <c r="K40" s="13"/>
    </row>
    <row r="41" ht="18.75" customHeight="1">
      <c r="A41" s="50">
        <v>34.0</v>
      </c>
      <c r="B41" s="76"/>
      <c r="C41" s="60"/>
      <c r="D41" s="46"/>
      <c r="E41" s="84"/>
      <c r="F41" s="54"/>
      <c r="G41" s="52"/>
      <c r="H41" s="53">
        <v>2.12</v>
      </c>
      <c r="I41" s="54" t="s">
        <v>86</v>
      </c>
      <c r="J41" s="69">
        <f t="shared" si="2"/>
        <v>0</v>
      </c>
      <c r="K41" s="13"/>
    </row>
    <row r="42" ht="18.75" customHeight="1">
      <c r="A42" s="50">
        <v>35.0</v>
      </c>
      <c r="B42" s="76"/>
      <c r="C42" s="60"/>
      <c r="D42" s="46"/>
      <c r="E42" s="84"/>
      <c r="F42" s="54"/>
      <c r="G42" s="52"/>
      <c r="H42" s="64" t="s">
        <v>87</v>
      </c>
      <c r="I42" s="64" t="s">
        <v>5</v>
      </c>
      <c r="J42" s="28">
        <f>J24+J25-J29</f>
        <v>-59161606</v>
      </c>
      <c r="K42" s="13"/>
    </row>
    <row r="43" ht="18.75" customHeight="1">
      <c r="A43" s="50">
        <v>36.0</v>
      </c>
      <c r="B43" s="76"/>
      <c r="C43" s="60"/>
      <c r="D43" s="46"/>
      <c r="E43" s="84"/>
      <c r="F43" s="54"/>
      <c r="G43" s="13"/>
      <c r="H43" s="13"/>
      <c r="I43" s="13"/>
      <c r="J43" s="13"/>
      <c r="K43" s="13"/>
    </row>
    <row r="44" ht="18.75" customHeight="1">
      <c r="A44" s="50">
        <v>37.0</v>
      </c>
      <c r="B44" s="76"/>
      <c r="C44" s="60"/>
      <c r="D44" s="46"/>
      <c r="E44" s="84"/>
      <c r="F44" s="54"/>
      <c r="G44" s="13"/>
      <c r="H44" s="70" t="s">
        <v>88</v>
      </c>
      <c r="I44" s="71"/>
      <c r="J44" s="71"/>
      <c r="K44" s="24"/>
    </row>
    <row r="45" ht="18.75" customHeight="1">
      <c r="A45" s="50">
        <v>38.0</v>
      </c>
      <c r="B45" s="76"/>
      <c r="C45" s="60"/>
      <c r="D45" s="46"/>
      <c r="E45" s="84"/>
      <c r="F45" s="54"/>
      <c r="G45" s="52"/>
      <c r="H45" s="64" t="s">
        <v>25</v>
      </c>
      <c r="I45" s="64" t="s">
        <v>26</v>
      </c>
      <c r="J45" s="53" t="s">
        <v>27</v>
      </c>
      <c r="K45" s="72" t="s">
        <v>89</v>
      </c>
    </row>
    <row r="46" ht="18.75" customHeight="1">
      <c r="A46" s="50">
        <v>39.0</v>
      </c>
      <c r="B46" s="76"/>
      <c r="C46" s="60"/>
      <c r="D46" s="46"/>
      <c r="E46" s="84"/>
      <c r="F46" s="54"/>
      <c r="G46" s="52"/>
      <c r="H46" s="64" t="s">
        <v>76</v>
      </c>
      <c r="I46" s="64" t="s">
        <v>77</v>
      </c>
      <c r="J46" s="69">
        <f>J42</f>
        <v>-59161606</v>
      </c>
      <c r="K46" s="73"/>
    </row>
    <row r="47" ht="18.75" customHeight="1">
      <c r="A47" s="50">
        <v>40.0</v>
      </c>
      <c r="B47" s="76"/>
      <c r="C47" s="60"/>
      <c r="D47" s="46"/>
      <c r="E47" s="84"/>
      <c r="F47" s="54"/>
      <c r="G47" s="52"/>
      <c r="H47" s="64" t="s">
        <v>78</v>
      </c>
      <c r="I47" s="64" t="s">
        <v>79</v>
      </c>
      <c r="J47" s="69">
        <f>SUM(J48:J54)</f>
        <v>247357258</v>
      </c>
      <c r="K47" s="73"/>
    </row>
    <row r="48" ht="18.75" customHeight="1">
      <c r="A48" s="50">
        <v>41.0</v>
      </c>
      <c r="B48" s="76"/>
      <c r="C48" s="54"/>
      <c r="D48" s="46"/>
      <c r="E48" s="84"/>
      <c r="F48" s="54"/>
      <c r="G48" s="52"/>
      <c r="H48" s="54"/>
      <c r="I48" s="54" t="s">
        <v>90</v>
      </c>
      <c r="J48" s="74">
        <v>8.0957397E7</v>
      </c>
      <c r="K48" s="73">
        <v>45869.0</v>
      </c>
    </row>
    <row r="49" ht="18.75" customHeight="1">
      <c r="A49" s="50">
        <v>42.0</v>
      </c>
      <c r="B49" s="76"/>
      <c r="C49" s="54"/>
      <c r="D49" s="46"/>
      <c r="E49" s="84"/>
      <c r="F49" s="54"/>
      <c r="G49" s="52"/>
      <c r="H49" s="54"/>
      <c r="I49" s="54" t="s">
        <v>91</v>
      </c>
      <c r="J49" s="74">
        <v>7.5442464E7</v>
      </c>
      <c r="K49" s="73">
        <v>45869.0</v>
      </c>
    </row>
    <row r="50" ht="18.75" customHeight="1">
      <c r="A50" s="50">
        <v>43.0</v>
      </c>
      <c r="B50" s="76"/>
      <c r="C50" s="54"/>
      <c r="D50" s="46"/>
      <c r="E50" s="84"/>
      <c r="F50" s="54"/>
      <c r="G50" s="52"/>
      <c r="H50" s="54"/>
      <c r="I50" s="54" t="s">
        <v>92</v>
      </c>
      <c r="J50" s="74">
        <v>7.5957397E7</v>
      </c>
      <c r="K50" s="73">
        <v>45869.0</v>
      </c>
    </row>
    <row r="51" ht="18.75" customHeight="1">
      <c r="A51" s="50">
        <v>44.0</v>
      </c>
      <c r="B51" s="76"/>
      <c r="C51" s="54"/>
      <c r="D51" s="46"/>
      <c r="E51" s="84"/>
      <c r="F51" s="54"/>
      <c r="G51" s="52"/>
      <c r="H51" s="54"/>
      <c r="I51" s="54" t="s">
        <v>93</v>
      </c>
      <c r="J51" s="74">
        <v>1.5E7</v>
      </c>
      <c r="K51" s="73">
        <v>45869.0</v>
      </c>
    </row>
    <row r="52" ht="18.75" customHeight="1">
      <c r="A52" s="50">
        <v>45.0</v>
      </c>
      <c r="B52" s="76"/>
      <c r="C52" s="54"/>
      <c r="D52" s="46"/>
      <c r="E52" s="84"/>
      <c r="F52" s="54"/>
      <c r="G52" s="52"/>
      <c r="H52" s="54"/>
      <c r="I52" s="54"/>
      <c r="J52" s="64"/>
      <c r="K52" s="73"/>
    </row>
    <row r="53" ht="18.75" customHeight="1">
      <c r="A53" s="50">
        <v>46.0</v>
      </c>
      <c r="B53" s="76"/>
      <c r="C53" s="54"/>
      <c r="D53" s="46"/>
      <c r="E53" s="84"/>
      <c r="F53" s="54"/>
      <c r="G53" s="52"/>
      <c r="H53" s="54"/>
      <c r="I53" s="54"/>
      <c r="J53" s="64"/>
      <c r="K53" s="73"/>
    </row>
    <row r="54" ht="18.75" customHeight="1">
      <c r="A54" s="50">
        <v>47.0</v>
      </c>
      <c r="B54" s="76"/>
      <c r="C54" s="54"/>
      <c r="D54" s="46"/>
      <c r="E54" s="84"/>
      <c r="F54" s="54"/>
      <c r="G54" s="52"/>
      <c r="H54" s="54"/>
      <c r="I54" s="54"/>
      <c r="J54" s="64"/>
      <c r="K54" s="73"/>
    </row>
    <row r="55" ht="18.75" customHeight="1">
      <c r="A55" s="50">
        <v>48.0</v>
      </c>
      <c r="B55" s="76"/>
      <c r="C55" s="54"/>
      <c r="D55" s="46"/>
      <c r="E55" s="84"/>
      <c r="F55" s="54"/>
      <c r="G55" s="52"/>
      <c r="H55" s="64" t="s">
        <v>83</v>
      </c>
      <c r="I55" s="64" t="s">
        <v>84</v>
      </c>
      <c r="J55" s="74">
        <f>SUM(J56:J65)</f>
        <v>232522117</v>
      </c>
      <c r="K55" s="73"/>
    </row>
    <row r="56" ht="18.75" customHeight="1">
      <c r="A56" s="50">
        <v>49.0</v>
      </c>
      <c r="B56" s="76"/>
      <c r="C56" s="75"/>
      <c r="D56" s="46"/>
      <c r="E56" s="84"/>
      <c r="F56" s="54"/>
      <c r="G56" s="52"/>
      <c r="H56" s="54"/>
      <c r="I56" s="54" t="s">
        <v>94</v>
      </c>
      <c r="J56" s="74">
        <v>8.8398E7</v>
      </c>
      <c r="K56" s="76"/>
    </row>
    <row r="57" ht="18.75" customHeight="1">
      <c r="A57" s="50">
        <v>50.0</v>
      </c>
      <c r="B57" s="76"/>
      <c r="C57" s="54"/>
      <c r="D57" s="46"/>
      <c r="E57" s="84"/>
      <c r="F57" s="54"/>
      <c r="G57" s="52"/>
      <c r="H57" s="54"/>
      <c r="I57" s="54" t="s">
        <v>93</v>
      </c>
      <c r="J57" s="74">
        <v>1.35E7</v>
      </c>
      <c r="K57" s="76"/>
    </row>
    <row r="58" ht="18.75" customHeight="1">
      <c r="A58" s="50">
        <v>51.0</v>
      </c>
      <c r="B58" s="76"/>
      <c r="C58" s="54"/>
      <c r="D58" s="46"/>
      <c r="E58" s="84"/>
      <c r="F58" s="54"/>
      <c r="G58" s="52"/>
      <c r="H58" s="54"/>
      <c r="I58" s="54" t="s">
        <v>95</v>
      </c>
      <c r="J58" s="74">
        <v>6.2276077E7</v>
      </c>
      <c r="K58" s="76"/>
    </row>
    <row r="59" ht="18.75" customHeight="1">
      <c r="A59" s="50">
        <v>52.0</v>
      </c>
      <c r="B59" s="76"/>
      <c r="C59" s="75"/>
      <c r="D59" s="46"/>
      <c r="E59" s="84"/>
      <c r="F59" s="54"/>
      <c r="G59" s="52"/>
      <c r="H59" s="54"/>
      <c r="I59" s="54" t="s">
        <v>96</v>
      </c>
      <c r="J59" s="74">
        <v>5.094804E7</v>
      </c>
      <c r="K59" s="76"/>
    </row>
    <row r="60" ht="18.75" customHeight="1">
      <c r="A60" s="50">
        <v>53.0</v>
      </c>
      <c r="B60" s="76"/>
      <c r="C60" s="54"/>
      <c r="D60" s="46"/>
      <c r="E60" s="84"/>
      <c r="F60" s="54"/>
      <c r="G60" s="52"/>
      <c r="H60" s="54"/>
      <c r="I60" s="54" t="s">
        <v>97</v>
      </c>
      <c r="J60" s="74">
        <v>1.54E7</v>
      </c>
      <c r="K60" s="73"/>
    </row>
    <row r="61" ht="18.75" customHeight="1">
      <c r="A61" s="50">
        <v>54.0</v>
      </c>
      <c r="B61" s="76"/>
      <c r="C61" s="54"/>
      <c r="D61" s="46"/>
      <c r="E61" s="84"/>
      <c r="F61" s="54"/>
      <c r="G61" s="52"/>
      <c r="H61" s="54"/>
      <c r="I61" s="54" t="s">
        <v>98</v>
      </c>
      <c r="J61" s="74">
        <v>2000000.0</v>
      </c>
      <c r="K61" s="73"/>
    </row>
    <row r="62" ht="18.75" customHeight="1">
      <c r="A62" s="50">
        <v>55.0</v>
      </c>
      <c r="B62" s="76"/>
      <c r="C62" s="54"/>
      <c r="D62" s="60"/>
      <c r="E62" s="84"/>
      <c r="F62" s="54"/>
      <c r="G62" s="52"/>
      <c r="H62" s="54"/>
      <c r="I62" s="54"/>
      <c r="J62" s="74"/>
      <c r="K62" s="73"/>
    </row>
    <row r="63" ht="18.75" customHeight="1">
      <c r="A63" s="50">
        <v>56.0</v>
      </c>
      <c r="B63" s="76"/>
      <c r="C63" s="54"/>
      <c r="D63" s="60"/>
      <c r="E63" s="84"/>
      <c r="F63" s="54"/>
      <c r="G63" s="52"/>
      <c r="H63" s="54"/>
      <c r="I63" s="54"/>
      <c r="J63" s="74"/>
      <c r="K63" s="73"/>
    </row>
    <row r="64" ht="18.75" customHeight="1">
      <c r="A64" s="50">
        <v>57.0</v>
      </c>
      <c r="B64" s="76"/>
      <c r="C64" s="54"/>
      <c r="D64" s="60"/>
      <c r="E64" s="84"/>
      <c r="F64" s="54"/>
      <c r="G64" s="52"/>
      <c r="H64" s="54"/>
      <c r="I64" s="54"/>
      <c r="J64" s="74"/>
      <c r="K64" s="73"/>
    </row>
    <row r="65" ht="18.75" customHeight="1">
      <c r="A65" s="50">
        <v>58.0</v>
      </c>
      <c r="B65" s="76"/>
      <c r="C65" s="54"/>
      <c r="D65" s="60"/>
      <c r="E65" s="84"/>
      <c r="F65" s="54"/>
      <c r="G65" s="52"/>
      <c r="H65" s="54"/>
      <c r="I65" s="54"/>
      <c r="J65" s="74"/>
      <c r="K65" s="73"/>
    </row>
    <row r="66" ht="18.75" customHeight="1">
      <c r="A66" s="50">
        <v>59.0</v>
      </c>
      <c r="B66" s="76"/>
      <c r="C66" s="75"/>
      <c r="D66" s="60"/>
      <c r="E66" s="84"/>
      <c r="F66" s="54"/>
      <c r="G66" s="52"/>
      <c r="H66" s="64" t="s">
        <v>87</v>
      </c>
      <c r="I66" s="64" t="s">
        <v>5</v>
      </c>
      <c r="J66" s="28">
        <f>J46+J47-J55</f>
        <v>-44326465</v>
      </c>
      <c r="K66" s="73"/>
    </row>
    <row r="67" ht="18.75" customHeight="1">
      <c r="A67" s="77"/>
      <c r="B67" s="87"/>
      <c r="C67" s="77"/>
      <c r="D67" s="77"/>
      <c r="E67" s="77"/>
      <c r="F67" s="77"/>
      <c r="G67" s="77"/>
      <c r="H67" s="77"/>
      <c r="I67" s="77"/>
      <c r="J67" s="77"/>
      <c r="K67" s="77"/>
    </row>
    <row r="68" ht="18.75" customHeight="1">
      <c r="A68" s="77"/>
      <c r="B68" s="87"/>
      <c r="C68" s="77"/>
      <c r="D68" s="77"/>
      <c r="E68" s="77"/>
      <c r="F68" s="77"/>
      <c r="G68" s="77"/>
      <c r="H68" s="77"/>
      <c r="I68" s="77"/>
      <c r="J68" s="77"/>
      <c r="K68" s="77"/>
    </row>
    <row r="69" ht="18.75" customHeight="1">
      <c r="A69" s="77"/>
      <c r="B69" s="87"/>
      <c r="C69" s="77"/>
      <c r="D69" s="77"/>
      <c r="E69" s="77"/>
      <c r="F69" s="77"/>
      <c r="G69" s="77"/>
      <c r="H69" s="77"/>
      <c r="I69" s="77"/>
      <c r="J69" s="77"/>
      <c r="K69" s="77"/>
    </row>
    <row r="70" ht="18.75" customHeight="1">
      <c r="A70" s="77"/>
      <c r="B70" s="87"/>
      <c r="C70" s="77"/>
      <c r="D70" s="77"/>
      <c r="E70" s="77"/>
      <c r="F70" s="77"/>
      <c r="G70" s="77"/>
      <c r="H70" s="77"/>
      <c r="I70" s="77"/>
      <c r="J70" s="77"/>
      <c r="K70" s="77"/>
    </row>
    <row r="71" ht="18.75" customHeight="1">
      <c r="A71" s="77"/>
      <c r="B71" s="87"/>
      <c r="C71" s="77"/>
      <c r="D71" s="77"/>
      <c r="E71" s="77"/>
      <c r="F71" s="77"/>
      <c r="G71" s="77"/>
      <c r="H71" s="77"/>
      <c r="I71" s="77"/>
      <c r="J71" s="77"/>
      <c r="K71" s="77"/>
    </row>
    <row r="72" ht="18.75" customHeight="1">
      <c r="A72" s="77"/>
      <c r="B72" s="87"/>
      <c r="C72" s="77"/>
      <c r="D72" s="77"/>
      <c r="E72" s="77"/>
      <c r="F72" s="77"/>
      <c r="G72" s="77"/>
      <c r="H72" s="77"/>
      <c r="I72" s="77"/>
      <c r="J72" s="77"/>
      <c r="K72" s="77"/>
    </row>
    <row r="73" ht="18.75" customHeight="1">
      <c r="A73" s="77"/>
      <c r="B73" s="87"/>
      <c r="C73" s="77"/>
      <c r="D73" s="77"/>
      <c r="E73" s="77"/>
      <c r="F73" s="77"/>
      <c r="G73" s="77"/>
      <c r="H73" s="77"/>
      <c r="I73" s="77"/>
      <c r="J73" s="77"/>
      <c r="K73" s="77"/>
    </row>
    <row r="74" ht="18.75" customHeight="1">
      <c r="A74" s="77"/>
      <c r="B74" s="87"/>
      <c r="C74" s="77"/>
      <c r="D74" s="77"/>
      <c r="E74" s="77"/>
      <c r="F74" s="77"/>
      <c r="G74" s="77"/>
      <c r="H74" s="77"/>
      <c r="I74" s="77"/>
      <c r="J74" s="77"/>
      <c r="K74" s="77"/>
    </row>
    <row r="75" ht="18.75" customHeight="1">
      <c r="A75" s="77"/>
      <c r="B75" s="87"/>
      <c r="C75" s="77"/>
      <c r="D75" s="77"/>
      <c r="E75" s="77"/>
      <c r="F75" s="77"/>
      <c r="G75" s="77"/>
      <c r="H75" s="77"/>
      <c r="I75" s="77"/>
      <c r="J75" s="77"/>
      <c r="K75" s="77"/>
    </row>
    <row r="76" ht="18.75" customHeight="1">
      <c r="A76" s="77"/>
      <c r="B76" s="87"/>
      <c r="C76" s="77"/>
      <c r="D76" s="77"/>
      <c r="E76" s="77"/>
      <c r="F76" s="77"/>
      <c r="G76" s="77"/>
      <c r="H76" s="77"/>
      <c r="I76" s="77"/>
      <c r="J76" s="77"/>
      <c r="K76" s="77"/>
    </row>
    <row r="77" ht="18.75" customHeight="1">
      <c r="A77" s="77"/>
      <c r="B77" s="87"/>
      <c r="C77" s="77"/>
      <c r="D77" s="77"/>
      <c r="E77" s="77"/>
      <c r="F77" s="77"/>
      <c r="G77" s="77"/>
      <c r="H77" s="77"/>
      <c r="I77" s="77"/>
      <c r="J77" s="77"/>
      <c r="K77" s="77"/>
    </row>
    <row r="78" ht="18.75" customHeight="1">
      <c r="A78" s="77"/>
      <c r="B78" s="87"/>
      <c r="C78" s="77"/>
      <c r="D78" s="77"/>
      <c r="E78" s="77"/>
      <c r="F78" s="77"/>
      <c r="G78" s="77"/>
      <c r="H78" s="77"/>
      <c r="I78" s="77"/>
      <c r="J78" s="77"/>
      <c r="K78" s="77"/>
    </row>
    <row r="79" ht="18.75" customHeight="1">
      <c r="A79" s="77"/>
      <c r="B79" s="87"/>
      <c r="C79" s="77"/>
      <c r="D79" s="77"/>
      <c r="E79" s="77"/>
      <c r="F79" s="77"/>
      <c r="G79" s="77"/>
      <c r="H79" s="77"/>
      <c r="I79" s="77"/>
      <c r="J79" s="77"/>
      <c r="K79" s="77"/>
    </row>
    <row r="80" ht="18.75" customHeight="1">
      <c r="A80" s="77"/>
      <c r="B80" s="87"/>
      <c r="C80" s="77"/>
      <c r="D80" s="77"/>
      <c r="E80" s="77"/>
      <c r="F80" s="77"/>
      <c r="G80" s="77"/>
      <c r="H80" s="77"/>
      <c r="I80" s="77"/>
      <c r="J80" s="77"/>
      <c r="K80" s="77"/>
    </row>
    <row r="81" ht="18.75" customHeight="1">
      <c r="A81" s="77"/>
      <c r="B81" s="87"/>
      <c r="C81" s="77"/>
      <c r="D81" s="77"/>
      <c r="E81" s="77"/>
      <c r="F81" s="77"/>
      <c r="G81" s="77"/>
      <c r="H81" s="77"/>
      <c r="I81" s="77"/>
      <c r="J81" s="77"/>
      <c r="K81" s="77"/>
    </row>
    <row r="82" ht="18.75" customHeight="1">
      <c r="A82" s="77"/>
      <c r="B82" s="87"/>
      <c r="C82" s="77"/>
      <c r="D82" s="77"/>
      <c r="E82" s="77"/>
      <c r="F82" s="77"/>
      <c r="G82" s="77"/>
      <c r="H82" s="77"/>
      <c r="I82" s="77"/>
      <c r="J82" s="77"/>
      <c r="K82" s="77"/>
    </row>
    <row r="83" ht="18.75" customHeight="1">
      <c r="A83" s="77"/>
      <c r="B83" s="87"/>
      <c r="C83" s="77"/>
      <c r="D83" s="77"/>
      <c r="E83" s="77"/>
      <c r="F83" s="77"/>
      <c r="G83" s="77"/>
      <c r="H83" s="77"/>
      <c r="I83" s="77"/>
      <c r="J83" s="77"/>
      <c r="K83" s="77"/>
    </row>
    <row r="84" ht="18.75" customHeight="1">
      <c r="A84" s="77"/>
      <c r="B84" s="87"/>
      <c r="C84" s="77"/>
      <c r="D84" s="77"/>
      <c r="E84" s="77"/>
      <c r="F84" s="77"/>
      <c r="G84" s="77"/>
      <c r="H84" s="77"/>
      <c r="I84" s="77"/>
      <c r="J84" s="77"/>
      <c r="K84" s="77"/>
    </row>
    <row r="85" ht="18.75" customHeight="1">
      <c r="A85" s="77"/>
      <c r="B85" s="87"/>
      <c r="C85" s="77"/>
      <c r="D85" s="77"/>
      <c r="E85" s="77"/>
      <c r="F85" s="77"/>
      <c r="G85" s="77"/>
      <c r="H85" s="77"/>
      <c r="I85" s="77"/>
      <c r="J85" s="77"/>
      <c r="K85" s="77"/>
    </row>
    <row r="86" ht="18.75" customHeight="1">
      <c r="A86" s="77"/>
      <c r="B86" s="87"/>
      <c r="C86" s="77"/>
      <c r="D86" s="77"/>
      <c r="E86" s="77"/>
      <c r="F86" s="77"/>
      <c r="G86" s="77"/>
      <c r="H86" s="77"/>
      <c r="I86" s="77"/>
      <c r="J86" s="77"/>
      <c r="K86" s="77"/>
    </row>
    <row r="87" ht="18.75" customHeight="1">
      <c r="A87" s="77"/>
      <c r="B87" s="87"/>
      <c r="C87" s="77"/>
      <c r="D87" s="77"/>
      <c r="E87" s="77"/>
      <c r="F87" s="77"/>
      <c r="G87" s="77"/>
      <c r="H87" s="77"/>
      <c r="I87" s="77"/>
      <c r="J87" s="77"/>
      <c r="K87" s="77"/>
    </row>
    <row r="88" ht="18.75" customHeight="1">
      <c r="A88" s="77"/>
      <c r="B88" s="87"/>
      <c r="C88" s="77"/>
      <c r="D88" s="77"/>
      <c r="E88" s="77"/>
      <c r="F88" s="77"/>
      <c r="G88" s="77"/>
      <c r="H88" s="77"/>
      <c r="I88" s="77"/>
      <c r="J88" s="77"/>
      <c r="K88" s="77"/>
    </row>
    <row r="89" ht="18.75" customHeight="1">
      <c r="A89" s="77"/>
      <c r="B89" s="87"/>
      <c r="C89" s="77"/>
      <c r="D89" s="77"/>
      <c r="E89" s="77"/>
      <c r="F89" s="77"/>
      <c r="G89" s="77"/>
      <c r="H89" s="77"/>
      <c r="I89" s="77"/>
      <c r="J89" s="77"/>
      <c r="K89" s="77"/>
    </row>
    <row r="90" ht="18.75" customHeight="1">
      <c r="A90" s="77"/>
      <c r="B90" s="87"/>
      <c r="C90" s="77"/>
      <c r="D90" s="77"/>
      <c r="E90" s="77"/>
      <c r="F90" s="77"/>
      <c r="G90" s="77"/>
      <c r="H90" s="77"/>
      <c r="I90" s="77"/>
      <c r="J90" s="77"/>
      <c r="K90" s="77"/>
    </row>
    <row r="91" ht="18.75" customHeight="1">
      <c r="A91" s="77"/>
      <c r="B91" s="87"/>
      <c r="C91" s="77"/>
      <c r="D91" s="77"/>
      <c r="E91" s="77"/>
      <c r="F91" s="77"/>
      <c r="G91" s="77"/>
      <c r="H91" s="77"/>
      <c r="I91" s="77"/>
      <c r="J91" s="77"/>
      <c r="K91" s="77"/>
    </row>
    <row r="92" ht="18.75" customHeight="1">
      <c r="A92" s="77"/>
      <c r="B92" s="87"/>
      <c r="C92" s="77"/>
      <c r="D92" s="77"/>
      <c r="E92" s="77"/>
      <c r="F92" s="77"/>
      <c r="G92" s="77"/>
      <c r="H92" s="77"/>
      <c r="I92" s="77"/>
      <c r="J92" s="77"/>
      <c r="K92" s="77"/>
    </row>
    <row r="93" ht="18.75" customHeight="1">
      <c r="A93" s="77"/>
      <c r="B93" s="87"/>
      <c r="C93" s="77"/>
      <c r="D93" s="77"/>
      <c r="E93" s="77"/>
      <c r="F93" s="77"/>
      <c r="G93" s="77"/>
      <c r="H93" s="77"/>
      <c r="I93" s="77"/>
      <c r="J93" s="77"/>
      <c r="K93" s="77"/>
    </row>
    <row r="94" ht="18.75" customHeight="1">
      <c r="A94" s="77"/>
      <c r="B94" s="87"/>
      <c r="C94" s="77"/>
      <c r="D94" s="77"/>
      <c r="E94" s="77"/>
      <c r="F94" s="77"/>
      <c r="G94" s="77"/>
      <c r="H94" s="77"/>
      <c r="I94" s="77"/>
      <c r="J94" s="77"/>
      <c r="K94" s="77"/>
    </row>
    <row r="95" ht="18.75" customHeight="1">
      <c r="A95" s="77"/>
      <c r="B95" s="87"/>
      <c r="C95" s="77"/>
      <c r="D95" s="77"/>
      <c r="E95" s="77"/>
      <c r="F95" s="77"/>
      <c r="G95" s="77"/>
      <c r="H95" s="77"/>
      <c r="I95" s="77"/>
      <c r="J95" s="77"/>
      <c r="K95" s="77"/>
    </row>
    <row r="96" ht="18.75" customHeight="1">
      <c r="A96" s="77"/>
      <c r="B96" s="87"/>
      <c r="C96" s="77"/>
      <c r="D96" s="77"/>
      <c r="E96" s="77"/>
      <c r="F96" s="77"/>
      <c r="G96" s="77"/>
      <c r="H96" s="77"/>
      <c r="I96" s="77"/>
      <c r="J96" s="77"/>
      <c r="K96" s="77"/>
    </row>
    <row r="97" ht="18.75" customHeight="1">
      <c r="A97" s="77"/>
      <c r="B97" s="87"/>
      <c r="C97" s="77"/>
      <c r="D97" s="77"/>
      <c r="E97" s="77"/>
      <c r="F97" s="77"/>
      <c r="G97" s="77"/>
      <c r="H97" s="77"/>
      <c r="I97" s="77"/>
      <c r="J97" s="77"/>
      <c r="K97" s="77"/>
    </row>
    <row r="98" ht="18.75" customHeight="1">
      <c r="A98" s="77"/>
      <c r="B98" s="87"/>
      <c r="C98" s="77"/>
      <c r="D98" s="77"/>
      <c r="E98" s="77"/>
      <c r="F98" s="77"/>
      <c r="G98" s="77"/>
      <c r="H98" s="77"/>
      <c r="I98" s="77"/>
      <c r="J98" s="77"/>
      <c r="K98" s="77"/>
    </row>
    <row r="99" ht="18.75" customHeight="1">
      <c r="A99" s="77"/>
      <c r="B99" s="87"/>
      <c r="C99" s="77"/>
      <c r="D99" s="77"/>
      <c r="E99" s="77"/>
      <c r="F99" s="77"/>
      <c r="G99" s="77"/>
      <c r="H99" s="77"/>
      <c r="I99" s="77"/>
      <c r="J99" s="77"/>
      <c r="K99" s="77"/>
    </row>
    <row r="100" ht="18.75" customHeight="1">
      <c r="A100" s="77"/>
      <c r="B100" s="87"/>
      <c r="C100" s="77"/>
      <c r="D100" s="77"/>
      <c r="E100" s="77"/>
      <c r="F100" s="77"/>
      <c r="G100" s="77"/>
      <c r="H100" s="77"/>
      <c r="I100" s="77"/>
      <c r="J100" s="77"/>
      <c r="K100" s="77"/>
    </row>
    <row r="101" ht="18.75" customHeight="1">
      <c r="A101" s="77"/>
      <c r="B101" s="87"/>
      <c r="C101" s="77"/>
      <c r="D101" s="77"/>
      <c r="E101" s="77"/>
      <c r="F101" s="77"/>
      <c r="G101" s="77"/>
      <c r="H101" s="77"/>
      <c r="I101" s="77"/>
      <c r="J101" s="77"/>
      <c r="K101" s="77"/>
    </row>
    <row r="102" ht="18.75" customHeight="1">
      <c r="A102" s="77"/>
      <c r="B102" s="87"/>
      <c r="C102" s="77"/>
      <c r="D102" s="77"/>
      <c r="E102" s="77"/>
      <c r="F102" s="77"/>
      <c r="G102" s="77"/>
      <c r="H102" s="77"/>
      <c r="I102" s="77"/>
      <c r="J102" s="77"/>
      <c r="K102" s="77"/>
    </row>
    <row r="103" ht="18.75" customHeight="1">
      <c r="A103" s="77"/>
      <c r="B103" s="87"/>
      <c r="C103" s="77"/>
      <c r="D103" s="77"/>
      <c r="E103" s="77"/>
      <c r="F103" s="77"/>
      <c r="G103" s="77"/>
      <c r="H103" s="77"/>
      <c r="I103" s="77"/>
      <c r="J103" s="77"/>
      <c r="K103" s="77"/>
    </row>
    <row r="104" ht="18.75" customHeight="1">
      <c r="A104" s="77"/>
      <c r="B104" s="87"/>
      <c r="C104" s="77"/>
      <c r="D104" s="77"/>
      <c r="E104" s="77"/>
      <c r="F104" s="77"/>
      <c r="G104" s="77"/>
      <c r="H104" s="77"/>
      <c r="I104" s="77"/>
      <c r="J104" s="77"/>
      <c r="K104" s="77"/>
    </row>
    <row r="105" ht="18.75" customHeight="1">
      <c r="A105" s="77"/>
      <c r="B105" s="87"/>
      <c r="C105" s="77"/>
      <c r="D105" s="77"/>
      <c r="E105" s="77"/>
      <c r="F105" s="77"/>
      <c r="G105" s="77"/>
      <c r="H105" s="77"/>
      <c r="I105" s="77"/>
      <c r="J105" s="77"/>
      <c r="K105" s="77"/>
    </row>
    <row r="106" ht="18.75" customHeight="1">
      <c r="A106" s="77"/>
      <c r="B106" s="87"/>
      <c r="C106" s="77"/>
      <c r="D106" s="77"/>
      <c r="E106" s="77"/>
      <c r="F106" s="77"/>
      <c r="G106" s="77"/>
      <c r="H106" s="77"/>
      <c r="I106" s="77"/>
      <c r="J106" s="77"/>
      <c r="K106" s="77"/>
    </row>
    <row r="107" ht="18.75" customHeight="1">
      <c r="A107" s="77"/>
      <c r="B107" s="87"/>
      <c r="C107" s="77"/>
      <c r="D107" s="77"/>
      <c r="E107" s="77"/>
      <c r="F107" s="77"/>
      <c r="G107" s="77"/>
      <c r="H107" s="77"/>
      <c r="I107" s="77"/>
      <c r="J107" s="77"/>
      <c r="K107" s="77"/>
    </row>
    <row r="108" ht="18.75" customHeight="1">
      <c r="A108" s="77"/>
      <c r="B108" s="87"/>
      <c r="C108" s="77"/>
      <c r="D108" s="77"/>
      <c r="E108" s="77"/>
      <c r="F108" s="77"/>
      <c r="G108" s="77"/>
      <c r="H108" s="77"/>
      <c r="I108" s="77"/>
      <c r="J108" s="77"/>
      <c r="K108" s="77"/>
    </row>
    <row r="109" ht="18.75" customHeight="1">
      <c r="A109" s="77"/>
      <c r="B109" s="87"/>
      <c r="C109" s="77"/>
      <c r="D109" s="77"/>
      <c r="E109" s="77"/>
      <c r="F109" s="77"/>
      <c r="G109" s="77"/>
      <c r="H109" s="77"/>
      <c r="I109" s="77"/>
      <c r="J109" s="77"/>
      <c r="K109" s="77"/>
    </row>
    <row r="110" ht="18.75" customHeight="1">
      <c r="A110" s="77"/>
      <c r="B110" s="87"/>
      <c r="C110" s="77"/>
      <c r="D110" s="77"/>
      <c r="E110" s="77"/>
      <c r="F110" s="77"/>
      <c r="G110" s="77"/>
      <c r="H110" s="77"/>
      <c r="I110" s="77"/>
      <c r="J110" s="77"/>
      <c r="K110" s="77"/>
    </row>
    <row r="111" ht="18.75" customHeight="1">
      <c r="A111" s="77"/>
      <c r="B111" s="87"/>
      <c r="C111" s="77"/>
      <c r="D111" s="77"/>
      <c r="E111" s="77"/>
      <c r="F111" s="77"/>
      <c r="G111" s="77"/>
      <c r="H111" s="77"/>
      <c r="I111" s="77"/>
      <c r="J111" s="77"/>
      <c r="K111" s="77"/>
    </row>
    <row r="112" ht="18.75" customHeight="1">
      <c r="A112" s="77"/>
      <c r="B112" s="87"/>
      <c r="C112" s="77"/>
      <c r="D112" s="77"/>
      <c r="E112" s="77"/>
      <c r="F112" s="77"/>
      <c r="G112" s="77"/>
      <c r="H112" s="77"/>
      <c r="I112" s="77"/>
      <c r="J112" s="77"/>
      <c r="K112" s="77"/>
    </row>
    <row r="113" ht="18.75" customHeight="1">
      <c r="A113" s="77"/>
      <c r="B113" s="87"/>
      <c r="C113" s="77"/>
      <c r="D113" s="77"/>
      <c r="E113" s="77"/>
      <c r="F113" s="77"/>
      <c r="G113" s="77"/>
      <c r="H113" s="77"/>
      <c r="I113" s="77"/>
      <c r="J113" s="77"/>
      <c r="K113" s="77"/>
    </row>
    <row r="114" ht="18.75" customHeight="1">
      <c r="A114" s="77"/>
      <c r="B114" s="87"/>
      <c r="C114" s="77"/>
      <c r="D114" s="77"/>
      <c r="E114" s="77"/>
      <c r="F114" s="77"/>
      <c r="G114" s="77"/>
      <c r="H114" s="77"/>
      <c r="I114" s="77"/>
      <c r="J114" s="77"/>
      <c r="K114" s="77"/>
    </row>
    <row r="115" ht="18.75" customHeight="1">
      <c r="A115" s="77"/>
      <c r="B115" s="87"/>
      <c r="C115" s="77"/>
      <c r="D115" s="77"/>
      <c r="E115" s="77"/>
      <c r="F115" s="77"/>
      <c r="G115" s="77"/>
      <c r="H115" s="77"/>
      <c r="I115" s="77"/>
      <c r="J115" s="77"/>
      <c r="K115" s="77"/>
    </row>
    <row r="116" ht="18.75" customHeight="1">
      <c r="A116" s="77"/>
      <c r="B116" s="87"/>
      <c r="C116" s="77"/>
      <c r="D116" s="77"/>
      <c r="E116" s="77"/>
      <c r="F116" s="77"/>
      <c r="G116" s="77"/>
      <c r="H116" s="77"/>
      <c r="I116" s="77"/>
      <c r="J116" s="77"/>
      <c r="K116" s="77"/>
    </row>
    <row r="117" ht="18.75" customHeight="1">
      <c r="A117" s="77"/>
      <c r="B117" s="87"/>
      <c r="C117" s="77"/>
      <c r="D117" s="77"/>
      <c r="E117" s="77"/>
      <c r="F117" s="77"/>
      <c r="G117" s="77"/>
      <c r="H117" s="77"/>
      <c r="I117" s="77"/>
      <c r="J117" s="77"/>
      <c r="K117" s="77"/>
    </row>
    <row r="118" ht="18.75" customHeight="1">
      <c r="A118" s="77"/>
      <c r="B118" s="87"/>
      <c r="C118" s="77"/>
      <c r="D118" s="77"/>
      <c r="E118" s="77"/>
      <c r="F118" s="77"/>
      <c r="G118" s="77"/>
      <c r="H118" s="77"/>
      <c r="I118" s="77"/>
      <c r="J118" s="77"/>
      <c r="K118" s="77"/>
    </row>
    <row r="119" ht="18.75" customHeight="1">
      <c r="A119" s="77"/>
      <c r="B119" s="87"/>
      <c r="C119" s="77"/>
      <c r="D119" s="77"/>
      <c r="E119" s="77"/>
      <c r="F119" s="77"/>
      <c r="G119" s="77"/>
      <c r="H119" s="77"/>
      <c r="I119" s="77"/>
      <c r="J119" s="77"/>
      <c r="K119" s="77"/>
    </row>
    <row r="120" ht="18.75" customHeight="1">
      <c r="A120" s="77"/>
      <c r="B120" s="87"/>
      <c r="C120" s="77"/>
      <c r="D120" s="77"/>
      <c r="E120" s="77"/>
      <c r="F120" s="77"/>
      <c r="G120" s="77"/>
      <c r="H120" s="77"/>
      <c r="I120" s="77"/>
      <c r="J120" s="77"/>
      <c r="K120" s="77"/>
    </row>
    <row r="121" ht="18.75" customHeight="1">
      <c r="A121" s="77"/>
      <c r="B121" s="87"/>
      <c r="C121" s="77"/>
      <c r="D121" s="77"/>
      <c r="E121" s="77"/>
      <c r="F121" s="77"/>
      <c r="G121" s="77"/>
      <c r="H121" s="77"/>
      <c r="I121" s="77"/>
      <c r="J121" s="77"/>
      <c r="K121" s="77"/>
    </row>
    <row r="122" ht="18.75" customHeight="1">
      <c r="A122" s="77"/>
      <c r="B122" s="87"/>
      <c r="C122" s="77"/>
      <c r="D122" s="77"/>
      <c r="E122" s="77"/>
      <c r="F122" s="77"/>
      <c r="G122" s="77"/>
      <c r="H122" s="77"/>
      <c r="I122" s="77"/>
      <c r="J122" s="77"/>
      <c r="K122" s="77"/>
    </row>
    <row r="123" ht="18.75" customHeight="1">
      <c r="A123" s="77"/>
      <c r="B123" s="87"/>
      <c r="C123" s="77"/>
      <c r="D123" s="77"/>
      <c r="E123" s="77"/>
      <c r="F123" s="77"/>
      <c r="G123" s="77"/>
      <c r="H123" s="77"/>
      <c r="I123" s="77"/>
      <c r="J123" s="77"/>
      <c r="K123" s="77"/>
    </row>
    <row r="124" ht="18.75" customHeight="1">
      <c r="A124" s="77"/>
      <c r="B124" s="87"/>
      <c r="C124" s="77"/>
      <c r="D124" s="77"/>
      <c r="E124" s="77"/>
      <c r="F124" s="77"/>
      <c r="G124" s="77"/>
      <c r="H124" s="77"/>
      <c r="I124" s="77"/>
      <c r="J124" s="77"/>
      <c r="K124" s="77"/>
    </row>
    <row r="125" ht="18.75" customHeight="1">
      <c r="A125" s="77"/>
      <c r="B125" s="87"/>
      <c r="C125" s="77"/>
      <c r="D125" s="77"/>
      <c r="E125" s="77"/>
      <c r="F125" s="77"/>
      <c r="G125" s="77"/>
      <c r="H125" s="77"/>
      <c r="I125" s="77"/>
      <c r="J125" s="77"/>
      <c r="K125" s="77"/>
    </row>
    <row r="126" ht="18.75" customHeight="1">
      <c r="A126" s="77"/>
      <c r="B126" s="87"/>
      <c r="C126" s="77"/>
      <c r="D126" s="77"/>
      <c r="E126" s="77"/>
      <c r="F126" s="77"/>
      <c r="G126" s="77"/>
      <c r="H126" s="77"/>
      <c r="I126" s="77"/>
      <c r="J126" s="77"/>
      <c r="K126" s="77"/>
    </row>
    <row r="127" ht="18.75" customHeight="1">
      <c r="A127" s="77"/>
      <c r="B127" s="87"/>
      <c r="C127" s="77"/>
      <c r="D127" s="77"/>
      <c r="E127" s="77"/>
      <c r="F127" s="77"/>
      <c r="G127" s="77"/>
      <c r="H127" s="77"/>
      <c r="I127" s="77"/>
      <c r="J127" s="77"/>
      <c r="K127" s="77"/>
    </row>
    <row r="128" ht="18.75" customHeight="1">
      <c r="A128" s="77"/>
      <c r="B128" s="87"/>
      <c r="C128" s="77"/>
      <c r="D128" s="77"/>
      <c r="E128" s="77"/>
      <c r="F128" s="77"/>
      <c r="G128" s="77"/>
      <c r="H128" s="77"/>
      <c r="I128" s="77"/>
      <c r="J128" s="77"/>
      <c r="K128" s="77"/>
    </row>
    <row r="129" ht="18.75" customHeight="1">
      <c r="A129" s="77"/>
      <c r="B129" s="87"/>
      <c r="C129" s="77"/>
      <c r="D129" s="77"/>
      <c r="E129" s="77"/>
      <c r="F129" s="77"/>
      <c r="G129" s="77"/>
      <c r="H129" s="77"/>
      <c r="I129" s="77"/>
      <c r="J129" s="77"/>
      <c r="K129" s="77"/>
    </row>
    <row r="130" ht="18.75" customHeight="1">
      <c r="A130" s="77"/>
      <c r="B130" s="87"/>
      <c r="C130" s="77"/>
      <c r="D130" s="77"/>
      <c r="E130" s="77"/>
      <c r="F130" s="77"/>
      <c r="G130" s="77"/>
      <c r="H130" s="77"/>
      <c r="I130" s="77"/>
      <c r="J130" s="77"/>
      <c r="K130" s="77"/>
    </row>
    <row r="131" ht="18.75" customHeight="1">
      <c r="A131" s="77"/>
      <c r="B131" s="87"/>
      <c r="C131" s="77"/>
      <c r="D131" s="77"/>
      <c r="E131" s="77"/>
      <c r="F131" s="77"/>
      <c r="G131" s="77"/>
      <c r="H131" s="77"/>
      <c r="I131" s="77"/>
      <c r="J131" s="77"/>
      <c r="K131" s="77"/>
    </row>
    <row r="132" ht="18.75" customHeight="1">
      <c r="A132" s="77"/>
      <c r="B132" s="87"/>
      <c r="C132" s="77"/>
      <c r="D132" s="77"/>
      <c r="E132" s="77"/>
      <c r="F132" s="77"/>
      <c r="G132" s="77"/>
      <c r="H132" s="77"/>
      <c r="I132" s="77"/>
      <c r="J132" s="77"/>
      <c r="K132" s="77"/>
    </row>
    <row r="133" ht="18.75" customHeight="1">
      <c r="A133" s="77"/>
      <c r="B133" s="87"/>
      <c r="C133" s="77"/>
      <c r="D133" s="77"/>
      <c r="E133" s="77"/>
      <c r="F133" s="77"/>
      <c r="G133" s="77"/>
      <c r="H133" s="77"/>
      <c r="I133" s="77"/>
      <c r="J133" s="77"/>
      <c r="K133" s="77"/>
    </row>
    <row r="134" ht="18.75" customHeight="1">
      <c r="A134" s="77"/>
      <c r="B134" s="87"/>
      <c r="C134" s="77"/>
      <c r="D134" s="77"/>
      <c r="E134" s="77"/>
      <c r="F134" s="77"/>
      <c r="G134" s="77"/>
      <c r="H134" s="77"/>
      <c r="I134" s="77"/>
      <c r="J134" s="77"/>
      <c r="K134" s="77"/>
    </row>
    <row r="135" ht="18.75" customHeight="1">
      <c r="A135" s="77"/>
      <c r="B135" s="87"/>
      <c r="C135" s="77"/>
      <c r="D135" s="77"/>
      <c r="E135" s="77"/>
      <c r="F135" s="77"/>
      <c r="G135" s="77"/>
      <c r="H135" s="77"/>
      <c r="I135" s="77"/>
      <c r="J135" s="77"/>
      <c r="K135" s="77"/>
    </row>
    <row r="136" ht="18.75" customHeight="1">
      <c r="A136" s="77"/>
      <c r="B136" s="87"/>
      <c r="C136" s="77"/>
      <c r="D136" s="77"/>
      <c r="E136" s="77"/>
      <c r="F136" s="77"/>
      <c r="G136" s="77"/>
      <c r="H136" s="77"/>
      <c r="I136" s="77"/>
      <c r="J136" s="77"/>
      <c r="K136" s="77"/>
    </row>
    <row r="137" ht="18.75" customHeight="1">
      <c r="A137" s="77"/>
      <c r="B137" s="87"/>
      <c r="C137" s="77"/>
      <c r="D137" s="77"/>
      <c r="E137" s="77"/>
      <c r="F137" s="77"/>
      <c r="G137" s="77"/>
      <c r="H137" s="77"/>
      <c r="I137" s="77"/>
      <c r="J137" s="77"/>
      <c r="K137" s="77"/>
    </row>
    <row r="138" ht="18.75" customHeight="1">
      <c r="A138" s="77"/>
      <c r="B138" s="87"/>
      <c r="C138" s="77"/>
      <c r="D138" s="77"/>
      <c r="E138" s="77"/>
      <c r="F138" s="77"/>
      <c r="G138" s="77"/>
      <c r="H138" s="77"/>
      <c r="I138" s="77"/>
      <c r="J138" s="77"/>
      <c r="K138" s="77"/>
    </row>
    <row r="139" ht="18.75" customHeight="1">
      <c r="A139" s="77"/>
      <c r="B139" s="87"/>
      <c r="C139" s="77"/>
      <c r="D139" s="77"/>
      <c r="E139" s="77"/>
      <c r="F139" s="77"/>
      <c r="G139" s="77"/>
      <c r="H139" s="77"/>
      <c r="I139" s="77"/>
      <c r="J139" s="77"/>
      <c r="K139" s="77"/>
    </row>
    <row r="140" ht="18.75" customHeight="1">
      <c r="A140" s="77"/>
      <c r="B140" s="87"/>
      <c r="C140" s="77"/>
      <c r="D140" s="77"/>
      <c r="E140" s="77"/>
      <c r="F140" s="77"/>
      <c r="G140" s="77"/>
      <c r="H140" s="77"/>
      <c r="I140" s="77"/>
      <c r="J140" s="77"/>
      <c r="K140" s="77"/>
    </row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</sheetData>
  <mergeCells count="12">
    <mergeCell ref="C3:D3"/>
    <mergeCell ref="C4:C5"/>
    <mergeCell ref="D4:D5"/>
    <mergeCell ref="H22:J22"/>
    <mergeCell ref="H44:K44"/>
    <mergeCell ref="A1:F1"/>
    <mergeCell ref="H1:J1"/>
    <mergeCell ref="A2:F2"/>
    <mergeCell ref="A3:A6"/>
    <mergeCell ref="B3:B6"/>
    <mergeCell ref="E3:E6"/>
    <mergeCell ref="F3:F6"/>
  </mergeCells>
  <dataValidations>
    <dataValidation type="list" allowBlank="1" showErrorMessage="1" sqref="H4:H6 H9:H19 H30:H41 E67:E140">
      <formula1>"1.1,1.2,1.3,2.1,2.2,2.3,2.4,2.5,2.6,2.7,2.8,2.9,2.11,2.12"</formula1>
    </dataValidation>
    <dataValidation type="list" allowBlank="1" showErrorMessage="1" sqref="E8:E66">
      <formula1>"1,1,1,2,2,1,2,11,2,12,2,2,2,3,2,5,2,6,2,7,2,8,2,9,2,4,1,3"</formula1>
    </dataValidation>
  </dataValidations>
  <hyperlinks>
    <hyperlink r:id="rId1" ref="F12"/>
    <hyperlink r:id="rId2" ref="F15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6.0"/>
    <col customWidth="1" min="2" max="2" width="15.0"/>
    <col customWidth="1" min="3" max="4" width="17.0"/>
    <col customWidth="1" min="5" max="5" width="13.0"/>
    <col customWidth="1" min="6" max="6" width="47.0"/>
    <col customWidth="1" min="7" max="7" width="7.0"/>
    <col customWidth="1" min="8" max="8" width="14.0"/>
    <col customWidth="1" min="9" max="9" width="46.0"/>
    <col customWidth="1" min="10" max="10" width="16.0"/>
    <col customWidth="1" min="11" max="26" width="14.0"/>
  </cols>
  <sheetData>
    <row r="1" ht="18.75" customHeight="1">
      <c r="A1" s="11" t="s">
        <v>22</v>
      </c>
      <c r="F1" s="12"/>
      <c r="G1" s="13"/>
      <c r="H1" s="14" t="s">
        <v>23</v>
      </c>
      <c r="I1" s="15"/>
      <c r="J1" s="16"/>
      <c r="K1" s="13"/>
    </row>
    <row r="2" ht="18.75" customHeight="1">
      <c r="A2" s="17" t="s">
        <v>108</v>
      </c>
      <c r="G2" s="13"/>
      <c r="H2" s="18" t="s">
        <v>25</v>
      </c>
      <c r="I2" s="19" t="s">
        <v>26</v>
      </c>
      <c r="J2" s="20" t="s">
        <v>27</v>
      </c>
      <c r="K2" s="13"/>
    </row>
    <row r="3" ht="18.75" customHeight="1">
      <c r="A3" s="21" t="s">
        <v>28</v>
      </c>
      <c r="B3" s="21" t="s">
        <v>29</v>
      </c>
      <c r="C3" s="23" t="s">
        <v>30</v>
      </c>
      <c r="D3" s="24"/>
      <c r="E3" s="25" t="s">
        <v>25</v>
      </c>
      <c r="F3" s="21" t="s">
        <v>26</v>
      </c>
      <c r="G3" s="13"/>
      <c r="H3" s="26">
        <v>1.0</v>
      </c>
      <c r="I3" s="27" t="s">
        <v>31</v>
      </c>
      <c r="J3" s="28">
        <f>SUM(J4:J6)</f>
        <v>490340000</v>
      </c>
      <c r="K3" s="13"/>
    </row>
    <row r="4" ht="18.75" customHeight="1">
      <c r="A4" s="29"/>
      <c r="B4" s="29"/>
      <c r="C4" s="21" t="s">
        <v>32</v>
      </c>
      <c r="D4" s="21" t="s">
        <v>33</v>
      </c>
      <c r="E4" s="30"/>
      <c r="F4" s="29"/>
      <c r="G4" s="13"/>
      <c r="H4" s="31">
        <v>1.1</v>
      </c>
      <c r="I4" s="32" t="s">
        <v>34</v>
      </c>
      <c r="J4" s="28">
        <f>SUMIF($E$8:$E$54,1.1,$C$8:$C$45)</f>
        <v>0</v>
      </c>
      <c r="K4" s="13"/>
    </row>
    <row r="5" ht="18.75" customHeight="1">
      <c r="A5" s="29"/>
      <c r="B5" s="29"/>
      <c r="C5" s="33"/>
      <c r="D5" s="33"/>
      <c r="E5" s="30"/>
      <c r="F5" s="29"/>
      <c r="G5" s="13"/>
      <c r="H5" s="31">
        <v>1.2</v>
      </c>
      <c r="I5" s="32" t="s">
        <v>35</v>
      </c>
      <c r="J5" s="28">
        <f>SUMIF($E$8:$E$54,1.2,$C$8:$C$45)</f>
        <v>490340000</v>
      </c>
      <c r="K5" s="13"/>
    </row>
    <row r="6" ht="18.75" customHeight="1">
      <c r="A6" s="33"/>
      <c r="B6" s="33"/>
      <c r="C6" s="34"/>
      <c r="D6" s="34"/>
      <c r="E6" s="35"/>
      <c r="F6" s="33"/>
      <c r="G6" s="13"/>
      <c r="H6" s="31">
        <v>1.3</v>
      </c>
      <c r="I6" s="32" t="s">
        <v>36</v>
      </c>
      <c r="J6" s="28">
        <f>SUMIF($E$8:$E$54,1.3,$C$8:$C$45)</f>
        <v>0</v>
      </c>
      <c r="K6" s="13"/>
    </row>
    <row r="7" ht="21.75" customHeight="1">
      <c r="A7" s="36"/>
      <c r="B7" s="37"/>
      <c r="C7" s="38">
        <f t="shared" ref="C7:D7" si="1">SUM(C8:C100)</f>
        <v>490340000</v>
      </c>
      <c r="D7" s="38">
        <f t="shared" si="1"/>
        <v>96449060</v>
      </c>
      <c r="E7" s="39"/>
      <c r="F7" s="40"/>
      <c r="G7" s="40" t="s">
        <v>37</v>
      </c>
      <c r="H7" s="41"/>
      <c r="I7" s="40"/>
      <c r="J7" s="42"/>
      <c r="K7" s="40"/>
    </row>
    <row r="8" ht="18.75" customHeight="1">
      <c r="A8" s="43">
        <v>1.0</v>
      </c>
      <c r="B8" s="83">
        <v>45723.0</v>
      </c>
      <c r="C8" s="45"/>
      <c r="D8" s="88">
        <v>1276000.0</v>
      </c>
      <c r="E8" s="84" t="s">
        <v>109</v>
      </c>
      <c r="F8" s="85" t="s">
        <v>110</v>
      </c>
      <c r="G8" s="13"/>
      <c r="H8" s="26">
        <v>2.0</v>
      </c>
      <c r="I8" s="49" t="s">
        <v>40</v>
      </c>
      <c r="J8" s="28">
        <f>SUM(J9:J19)</f>
        <v>96449060</v>
      </c>
      <c r="K8" s="13"/>
    </row>
    <row r="9" ht="18.75" customHeight="1">
      <c r="A9" s="50">
        <v>2.0</v>
      </c>
      <c r="B9" s="83">
        <v>45719.0</v>
      </c>
      <c r="C9" s="45"/>
      <c r="D9" s="56">
        <v>200000.0</v>
      </c>
      <c r="E9" s="84" t="s">
        <v>109</v>
      </c>
      <c r="F9" s="85" t="s">
        <v>111</v>
      </c>
      <c r="G9" s="52"/>
      <c r="H9" s="53">
        <v>2.1</v>
      </c>
      <c r="I9" s="54" t="s">
        <v>42</v>
      </c>
      <c r="J9" s="55">
        <f>SUMIF($E$8:$E$54,2.1,$D$8:$D$45)</f>
        <v>0</v>
      </c>
      <c r="K9" s="13"/>
    </row>
    <row r="10" ht="18.75" customHeight="1">
      <c r="A10" s="50">
        <v>3.0</v>
      </c>
      <c r="B10" s="83">
        <v>45719.0</v>
      </c>
      <c r="C10" s="45"/>
      <c r="D10" s="56">
        <v>300000.0</v>
      </c>
      <c r="E10" s="84" t="s">
        <v>109</v>
      </c>
      <c r="F10" s="85" t="s">
        <v>112</v>
      </c>
      <c r="G10" s="52"/>
      <c r="H10" s="53">
        <v>2.2</v>
      </c>
      <c r="I10" s="54" t="s">
        <v>45</v>
      </c>
      <c r="J10" s="28">
        <f>SUMIF($E$8:$E$54,2.2,$D$8:$D$45)</f>
        <v>49823342</v>
      </c>
      <c r="K10" s="13"/>
    </row>
    <row r="11" ht="18.75" customHeight="1">
      <c r="A11" s="50">
        <v>4.0</v>
      </c>
      <c r="B11" s="83">
        <v>45719.0</v>
      </c>
      <c r="C11" s="45"/>
      <c r="D11" s="56">
        <v>700000.0</v>
      </c>
      <c r="E11" s="84" t="s">
        <v>109</v>
      </c>
      <c r="F11" s="85" t="s">
        <v>113</v>
      </c>
      <c r="G11" s="52"/>
      <c r="H11" s="53">
        <v>2.3</v>
      </c>
      <c r="I11" s="54" t="s">
        <v>48</v>
      </c>
      <c r="J11" s="28">
        <f>SUMIF($E$8:$E$54,2.3,$D$8:$D$45)</f>
        <v>800000</v>
      </c>
      <c r="K11" s="13"/>
    </row>
    <row r="12" ht="18.75" customHeight="1">
      <c r="A12" s="50">
        <v>5.0</v>
      </c>
      <c r="B12" s="83">
        <v>45719.0</v>
      </c>
      <c r="C12" s="56">
        <v>5340000.0</v>
      </c>
      <c r="D12" s="45"/>
      <c r="E12" s="84" t="s">
        <v>114</v>
      </c>
      <c r="F12" s="85" t="s">
        <v>115</v>
      </c>
      <c r="G12" s="52"/>
      <c r="H12" s="53">
        <v>2.4</v>
      </c>
      <c r="I12" s="54" t="s">
        <v>51</v>
      </c>
      <c r="J12" s="28">
        <f>SUMIF($E$8:$E$54,2.4,$D$8:$D$45)</f>
        <v>0</v>
      </c>
      <c r="K12" s="13"/>
    </row>
    <row r="13" ht="18.75" customHeight="1">
      <c r="A13" s="50">
        <v>6.0</v>
      </c>
      <c r="B13" s="83">
        <v>45727.0</v>
      </c>
      <c r="C13" s="45"/>
      <c r="D13" s="56">
        <v>8900000.0</v>
      </c>
      <c r="E13" s="89" t="s">
        <v>116</v>
      </c>
      <c r="F13" s="90" t="s">
        <v>117</v>
      </c>
      <c r="G13" s="52"/>
      <c r="H13" s="53">
        <v>2.5</v>
      </c>
      <c r="I13" s="54" t="s">
        <v>53</v>
      </c>
      <c r="J13" s="28">
        <f>SUMIF($E$8:$E$54,2.5,$D$8:$D$45)</f>
        <v>0</v>
      </c>
      <c r="K13" s="13"/>
    </row>
    <row r="14" ht="18.75" customHeight="1">
      <c r="A14" s="50">
        <v>7.0</v>
      </c>
      <c r="B14" s="83">
        <v>45727.0</v>
      </c>
      <c r="C14" s="45"/>
      <c r="D14" s="56">
        <v>4213718.0</v>
      </c>
      <c r="E14" s="84" t="s">
        <v>109</v>
      </c>
      <c r="F14" s="85" t="s">
        <v>118</v>
      </c>
      <c r="G14" s="52"/>
      <c r="H14" s="53">
        <v>2.6</v>
      </c>
      <c r="I14" s="54" t="s">
        <v>55</v>
      </c>
      <c r="J14" s="28">
        <f>SUMIF($E$8:$E$54,2.6,$D$8:$D$45)</f>
        <v>0</v>
      </c>
      <c r="K14" s="13"/>
    </row>
    <row r="15" ht="18.75" customHeight="1">
      <c r="A15" s="50">
        <v>8.0</v>
      </c>
      <c r="B15" s="83">
        <v>45727.0</v>
      </c>
      <c r="C15" s="45"/>
      <c r="D15" s="56">
        <v>4.9823342E7</v>
      </c>
      <c r="E15" s="84" t="s">
        <v>43</v>
      </c>
      <c r="F15" s="85" t="s">
        <v>119</v>
      </c>
      <c r="G15" s="52"/>
      <c r="H15" s="53">
        <v>2.7</v>
      </c>
      <c r="I15" s="54" t="s">
        <v>57</v>
      </c>
      <c r="J15" s="28">
        <f>SUMIF($E$8:$E$54,2.7,$D$8:$D$45)</f>
        <v>0</v>
      </c>
      <c r="K15" s="13"/>
    </row>
    <row r="16" ht="18.75" customHeight="1">
      <c r="A16" s="50">
        <v>9.0</v>
      </c>
      <c r="B16" s="83">
        <v>45731.0</v>
      </c>
      <c r="C16" s="45"/>
      <c r="D16" s="56">
        <v>200000.0</v>
      </c>
      <c r="E16" s="84" t="s">
        <v>68</v>
      </c>
      <c r="F16" s="91" t="s">
        <v>120</v>
      </c>
      <c r="G16" s="52"/>
      <c r="H16" s="53">
        <v>2.8</v>
      </c>
      <c r="I16" s="54" t="s">
        <v>59</v>
      </c>
      <c r="J16" s="28">
        <f>SUMIF($E$8:$E$54,2.8,$D$8:$D$45)</f>
        <v>26000000</v>
      </c>
      <c r="K16" s="13"/>
    </row>
    <row r="17" ht="18.75" customHeight="1">
      <c r="A17" s="50">
        <v>10.0</v>
      </c>
      <c r="B17" s="83">
        <v>45737.0</v>
      </c>
      <c r="C17" s="45"/>
      <c r="D17" s="56">
        <v>300000.0</v>
      </c>
      <c r="E17" s="84" t="s">
        <v>68</v>
      </c>
      <c r="F17" s="91" t="s">
        <v>121</v>
      </c>
      <c r="G17" s="52"/>
      <c r="H17" s="53">
        <v>2.9</v>
      </c>
      <c r="I17" s="54" t="s">
        <v>62</v>
      </c>
      <c r="J17" s="28">
        <f>SUMIF($E$8:$E$54,2.9,$D$8:$D$45)</f>
        <v>8900000</v>
      </c>
      <c r="K17" s="13"/>
    </row>
    <row r="18" ht="18.75" customHeight="1">
      <c r="A18" s="50">
        <v>11.0</v>
      </c>
      <c r="B18" s="83">
        <v>45740.0</v>
      </c>
      <c r="C18" s="56"/>
      <c r="D18" s="56">
        <v>300000.0</v>
      </c>
      <c r="E18" s="47" t="s">
        <v>68</v>
      </c>
      <c r="F18" s="91" t="s">
        <v>122</v>
      </c>
      <c r="G18" s="52"/>
      <c r="H18" s="53">
        <v>2.11</v>
      </c>
      <c r="I18" s="54" t="s">
        <v>64</v>
      </c>
      <c r="J18" s="28">
        <f>SUMIF($E$8:$E$54,2.11,$D$8:$D$45)</f>
        <v>10925718</v>
      </c>
      <c r="K18" s="13"/>
    </row>
    <row r="19" ht="18.75" customHeight="1">
      <c r="A19" s="50">
        <v>12.0</v>
      </c>
      <c r="B19" s="83">
        <v>45727.0</v>
      </c>
      <c r="C19" s="56">
        <v>2.0E8</v>
      </c>
      <c r="D19" s="56"/>
      <c r="E19" s="47" t="s">
        <v>114</v>
      </c>
      <c r="F19" s="61" t="s">
        <v>123</v>
      </c>
      <c r="G19" s="52"/>
      <c r="H19" s="53">
        <v>2.12</v>
      </c>
      <c r="I19" s="54" t="s">
        <v>67</v>
      </c>
      <c r="J19" s="28">
        <f>SUMIF($E$8:$E$54,2.12,$D$8:$D$45)</f>
        <v>0</v>
      </c>
      <c r="K19" s="13"/>
    </row>
    <row r="20" ht="18.75" customHeight="1">
      <c r="A20" s="50">
        <v>13.0</v>
      </c>
      <c r="B20" s="83">
        <v>45727.0</v>
      </c>
      <c r="C20" s="56">
        <f>485000000-C19</f>
        <v>285000000</v>
      </c>
      <c r="D20" s="56"/>
      <c r="E20" s="47" t="s">
        <v>114</v>
      </c>
      <c r="F20" s="61" t="s">
        <v>124</v>
      </c>
      <c r="G20" s="52"/>
      <c r="H20" s="63">
        <v>3.0</v>
      </c>
      <c r="I20" s="64" t="s">
        <v>70</v>
      </c>
      <c r="J20" s="65">
        <f>J3-J8</f>
        <v>393890940</v>
      </c>
      <c r="K20" s="13"/>
    </row>
    <row r="21" ht="18.75" customHeight="1">
      <c r="A21" s="50">
        <v>14.0</v>
      </c>
      <c r="B21" s="83">
        <v>45727.0</v>
      </c>
      <c r="C21" s="56"/>
      <c r="D21" s="51">
        <v>2000000.0</v>
      </c>
      <c r="E21" s="47" t="s">
        <v>109</v>
      </c>
      <c r="F21" s="66" t="s">
        <v>125</v>
      </c>
      <c r="G21" s="13"/>
      <c r="H21" s="13"/>
      <c r="I21" s="13"/>
      <c r="J21" s="13"/>
      <c r="K21" s="13"/>
    </row>
    <row r="22" ht="18.75" customHeight="1">
      <c r="A22" s="50">
        <v>15.0</v>
      </c>
      <c r="B22" s="83">
        <v>45727.0</v>
      </c>
      <c r="C22" s="56"/>
      <c r="D22" s="51">
        <v>2171000.0</v>
      </c>
      <c r="E22" s="47" t="s">
        <v>109</v>
      </c>
      <c r="F22" s="66" t="s">
        <v>126</v>
      </c>
      <c r="G22" s="13"/>
      <c r="H22" s="14" t="s">
        <v>73</v>
      </c>
      <c r="I22" s="15"/>
      <c r="J22" s="16"/>
      <c r="K22" s="13"/>
    </row>
    <row r="23" ht="18.75" customHeight="1">
      <c r="A23" s="50">
        <v>16.0</v>
      </c>
      <c r="B23" s="83">
        <v>45727.0</v>
      </c>
      <c r="C23" s="56"/>
      <c r="D23" s="51">
        <v>20000.0</v>
      </c>
      <c r="E23" s="47" t="s">
        <v>109</v>
      </c>
      <c r="F23" s="66" t="s">
        <v>127</v>
      </c>
      <c r="G23" s="52"/>
      <c r="H23" s="54"/>
      <c r="I23" s="64" t="s">
        <v>26</v>
      </c>
      <c r="J23" s="53" t="s">
        <v>27</v>
      </c>
      <c r="K23" s="13"/>
    </row>
    <row r="24" ht="18.75" customHeight="1">
      <c r="A24" s="50">
        <v>17.0</v>
      </c>
      <c r="B24" s="83">
        <v>45727.0</v>
      </c>
      <c r="C24" s="56"/>
      <c r="D24" s="51">
        <v>45000.0</v>
      </c>
      <c r="E24" s="47" t="s">
        <v>109</v>
      </c>
      <c r="F24" s="66" t="s">
        <v>128</v>
      </c>
      <c r="G24" s="52"/>
      <c r="H24" s="64" t="s">
        <v>76</v>
      </c>
      <c r="I24" s="64" t="s">
        <v>77</v>
      </c>
      <c r="J24" s="67">
        <v>0.0</v>
      </c>
      <c r="K24" s="13"/>
    </row>
    <row r="25" ht="18.75" customHeight="1">
      <c r="A25" s="50">
        <v>18.0</v>
      </c>
      <c r="B25" s="80">
        <v>45721.0</v>
      </c>
      <c r="C25" s="56"/>
      <c r="D25" s="46">
        <v>2.6E7</v>
      </c>
      <c r="E25" s="47" t="s">
        <v>60</v>
      </c>
      <c r="F25" s="48" t="s">
        <v>61</v>
      </c>
      <c r="G25" s="52"/>
      <c r="H25" s="64" t="s">
        <v>78</v>
      </c>
      <c r="I25" s="64" t="s">
        <v>79</v>
      </c>
      <c r="J25" s="69">
        <f>SUM(J26:J28)</f>
        <v>490340000</v>
      </c>
      <c r="K25" s="13"/>
    </row>
    <row r="26" ht="18.75" customHeight="1">
      <c r="A26" s="50">
        <v>19.0</v>
      </c>
      <c r="B26" s="76"/>
      <c r="C26" s="56"/>
      <c r="D26" s="56"/>
      <c r="E26" s="84"/>
      <c r="F26" s="54"/>
      <c r="G26" s="52"/>
      <c r="H26" s="54"/>
      <c r="I26" s="54" t="s">
        <v>80</v>
      </c>
      <c r="J26" s="69">
        <f>J3</f>
        <v>490340000</v>
      </c>
      <c r="K26" s="13"/>
    </row>
    <row r="27" ht="18.75" customHeight="1">
      <c r="A27" s="50">
        <v>20.0</v>
      </c>
      <c r="B27" s="76"/>
      <c r="C27" s="56"/>
      <c r="D27" s="56"/>
      <c r="E27" s="84"/>
      <c r="F27" s="54"/>
      <c r="G27" s="52"/>
      <c r="H27" s="54"/>
      <c r="I27" s="54" t="s">
        <v>81</v>
      </c>
      <c r="J27" s="64"/>
      <c r="K27" s="13"/>
    </row>
    <row r="28" ht="18.75" customHeight="1">
      <c r="A28" s="50">
        <v>21.0</v>
      </c>
      <c r="B28" s="76"/>
      <c r="C28" s="56"/>
      <c r="D28" s="56"/>
      <c r="E28" s="84"/>
      <c r="F28" s="54"/>
      <c r="G28" s="52"/>
      <c r="H28" s="54"/>
      <c r="I28" s="54" t="s">
        <v>82</v>
      </c>
      <c r="J28" s="64"/>
      <c r="K28" s="13"/>
    </row>
    <row r="29" ht="18.75" customHeight="1">
      <c r="A29" s="50">
        <v>22.0</v>
      </c>
      <c r="B29" s="76"/>
      <c r="C29" s="56"/>
      <c r="D29" s="56"/>
      <c r="E29" s="84"/>
      <c r="F29" s="54"/>
      <c r="G29" s="52"/>
      <c r="H29" s="64" t="s">
        <v>83</v>
      </c>
      <c r="I29" s="64" t="s">
        <v>84</v>
      </c>
      <c r="J29" s="69">
        <f>SUM(J30:J41)</f>
        <v>96449060</v>
      </c>
      <c r="K29" s="13"/>
    </row>
    <row r="30" ht="18.75" customHeight="1">
      <c r="A30" s="50">
        <v>23.0</v>
      </c>
      <c r="B30" s="76"/>
      <c r="C30" s="56"/>
      <c r="D30" s="56"/>
      <c r="E30" s="84"/>
      <c r="F30" s="54"/>
      <c r="G30" s="52"/>
      <c r="H30" s="53">
        <v>2.1</v>
      </c>
      <c r="I30" s="54" t="s">
        <v>42</v>
      </c>
      <c r="J30" s="69">
        <f>J9</f>
        <v>0</v>
      </c>
      <c r="K30" s="13"/>
    </row>
    <row r="31" ht="18.75" customHeight="1">
      <c r="A31" s="50">
        <v>24.0</v>
      </c>
      <c r="B31" s="76"/>
      <c r="C31" s="56"/>
      <c r="D31" s="56"/>
      <c r="E31" s="84"/>
      <c r="F31" s="54"/>
      <c r="G31" s="52"/>
      <c r="H31" s="31">
        <v>1.3</v>
      </c>
      <c r="I31" s="54" t="s">
        <v>85</v>
      </c>
      <c r="J31" s="67"/>
      <c r="K31" s="13"/>
    </row>
    <row r="32" ht="18.75" customHeight="1">
      <c r="A32" s="50">
        <v>25.0</v>
      </c>
      <c r="B32" s="76"/>
      <c r="C32" s="56"/>
      <c r="D32" s="56"/>
      <c r="E32" s="84"/>
      <c r="F32" s="54"/>
      <c r="G32" s="52"/>
      <c r="H32" s="53">
        <v>2.2</v>
      </c>
      <c r="I32" s="54" t="s">
        <v>45</v>
      </c>
      <c r="J32" s="69">
        <f t="shared" ref="J32:J41" si="2">J10</f>
        <v>49823342</v>
      </c>
      <c r="K32" s="13"/>
    </row>
    <row r="33" ht="18.75" customHeight="1">
      <c r="A33" s="50">
        <v>26.0</v>
      </c>
      <c r="B33" s="76"/>
      <c r="C33" s="56"/>
      <c r="D33" s="56"/>
      <c r="E33" s="84"/>
      <c r="F33" s="54"/>
      <c r="G33" s="52"/>
      <c r="H33" s="53">
        <v>2.3</v>
      </c>
      <c r="I33" s="54" t="s">
        <v>48</v>
      </c>
      <c r="J33" s="69">
        <f t="shared" si="2"/>
        <v>800000</v>
      </c>
      <c r="K33" s="13"/>
    </row>
    <row r="34" ht="18.75" customHeight="1">
      <c r="A34" s="50">
        <v>27.0</v>
      </c>
      <c r="B34" s="76"/>
      <c r="C34" s="56"/>
      <c r="D34" s="56"/>
      <c r="E34" s="84"/>
      <c r="F34" s="54"/>
      <c r="G34" s="52"/>
      <c r="H34" s="53">
        <v>2.4</v>
      </c>
      <c r="I34" s="54" t="s">
        <v>51</v>
      </c>
      <c r="J34" s="69">
        <f t="shared" si="2"/>
        <v>0</v>
      </c>
      <c r="K34" s="13"/>
    </row>
    <row r="35" ht="18.75" customHeight="1">
      <c r="A35" s="50">
        <v>28.0</v>
      </c>
      <c r="B35" s="76"/>
      <c r="C35" s="56"/>
      <c r="D35" s="56"/>
      <c r="E35" s="84"/>
      <c r="F35" s="54"/>
      <c r="G35" s="52"/>
      <c r="H35" s="53">
        <v>2.5</v>
      </c>
      <c r="I35" s="54" t="s">
        <v>53</v>
      </c>
      <c r="J35" s="69">
        <f t="shared" si="2"/>
        <v>0</v>
      </c>
      <c r="K35" s="13"/>
    </row>
    <row r="36" ht="18.75" customHeight="1">
      <c r="A36" s="50">
        <v>29.0</v>
      </c>
      <c r="B36" s="76"/>
      <c r="C36" s="56"/>
      <c r="D36" s="56"/>
      <c r="E36" s="84"/>
      <c r="F36" s="54"/>
      <c r="G36" s="52"/>
      <c r="H36" s="53">
        <v>2.6</v>
      </c>
      <c r="I36" s="54" t="s">
        <v>55</v>
      </c>
      <c r="J36" s="69">
        <f t="shared" si="2"/>
        <v>0</v>
      </c>
      <c r="K36" s="13"/>
    </row>
    <row r="37" ht="18.75" customHeight="1">
      <c r="A37" s="50">
        <v>30.0</v>
      </c>
      <c r="B37" s="76"/>
      <c r="C37" s="56"/>
      <c r="D37" s="56"/>
      <c r="E37" s="84"/>
      <c r="F37" s="54"/>
      <c r="G37" s="52"/>
      <c r="H37" s="53">
        <v>2.7</v>
      </c>
      <c r="I37" s="54" t="s">
        <v>57</v>
      </c>
      <c r="J37" s="69">
        <f t="shared" si="2"/>
        <v>0</v>
      </c>
      <c r="K37" s="13"/>
    </row>
    <row r="38" ht="18.75" customHeight="1">
      <c r="A38" s="50">
        <v>31.0</v>
      </c>
      <c r="B38" s="76"/>
      <c r="C38" s="56"/>
      <c r="D38" s="56"/>
      <c r="E38" s="84"/>
      <c r="F38" s="54"/>
      <c r="G38" s="52"/>
      <c r="H38" s="53">
        <v>2.8</v>
      </c>
      <c r="I38" s="54" t="s">
        <v>59</v>
      </c>
      <c r="J38" s="69">
        <f t="shared" si="2"/>
        <v>26000000</v>
      </c>
      <c r="K38" s="13"/>
    </row>
    <row r="39" ht="18.75" customHeight="1">
      <c r="A39" s="50">
        <v>32.0</v>
      </c>
      <c r="B39" s="76"/>
      <c r="C39" s="56"/>
      <c r="D39" s="56"/>
      <c r="E39" s="84"/>
      <c r="F39" s="54"/>
      <c r="G39" s="52"/>
      <c r="H39" s="53">
        <v>2.9</v>
      </c>
      <c r="I39" s="54" t="s">
        <v>62</v>
      </c>
      <c r="J39" s="69">
        <f t="shared" si="2"/>
        <v>8900000</v>
      </c>
      <c r="K39" s="13"/>
    </row>
    <row r="40" ht="18.75" customHeight="1">
      <c r="A40" s="50">
        <v>33.0</v>
      </c>
      <c r="B40" s="76"/>
      <c r="C40" s="56"/>
      <c r="D40" s="56"/>
      <c r="E40" s="84"/>
      <c r="F40" s="54"/>
      <c r="G40" s="52"/>
      <c r="H40" s="53">
        <v>2.11</v>
      </c>
      <c r="I40" s="54" t="s">
        <v>64</v>
      </c>
      <c r="J40" s="69">
        <f t="shared" si="2"/>
        <v>10925718</v>
      </c>
      <c r="K40" s="13"/>
    </row>
    <row r="41" ht="18.75" customHeight="1">
      <c r="A41" s="50">
        <v>34.0</v>
      </c>
      <c r="B41" s="76"/>
      <c r="C41" s="56"/>
      <c r="D41" s="56"/>
      <c r="E41" s="84"/>
      <c r="F41" s="54"/>
      <c r="G41" s="52"/>
      <c r="H41" s="53">
        <v>2.12</v>
      </c>
      <c r="I41" s="54" t="s">
        <v>86</v>
      </c>
      <c r="J41" s="69">
        <f t="shared" si="2"/>
        <v>0</v>
      </c>
      <c r="K41" s="13"/>
    </row>
    <row r="42" ht="18.75" customHeight="1">
      <c r="A42" s="50">
        <v>35.0</v>
      </c>
      <c r="B42" s="76"/>
      <c r="C42" s="56"/>
      <c r="D42" s="56"/>
      <c r="E42" s="84"/>
      <c r="F42" s="54"/>
      <c r="G42" s="52"/>
      <c r="H42" s="64" t="s">
        <v>87</v>
      </c>
      <c r="I42" s="64" t="s">
        <v>5</v>
      </c>
      <c r="J42" s="28">
        <f>J24+J25-J29</f>
        <v>393890940</v>
      </c>
      <c r="K42" s="13"/>
    </row>
    <row r="43" ht="18.75" customHeight="1">
      <c r="A43" s="50">
        <v>36.0</v>
      </c>
      <c r="B43" s="76"/>
      <c r="C43" s="56"/>
      <c r="D43" s="56"/>
      <c r="E43" s="84"/>
      <c r="F43" s="54"/>
      <c r="G43" s="13"/>
      <c r="H43" s="13"/>
      <c r="I43" s="13"/>
      <c r="J43" s="13"/>
      <c r="K43" s="13"/>
    </row>
    <row r="44" ht="18.75" customHeight="1">
      <c r="A44" s="50">
        <v>37.0</v>
      </c>
      <c r="B44" s="76"/>
      <c r="C44" s="56"/>
      <c r="D44" s="56"/>
      <c r="E44" s="84"/>
      <c r="F44" s="54"/>
      <c r="G44" s="13"/>
      <c r="H44" s="70" t="s">
        <v>88</v>
      </c>
      <c r="I44" s="71"/>
      <c r="J44" s="71"/>
      <c r="K44" s="24"/>
    </row>
    <row r="45" ht="18.75" customHeight="1">
      <c r="A45" s="50">
        <v>38.0</v>
      </c>
      <c r="B45" s="76"/>
      <c r="C45" s="56"/>
      <c r="D45" s="56"/>
      <c r="E45" s="84"/>
      <c r="F45" s="54"/>
      <c r="G45" s="52"/>
      <c r="H45" s="64" t="s">
        <v>25</v>
      </c>
      <c r="I45" s="64" t="s">
        <v>26</v>
      </c>
      <c r="J45" s="53" t="s">
        <v>27</v>
      </c>
      <c r="K45" s="72" t="s">
        <v>89</v>
      </c>
    </row>
    <row r="46" ht="18.75" customHeight="1">
      <c r="A46" s="50">
        <v>39.0</v>
      </c>
      <c r="B46" s="76"/>
      <c r="C46" s="56"/>
      <c r="D46" s="56"/>
      <c r="E46" s="84"/>
      <c r="F46" s="54"/>
      <c r="G46" s="52"/>
      <c r="H46" s="64" t="s">
        <v>76</v>
      </c>
      <c r="I46" s="64" t="s">
        <v>77</v>
      </c>
      <c r="J46" s="69">
        <f>J42</f>
        <v>393890940</v>
      </c>
      <c r="K46" s="73"/>
    </row>
    <row r="47" ht="18.75" customHeight="1">
      <c r="A47" s="50">
        <v>40.0</v>
      </c>
      <c r="B47" s="76"/>
      <c r="C47" s="56"/>
      <c r="D47" s="56"/>
      <c r="E47" s="84"/>
      <c r="F47" s="54"/>
      <c r="G47" s="52"/>
      <c r="H47" s="64" t="s">
        <v>78</v>
      </c>
      <c r="I47" s="64" t="s">
        <v>79</v>
      </c>
      <c r="J47" s="69">
        <f>SUM(J48:J54)</f>
        <v>247357258</v>
      </c>
      <c r="K47" s="73"/>
    </row>
    <row r="48" ht="18.75" customHeight="1">
      <c r="A48" s="50">
        <v>41.0</v>
      </c>
      <c r="B48" s="76"/>
      <c r="C48" s="56"/>
      <c r="D48" s="56"/>
      <c r="E48" s="84"/>
      <c r="F48" s="54"/>
      <c r="G48" s="52"/>
      <c r="H48" s="54"/>
      <c r="I48" s="54" t="s">
        <v>90</v>
      </c>
      <c r="J48" s="74">
        <v>8.0957397E7</v>
      </c>
      <c r="K48" s="73">
        <v>45869.0</v>
      </c>
    </row>
    <row r="49" ht="18.75" customHeight="1">
      <c r="A49" s="50">
        <v>42.0</v>
      </c>
      <c r="B49" s="76"/>
      <c r="C49" s="56"/>
      <c r="D49" s="56"/>
      <c r="E49" s="84"/>
      <c r="F49" s="54"/>
      <c r="G49" s="52"/>
      <c r="H49" s="54"/>
      <c r="I49" s="54" t="s">
        <v>91</v>
      </c>
      <c r="J49" s="74">
        <v>7.5442464E7</v>
      </c>
      <c r="K49" s="73">
        <v>45869.0</v>
      </c>
    </row>
    <row r="50" ht="18.75" customHeight="1">
      <c r="A50" s="50">
        <v>43.0</v>
      </c>
      <c r="B50" s="76"/>
      <c r="C50" s="56"/>
      <c r="D50" s="56"/>
      <c r="E50" s="84"/>
      <c r="F50" s="54"/>
      <c r="G50" s="52"/>
      <c r="H50" s="54"/>
      <c r="I50" s="54" t="s">
        <v>92</v>
      </c>
      <c r="J50" s="74">
        <v>7.5957397E7</v>
      </c>
      <c r="K50" s="73">
        <v>45869.0</v>
      </c>
    </row>
    <row r="51" ht="18.75" customHeight="1">
      <c r="A51" s="50">
        <v>44.0</v>
      </c>
      <c r="B51" s="76"/>
      <c r="C51" s="56"/>
      <c r="D51" s="56"/>
      <c r="E51" s="84"/>
      <c r="F51" s="54"/>
      <c r="G51" s="52"/>
      <c r="H51" s="54"/>
      <c r="I51" s="54" t="s">
        <v>93</v>
      </c>
      <c r="J51" s="74">
        <v>1.5E7</v>
      </c>
      <c r="K51" s="73">
        <v>45869.0</v>
      </c>
    </row>
    <row r="52" ht="18.75" customHeight="1">
      <c r="A52" s="50">
        <v>45.0</v>
      </c>
      <c r="B52" s="76"/>
      <c r="C52" s="56"/>
      <c r="D52" s="56"/>
      <c r="E52" s="84"/>
      <c r="F52" s="54"/>
      <c r="G52" s="52"/>
      <c r="H52" s="54"/>
      <c r="I52" s="54"/>
      <c r="J52" s="64"/>
      <c r="K52" s="73"/>
    </row>
    <row r="53" ht="18.75" customHeight="1">
      <c r="A53" s="50">
        <v>46.0</v>
      </c>
      <c r="B53" s="76"/>
      <c r="C53" s="56"/>
      <c r="D53" s="56"/>
      <c r="E53" s="84"/>
      <c r="F53" s="54"/>
      <c r="G53" s="52"/>
      <c r="H53" s="54"/>
      <c r="I53" s="54"/>
      <c r="J53" s="64"/>
      <c r="K53" s="73"/>
    </row>
    <row r="54" ht="18.75" customHeight="1">
      <c r="A54" s="50">
        <v>47.0</v>
      </c>
      <c r="B54" s="76"/>
      <c r="C54" s="56"/>
      <c r="D54" s="56"/>
      <c r="E54" s="84"/>
      <c r="F54" s="54"/>
      <c r="G54" s="52"/>
      <c r="H54" s="54"/>
      <c r="I54" s="54"/>
      <c r="J54" s="64"/>
      <c r="K54" s="73"/>
    </row>
    <row r="55" ht="18.75" customHeight="1">
      <c r="A55" s="50">
        <v>48.0</v>
      </c>
      <c r="B55" s="76"/>
      <c r="C55" s="56"/>
      <c r="D55" s="56"/>
      <c r="E55" s="84"/>
      <c r="F55" s="54"/>
      <c r="G55" s="52"/>
      <c r="H55" s="64" t="s">
        <v>83</v>
      </c>
      <c r="I55" s="64" t="s">
        <v>84</v>
      </c>
      <c r="J55" s="74">
        <f>SUM(J56:J65)</f>
        <v>232522117</v>
      </c>
      <c r="K55" s="73"/>
    </row>
    <row r="56" ht="18.75" customHeight="1">
      <c r="A56" s="50">
        <v>49.0</v>
      </c>
      <c r="B56" s="76"/>
      <c r="C56" s="56"/>
      <c r="D56" s="56"/>
      <c r="E56" s="84"/>
      <c r="F56" s="54"/>
      <c r="G56" s="52"/>
      <c r="H56" s="54"/>
      <c r="I56" s="54" t="s">
        <v>94</v>
      </c>
      <c r="J56" s="74">
        <v>8.8398E7</v>
      </c>
      <c r="K56" s="76"/>
    </row>
    <row r="57" ht="18.75" customHeight="1">
      <c r="A57" s="50">
        <v>50.0</v>
      </c>
      <c r="B57" s="76"/>
      <c r="C57" s="56"/>
      <c r="D57" s="56"/>
      <c r="E57" s="84"/>
      <c r="F57" s="54"/>
      <c r="G57" s="52"/>
      <c r="H57" s="54"/>
      <c r="I57" s="54" t="s">
        <v>93</v>
      </c>
      <c r="J57" s="74">
        <v>1.35E7</v>
      </c>
      <c r="K57" s="76"/>
    </row>
    <row r="58" ht="18.75" customHeight="1">
      <c r="A58" s="50">
        <v>51.0</v>
      </c>
      <c r="B58" s="76"/>
      <c r="C58" s="56"/>
      <c r="D58" s="56"/>
      <c r="E58" s="84"/>
      <c r="F58" s="54"/>
      <c r="G58" s="52"/>
      <c r="H58" s="54"/>
      <c r="I58" s="54" t="s">
        <v>95</v>
      </c>
      <c r="J58" s="74">
        <v>6.2276077E7</v>
      </c>
      <c r="K58" s="76"/>
    </row>
    <row r="59" ht="18.75" customHeight="1">
      <c r="A59" s="50">
        <v>52.0</v>
      </c>
      <c r="B59" s="76"/>
      <c r="C59" s="56"/>
      <c r="D59" s="56"/>
      <c r="E59" s="84"/>
      <c r="F59" s="54"/>
      <c r="G59" s="52"/>
      <c r="H59" s="54"/>
      <c r="I59" s="54" t="s">
        <v>96</v>
      </c>
      <c r="J59" s="74">
        <v>5.094804E7</v>
      </c>
      <c r="K59" s="76"/>
    </row>
    <row r="60" ht="18.75" customHeight="1">
      <c r="A60" s="50">
        <v>53.0</v>
      </c>
      <c r="B60" s="76"/>
      <c r="C60" s="56"/>
      <c r="D60" s="56"/>
      <c r="E60" s="84"/>
      <c r="F60" s="54"/>
      <c r="G60" s="52"/>
      <c r="H60" s="54"/>
      <c r="I60" s="54" t="s">
        <v>97</v>
      </c>
      <c r="J60" s="74">
        <v>1.54E7</v>
      </c>
      <c r="K60" s="73"/>
    </row>
    <row r="61" ht="18.75" customHeight="1">
      <c r="A61" s="50">
        <v>54.0</v>
      </c>
      <c r="B61" s="76"/>
      <c r="C61" s="56"/>
      <c r="D61" s="56"/>
      <c r="E61" s="84"/>
      <c r="F61" s="54"/>
      <c r="G61" s="52"/>
      <c r="H61" s="54"/>
      <c r="I61" s="54" t="s">
        <v>98</v>
      </c>
      <c r="J61" s="74">
        <v>2000000.0</v>
      </c>
      <c r="K61" s="73"/>
    </row>
    <row r="62" ht="18.75" customHeight="1">
      <c r="A62" s="50">
        <v>55.0</v>
      </c>
      <c r="B62" s="76"/>
      <c r="C62" s="54"/>
      <c r="D62" s="60"/>
      <c r="E62" s="84"/>
      <c r="F62" s="54"/>
      <c r="G62" s="52"/>
      <c r="H62" s="54"/>
      <c r="I62" s="54"/>
      <c r="J62" s="74"/>
      <c r="K62" s="73"/>
    </row>
    <row r="63" ht="18.75" customHeight="1">
      <c r="A63" s="50">
        <v>56.0</v>
      </c>
      <c r="B63" s="76"/>
      <c r="C63" s="54"/>
      <c r="D63" s="60"/>
      <c r="E63" s="84"/>
      <c r="F63" s="54"/>
      <c r="G63" s="52"/>
      <c r="H63" s="54"/>
      <c r="I63" s="54"/>
      <c r="J63" s="74"/>
      <c r="K63" s="73"/>
    </row>
    <row r="64" ht="18.75" customHeight="1">
      <c r="A64" s="50">
        <v>57.0</v>
      </c>
      <c r="B64" s="76"/>
      <c r="C64" s="54"/>
      <c r="D64" s="60"/>
      <c r="E64" s="84"/>
      <c r="F64" s="54"/>
      <c r="G64" s="52"/>
      <c r="H64" s="54"/>
      <c r="I64" s="54"/>
      <c r="J64" s="74"/>
      <c r="K64" s="73"/>
    </row>
    <row r="65" ht="18.75" customHeight="1">
      <c r="A65" s="50">
        <v>58.0</v>
      </c>
      <c r="B65" s="76"/>
      <c r="C65" s="54"/>
      <c r="D65" s="60"/>
      <c r="E65" s="84"/>
      <c r="F65" s="54"/>
      <c r="G65" s="52"/>
      <c r="H65" s="54"/>
      <c r="I65" s="54"/>
      <c r="J65" s="74"/>
      <c r="K65" s="73"/>
    </row>
    <row r="66" ht="18.75" customHeight="1">
      <c r="A66" s="50">
        <v>59.0</v>
      </c>
      <c r="B66" s="76"/>
      <c r="C66" s="75"/>
      <c r="D66" s="60"/>
      <c r="E66" s="84"/>
      <c r="F66" s="54"/>
      <c r="G66" s="52"/>
      <c r="H66" s="64" t="s">
        <v>87</v>
      </c>
      <c r="I66" s="64" t="s">
        <v>5</v>
      </c>
      <c r="J66" s="28">
        <f>J46+J47-J55</f>
        <v>408726081</v>
      </c>
      <c r="K66" s="73"/>
    </row>
    <row r="67" ht="18.75" customHeight="1">
      <c r="A67" s="77"/>
      <c r="B67" s="87"/>
      <c r="C67" s="77"/>
      <c r="D67" s="60"/>
      <c r="E67" s="77"/>
      <c r="F67" s="77"/>
      <c r="G67" s="77"/>
      <c r="H67" s="77"/>
      <c r="I67" s="77"/>
      <c r="J67" s="77"/>
      <c r="K67" s="77"/>
    </row>
    <row r="68" ht="18.75" customHeight="1">
      <c r="A68" s="77"/>
      <c r="B68" s="87"/>
      <c r="C68" s="77"/>
      <c r="D68" s="60"/>
      <c r="E68" s="77"/>
      <c r="F68" s="77"/>
      <c r="G68" s="77"/>
      <c r="H68" s="77"/>
      <c r="I68" s="77"/>
      <c r="J68" s="77"/>
      <c r="K68" s="77"/>
    </row>
    <row r="69" ht="18.75" customHeight="1">
      <c r="A69" s="77"/>
      <c r="B69" s="87"/>
      <c r="C69" s="77"/>
      <c r="D69" s="60"/>
      <c r="E69" s="77"/>
      <c r="F69" s="77"/>
      <c r="G69" s="77"/>
      <c r="H69" s="77"/>
      <c r="I69" s="77"/>
      <c r="J69" s="77"/>
      <c r="K69" s="77"/>
    </row>
    <row r="70" ht="18.75" customHeight="1">
      <c r="A70" s="77"/>
      <c r="B70" s="87"/>
      <c r="C70" s="77"/>
      <c r="D70" s="60"/>
      <c r="E70" s="77"/>
      <c r="F70" s="77"/>
      <c r="G70" s="77"/>
      <c r="H70" s="77"/>
      <c r="I70" s="77"/>
      <c r="J70" s="77"/>
      <c r="K70" s="77"/>
    </row>
    <row r="71" ht="18.75" customHeight="1">
      <c r="A71" s="77"/>
      <c r="B71" s="87"/>
      <c r="C71" s="77"/>
      <c r="D71" s="60"/>
      <c r="E71" s="77"/>
      <c r="F71" s="77"/>
      <c r="G71" s="77"/>
      <c r="H71" s="77"/>
      <c r="I71" s="77"/>
      <c r="J71" s="77"/>
      <c r="K71" s="77"/>
    </row>
    <row r="72" ht="18.75" customHeight="1">
      <c r="A72" s="77"/>
      <c r="B72" s="87"/>
      <c r="C72" s="77"/>
      <c r="D72" s="60"/>
      <c r="E72" s="77"/>
      <c r="F72" s="77"/>
      <c r="G72" s="77"/>
      <c r="H72" s="77"/>
      <c r="I72" s="77"/>
      <c r="J72" s="77"/>
      <c r="K72" s="77"/>
    </row>
    <row r="73" ht="18.75" customHeight="1">
      <c r="A73" s="77"/>
      <c r="B73" s="87"/>
      <c r="C73" s="77"/>
      <c r="D73" s="60"/>
      <c r="E73" s="77"/>
      <c r="F73" s="77"/>
      <c r="G73" s="77"/>
      <c r="H73" s="77"/>
      <c r="I73" s="77"/>
      <c r="J73" s="77"/>
      <c r="K73" s="77"/>
    </row>
    <row r="74" ht="18.75" customHeight="1">
      <c r="A74" s="77"/>
      <c r="B74" s="87"/>
      <c r="C74" s="77"/>
      <c r="D74" s="60"/>
      <c r="E74" s="77"/>
      <c r="F74" s="77"/>
      <c r="G74" s="77"/>
      <c r="H74" s="77"/>
      <c r="I74" s="77"/>
      <c r="J74" s="77"/>
      <c r="K74" s="77"/>
    </row>
    <row r="75" ht="18.75" customHeight="1">
      <c r="A75" s="77"/>
      <c r="B75" s="87"/>
      <c r="C75" s="77"/>
      <c r="D75" s="60"/>
      <c r="E75" s="77"/>
      <c r="F75" s="77"/>
      <c r="G75" s="77"/>
      <c r="H75" s="77"/>
      <c r="I75" s="77"/>
      <c r="J75" s="77"/>
      <c r="K75" s="77"/>
    </row>
    <row r="76" ht="18.75" customHeight="1">
      <c r="A76" s="77"/>
      <c r="B76" s="87"/>
      <c r="C76" s="77"/>
      <c r="D76" s="60"/>
      <c r="E76" s="77"/>
      <c r="F76" s="77"/>
      <c r="G76" s="77"/>
      <c r="H76" s="77"/>
      <c r="I76" s="77"/>
      <c r="J76" s="77"/>
      <c r="K76" s="77"/>
    </row>
    <row r="77" ht="18.75" customHeight="1">
      <c r="A77" s="77"/>
      <c r="B77" s="87"/>
      <c r="C77" s="77"/>
      <c r="D77" s="60"/>
      <c r="E77" s="77"/>
      <c r="F77" s="77"/>
      <c r="G77" s="77"/>
      <c r="H77" s="77"/>
      <c r="I77" s="77"/>
      <c r="J77" s="77"/>
      <c r="K77" s="77"/>
    </row>
    <row r="78" ht="18.75" customHeight="1">
      <c r="A78" s="77"/>
      <c r="B78" s="87"/>
      <c r="C78" s="77"/>
      <c r="D78" s="60"/>
      <c r="E78" s="77"/>
      <c r="F78" s="77"/>
      <c r="G78" s="77"/>
      <c r="H78" s="77"/>
      <c r="I78" s="77"/>
      <c r="J78" s="77"/>
      <c r="K78" s="77"/>
    </row>
    <row r="79" ht="18.75" customHeight="1">
      <c r="A79" s="77"/>
      <c r="B79" s="87"/>
      <c r="C79" s="77"/>
      <c r="D79" s="60"/>
      <c r="E79" s="77"/>
      <c r="F79" s="77"/>
      <c r="G79" s="77"/>
      <c r="H79" s="77"/>
      <c r="I79" s="77"/>
      <c r="J79" s="77"/>
      <c r="K79" s="77"/>
    </row>
    <row r="80" ht="18.75" customHeight="1">
      <c r="A80" s="77"/>
      <c r="B80" s="87"/>
      <c r="C80" s="77"/>
      <c r="D80" s="60"/>
      <c r="E80" s="77"/>
      <c r="F80" s="77"/>
      <c r="G80" s="77"/>
      <c r="H80" s="77"/>
      <c r="I80" s="77"/>
      <c r="J80" s="77"/>
      <c r="K80" s="77"/>
    </row>
    <row r="81" ht="18.75" customHeight="1">
      <c r="A81" s="77"/>
      <c r="B81" s="87"/>
      <c r="C81" s="77"/>
      <c r="D81" s="60"/>
      <c r="E81" s="77"/>
      <c r="F81" s="77"/>
      <c r="G81" s="77"/>
      <c r="H81" s="77"/>
      <c r="I81" s="77"/>
      <c r="J81" s="77"/>
      <c r="K81" s="77"/>
    </row>
    <row r="82" ht="18.75" customHeight="1">
      <c r="A82" s="77"/>
      <c r="B82" s="87"/>
      <c r="C82" s="77"/>
      <c r="D82" s="60"/>
      <c r="E82" s="77"/>
      <c r="F82" s="77"/>
      <c r="G82" s="77"/>
      <c r="H82" s="77"/>
      <c r="I82" s="77"/>
      <c r="J82" s="77"/>
      <c r="K82" s="77"/>
    </row>
    <row r="83" ht="18.75" customHeight="1">
      <c r="A83" s="77"/>
      <c r="B83" s="87"/>
      <c r="C83" s="77"/>
      <c r="D83" s="60"/>
      <c r="E83" s="77"/>
      <c r="F83" s="77"/>
      <c r="G83" s="77"/>
      <c r="H83" s="77"/>
      <c r="I83" s="77"/>
      <c r="J83" s="77"/>
      <c r="K83" s="77"/>
    </row>
    <row r="84" ht="18.75" customHeight="1">
      <c r="A84" s="77"/>
      <c r="B84" s="87"/>
      <c r="C84" s="77"/>
      <c r="D84" s="60"/>
      <c r="E84" s="77"/>
      <c r="F84" s="77"/>
      <c r="G84" s="77"/>
      <c r="H84" s="77"/>
      <c r="I84" s="77"/>
      <c r="J84" s="77"/>
      <c r="K84" s="77"/>
    </row>
    <row r="85" ht="18.75" customHeight="1">
      <c r="A85" s="77"/>
      <c r="B85" s="87"/>
      <c r="C85" s="77"/>
      <c r="D85" s="60"/>
      <c r="E85" s="77"/>
      <c r="F85" s="77"/>
      <c r="G85" s="77"/>
      <c r="H85" s="77"/>
      <c r="I85" s="77"/>
      <c r="J85" s="77"/>
      <c r="K85" s="77"/>
    </row>
    <row r="86" ht="18.75" customHeight="1">
      <c r="A86" s="77"/>
      <c r="B86" s="87"/>
      <c r="C86" s="77"/>
      <c r="D86" s="60"/>
      <c r="E86" s="77"/>
      <c r="F86" s="77"/>
      <c r="G86" s="77"/>
      <c r="H86" s="77"/>
      <c r="I86" s="77"/>
      <c r="J86" s="77"/>
      <c r="K86" s="77"/>
    </row>
    <row r="87" ht="18.75" customHeight="1">
      <c r="A87" s="77"/>
      <c r="B87" s="87"/>
      <c r="C87" s="77"/>
      <c r="D87" s="60"/>
      <c r="E87" s="77"/>
      <c r="F87" s="77"/>
      <c r="G87" s="77"/>
      <c r="H87" s="77"/>
      <c r="I87" s="77"/>
      <c r="J87" s="77"/>
      <c r="K87" s="77"/>
    </row>
    <row r="88" ht="18.75" customHeight="1">
      <c r="A88" s="77"/>
      <c r="B88" s="87"/>
      <c r="C88" s="77"/>
      <c r="D88" s="60"/>
      <c r="E88" s="77"/>
      <c r="F88" s="77"/>
      <c r="G88" s="77"/>
      <c r="H88" s="77"/>
      <c r="I88" s="77"/>
      <c r="J88" s="77"/>
      <c r="K88" s="77"/>
    </row>
    <row r="89" ht="18.75" customHeight="1">
      <c r="A89" s="77"/>
      <c r="B89" s="87"/>
      <c r="C89" s="77"/>
      <c r="D89" s="60"/>
      <c r="E89" s="77"/>
      <c r="F89" s="77"/>
      <c r="G89" s="77"/>
      <c r="H89" s="77"/>
      <c r="I89" s="77"/>
      <c r="J89" s="77"/>
      <c r="K89" s="77"/>
    </row>
    <row r="90" ht="18.75" customHeight="1">
      <c r="A90" s="77"/>
      <c r="B90" s="87"/>
      <c r="C90" s="77"/>
      <c r="D90" s="60"/>
      <c r="E90" s="77"/>
      <c r="F90" s="77"/>
      <c r="G90" s="77"/>
      <c r="H90" s="77"/>
      <c r="I90" s="77"/>
      <c r="J90" s="77"/>
      <c r="K90" s="77"/>
    </row>
    <row r="91" ht="18.75" customHeight="1">
      <c r="A91" s="77"/>
      <c r="B91" s="87"/>
      <c r="C91" s="77"/>
      <c r="D91" s="60"/>
      <c r="E91" s="77"/>
      <c r="F91" s="77"/>
      <c r="G91" s="77"/>
      <c r="H91" s="77"/>
      <c r="I91" s="77"/>
      <c r="J91" s="77"/>
      <c r="K91" s="77"/>
    </row>
    <row r="92" ht="18.75" customHeight="1">
      <c r="A92" s="77"/>
      <c r="B92" s="87"/>
      <c r="C92" s="77"/>
      <c r="D92" s="60"/>
      <c r="E92" s="77"/>
      <c r="F92" s="77"/>
      <c r="G92" s="77"/>
      <c r="H92" s="77"/>
      <c r="I92" s="77"/>
      <c r="J92" s="77"/>
      <c r="K92" s="77"/>
    </row>
    <row r="93" ht="18.75" customHeight="1">
      <c r="A93" s="77"/>
      <c r="B93" s="87"/>
      <c r="C93" s="77"/>
      <c r="D93" s="60"/>
      <c r="E93" s="77"/>
      <c r="F93" s="77"/>
      <c r="G93" s="77"/>
      <c r="H93" s="77"/>
      <c r="I93" s="77"/>
      <c r="J93" s="77"/>
      <c r="K93" s="77"/>
    </row>
    <row r="94" ht="18.75" customHeight="1">
      <c r="A94" s="77"/>
      <c r="B94" s="87"/>
      <c r="C94" s="77"/>
      <c r="D94" s="60"/>
      <c r="E94" s="77"/>
      <c r="F94" s="77"/>
      <c r="G94" s="77"/>
      <c r="H94" s="77"/>
      <c r="I94" s="77"/>
      <c r="J94" s="77"/>
      <c r="K94" s="77"/>
    </row>
    <row r="95" ht="18.75" customHeight="1">
      <c r="A95" s="77"/>
      <c r="B95" s="87"/>
      <c r="C95" s="77"/>
      <c r="D95" s="60"/>
      <c r="E95" s="77"/>
      <c r="F95" s="77"/>
      <c r="G95" s="77"/>
      <c r="H95" s="77"/>
      <c r="I95" s="77"/>
      <c r="J95" s="77"/>
      <c r="K95" s="77"/>
    </row>
    <row r="96" ht="18.75" customHeight="1">
      <c r="A96" s="77"/>
      <c r="B96" s="87"/>
      <c r="C96" s="77"/>
      <c r="D96" s="77"/>
      <c r="E96" s="77"/>
      <c r="F96" s="77"/>
      <c r="G96" s="77"/>
      <c r="H96" s="77"/>
      <c r="I96" s="77"/>
      <c r="J96" s="77"/>
      <c r="K96" s="77"/>
    </row>
    <row r="97" ht="18.75" customHeight="1">
      <c r="A97" s="77"/>
      <c r="B97" s="87"/>
      <c r="C97" s="77"/>
      <c r="D97" s="77"/>
      <c r="E97" s="77"/>
      <c r="F97" s="77"/>
      <c r="G97" s="77"/>
      <c r="H97" s="77"/>
      <c r="I97" s="77"/>
      <c r="J97" s="77"/>
      <c r="K97" s="77"/>
    </row>
    <row r="98" ht="18.75" customHeight="1">
      <c r="A98" s="77"/>
      <c r="B98" s="87"/>
      <c r="C98" s="77"/>
      <c r="D98" s="77"/>
      <c r="E98" s="77"/>
      <c r="F98" s="77"/>
      <c r="G98" s="77"/>
      <c r="H98" s="77"/>
      <c r="I98" s="77"/>
      <c r="J98" s="77"/>
      <c r="K98" s="77"/>
    </row>
    <row r="99" ht="18.75" customHeight="1">
      <c r="A99" s="77"/>
      <c r="B99" s="87"/>
      <c r="C99" s="77"/>
      <c r="D99" s="77"/>
      <c r="E99" s="77"/>
      <c r="F99" s="77"/>
      <c r="G99" s="77"/>
      <c r="H99" s="77"/>
      <c r="I99" s="77"/>
      <c r="J99" s="77"/>
      <c r="K99" s="77"/>
    </row>
    <row r="100" ht="18.75" customHeight="1">
      <c r="A100" s="77"/>
      <c r="B100" s="87"/>
      <c r="C100" s="77"/>
      <c r="D100" s="77"/>
      <c r="E100" s="77"/>
      <c r="F100" s="77"/>
      <c r="G100" s="77"/>
      <c r="H100" s="77"/>
      <c r="I100" s="77"/>
      <c r="J100" s="77"/>
      <c r="K100" s="77"/>
    </row>
    <row r="101" ht="18.75" customHeight="1">
      <c r="A101" s="77"/>
      <c r="B101" s="87"/>
      <c r="C101" s="77"/>
      <c r="D101" s="77"/>
      <c r="E101" s="77"/>
      <c r="F101" s="77"/>
      <c r="G101" s="77"/>
      <c r="H101" s="77"/>
      <c r="I101" s="77"/>
      <c r="J101" s="77"/>
      <c r="K101" s="77"/>
    </row>
    <row r="102" ht="18.75" customHeight="1">
      <c r="A102" s="77"/>
      <c r="B102" s="87"/>
      <c r="C102" s="77"/>
      <c r="D102" s="77"/>
      <c r="E102" s="77"/>
      <c r="F102" s="77"/>
      <c r="G102" s="77"/>
      <c r="H102" s="77"/>
      <c r="I102" s="77"/>
      <c r="J102" s="77"/>
      <c r="K102" s="77"/>
    </row>
    <row r="103" ht="18.75" customHeight="1">
      <c r="A103" s="77"/>
      <c r="B103" s="87"/>
      <c r="C103" s="77"/>
      <c r="D103" s="77"/>
      <c r="E103" s="77"/>
      <c r="F103" s="77"/>
      <c r="G103" s="77"/>
      <c r="H103" s="77"/>
      <c r="I103" s="77"/>
      <c r="J103" s="77"/>
      <c r="K103" s="77"/>
    </row>
    <row r="104" ht="18.75" customHeight="1">
      <c r="A104" s="77"/>
      <c r="B104" s="87"/>
      <c r="C104" s="77"/>
      <c r="D104" s="77"/>
      <c r="E104" s="77"/>
      <c r="F104" s="77"/>
      <c r="G104" s="77"/>
      <c r="H104" s="77"/>
      <c r="I104" s="77"/>
      <c r="J104" s="77"/>
      <c r="K104" s="77"/>
    </row>
    <row r="105" ht="18.75" customHeight="1">
      <c r="A105" s="77"/>
      <c r="B105" s="87"/>
      <c r="C105" s="77"/>
      <c r="D105" s="77"/>
      <c r="E105" s="77"/>
      <c r="F105" s="77"/>
      <c r="G105" s="77"/>
      <c r="H105" s="77"/>
      <c r="I105" s="77"/>
      <c r="J105" s="77"/>
      <c r="K105" s="77"/>
    </row>
    <row r="106" ht="18.75" customHeight="1">
      <c r="A106" s="77"/>
      <c r="B106" s="87"/>
      <c r="C106" s="77"/>
      <c r="D106" s="77"/>
      <c r="E106" s="77"/>
      <c r="F106" s="77"/>
      <c r="G106" s="77"/>
      <c r="H106" s="77"/>
      <c r="I106" s="77"/>
      <c r="J106" s="77"/>
      <c r="K106" s="77"/>
    </row>
    <row r="107" ht="18.75" customHeight="1">
      <c r="A107" s="77"/>
      <c r="B107" s="87"/>
      <c r="C107" s="77"/>
      <c r="D107" s="77"/>
      <c r="E107" s="77"/>
      <c r="F107" s="77"/>
      <c r="G107" s="77"/>
      <c r="H107" s="77"/>
      <c r="I107" s="77"/>
      <c r="J107" s="77"/>
      <c r="K107" s="77"/>
    </row>
    <row r="108" ht="18.75" customHeight="1">
      <c r="A108" s="77"/>
      <c r="B108" s="87"/>
      <c r="C108" s="77"/>
      <c r="D108" s="77"/>
      <c r="E108" s="77"/>
      <c r="F108" s="77"/>
      <c r="G108" s="77"/>
      <c r="H108" s="77"/>
      <c r="I108" s="77"/>
      <c r="J108" s="77"/>
      <c r="K108" s="77"/>
    </row>
    <row r="109" ht="18.75" customHeight="1">
      <c r="A109" s="77"/>
      <c r="B109" s="87"/>
      <c r="C109" s="77"/>
      <c r="D109" s="77"/>
      <c r="E109" s="77"/>
      <c r="F109" s="77"/>
      <c r="G109" s="77"/>
      <c r="H109" s="77"/>
      <c r="I109" s="77"/>
      <c r="J109" s="77"/>
      <c r="K109" s="77"/>
    </row>
    <row r="110" ht="18.75" customHeight="1">
      <c r="A110" s="77"/>
      <c r="B110" s="87"/>
      <c r="C110" s="77"/>
      <c r="D110" s="77"/>
      <c r="E110" s="77"/>
      <c r="F110" s="77"/>
      <c r="G110" s="77"/>
      <c r="H110" s="77"/>
      <c r="I110" s="77"/>
      <c r="J110" s="77"/>
      <c r="K110" s="77"/>
    </row>
    <row r="111" ht="18.75" customHeight="1">
      <c r="A111" s="77"/>
      <c r="B111" s="87"/>
      <c r="C111" s="77"/>
      <c r="D111" s="77"/>
      <c r="E111" s="77"/>
      <c r="F111" s="77"/>
      <c r="G111" s="77"/>
      <c r="H111" s="77"/>
      <c r="I111" s="77"/>
      <c r="J111" s="77"/>
      <c r="K111" s="77"/>
    </row>
    <row r="112" ht="18.75" customHeight="1">
      <c r="A112" s="77"/>
      <c r="B112" s="87"/>
      <c r="C112" s="77"/>
      <c r="D112" s="77"/>
      <c r="E112" s="77"/>
      <c r="F112" s="77"/>
      <c r="G112" s="77"/>
      <c r="H112" s="77"/>
      <c r="I112" s="77"/>
      <c r="J112" s="77"/>
      <c r="K112" s="77"/>
    </row>
    <row r="113" ht="18.75" customHeight="1">
      <c r="A113" s="77"/>
      <c r="B113" s="87"/>
      <c r="C113" s="77"/>
      <c r="D113" s="77"/>
      <c r="E113" s="77"/>
      <c r="F113" s="77"/>
      <c r="G113" s="77"/>
      <c r="H113" s="77"/>
      <c r="I113" s="77"/>
      <c r="J113" s="77"/>
      <c r="K113" s="77"/>
    </row>
    <row r="114" ht="18.75" customHeight="1">
      <c r="A114" s="77"/>
      <c r="B114" s="87"/>
      <c r="C114" s="77"/>
      <c r="D114" s="77"/>
      <c r="E114" s="77"/>
      <c r="F114" s="77"/>
      <c r="G114" s="77"/>
      <c r="H114" s="77"/>
      <c r="I114" s="77"/>
      <c r="J114" s="77"/>
      <c r="K114" s="77"/>
    </row>
    <row r="115" ht="18.75" customHeight="1">
      <c r="A115" s="77"/>
      <c r="B115" s="87"/>
      <c r="C115" s="77"/>
      <c r="D115" s="77"/>
      <c r="E115" s="77"/>
      <c r="F115" s="77"/>
      <c r="G115" s="77"/>
      <c r="H115" s="77"/>
      <c r="I115" s="77"/>
      <c r="J115" s="77"/>
      <c r="K115" s="77"/>
    </row>
    <row r="116" ht="18.75" customHeight="1">
      <c r="A116" s="77"/>
      <c r="B116" s="87"/>
      <c r="C116" s="77"/>
      <c r="D116" s="77"/>
      <c r="E116" s="77"/>
      <c r="F116" s="77"/>
      <c r="G116" s="77"/>
      <c r="H116" s="77"/>
      <c r="I116" s="77"/>
      <c r="J116" s="77"/>
      <c r="K116" s="77"/>
    </row>
    <row r="117" ht="18.75" customHeight="1">
      <c r="A117" s="77"/>
      <c r="B117" s="87"/>
      <c r="C117" s="77"/>
      <c r="D117" s="77"/>
      <c r="E117" s="77"/>
      <c r="F117" s="77"/>
      <c r="G117" s="77"/>
      <c r="H117" s="77"/>
      <c r="I117" s="77"/>
      <c r="J117" s="77"/>
      <c r="K117" s="77"/>
    </row>
    <row r="118" ht="18.75" customHeight="1">
      <c r="A118" s="77"/>
      <c r="B118" s="87"/>
      <c r="C118" s="77"/>
      <c r="D118" s="77"/>
      <c r="E118" s="77"/>
      <c r="F118" s="77"/>
      <c r="G118" s="77"/>
      <c r="H118" s="77"/>
      <c r="I118" s="77"/>
      <c r="J118" s="77"/>
      <c r="K118" s="77"/>
    </row>
    <row r="119" ht="18.75" customHeight="1">
      <c r="A119" s="77"/>
      <c r="B119" s="87"/>
      <c r="C119" s="77"/>
      <c r="D119" s="77"/>
      <c r="E119" s="77"/>
      <c r="F119" s="77"/>
      <c r="G119" s="77"/>
      <c r="H119" s="77"/>
      <c r="I119" s="77"/>
      <c r="J119" s="77"/>
      <c r="K119" s="77"/>
    </row>
    <row r="120" ht="18.75" customHeight="1">
      <c r="A120" s="77"/>
      <c r="B120" s="87"/>
      <c r="C120" s="77"/>
      <c r="D120" s="77"/>
      <c r="E120" s="77"/>
      <c r="F120" s="77"/>
      <c r="G120" s="77"/>
      <c r="H120" s="77"/>
      <c r="I120" s="77"/>
      <c r="J120" s="77"/>
      <c r="K120" s="77"/>
    </row>
    <row r="121" ht="18.75" customHeight="1">
      <c r="A121" s="77"/>
      <c r="B121" s="87"/>
      <c r="C121" s="77"/>
      <c r="D121" s="77"/>
      <c r="E121" s="77"/>
      <c r="F121" s="77"/>
      <c r="G121" s="77"/>
      <c r="H121" s="77"/>
      <c r="I121" s="77"/>
      <c r="J121" s="77"/>
      <c r="K121" s="77"/>
    </row>
    <row r="122" ht="18.75" customHeight="1">
      <c r="A122" s="77"/>
      <c r="B122" s="87"/>
      <c r="C122" s="77"/>
      <c r="D122" s="77"/>
      <c r="E122" s="77"/>
      <c r="F122" s="77"/>
      <c r="G122" s="77"/>
      <c r="H122" s="77"/>
      <c r="I122" s="77"/>
      <c r="J122" s="77"/>
      <c r="K122" s="77"/>
    </row>
    <row r="123" ht="18.75" customHeight="1">
      <c r="A123" s="77"/>
      <c r="B123" s="87"/>
      <c r="C123" s="77"/>
      <c r="D123" s="77"/>
      <c r="E123" s="77"/>
      <c r="F123" s="77"/>
      <c r="G123" s="77"/>
      <c r="H123" s="77"/>
      <c r="I123" s="77"/>
      <c r="J123" s="77"/>
      <c r="K123" s="77"/>
    </row>
    <row r="124" ht="18.75" customHeight="1">
      <c r="A124" s="77"/>
      <c r="B124" s="87"/>
      <c r="C124" s="77"/>
      <c r="D124" s="77"/>
      <c r="E124" s="77"/>
      <c r="F124" s="77"/>
      <c r="G124" s="77"/>
      <c r="H124" s="77"/>
      <c r="I124" s="77"/>
      <c r="J124" s="77"/>
      <c r="K124" s="77"/>
    </row>
    <row r="125" ht="18.75" customHeight="1">
      <c r="A125" s="77"/>
      <c r="B125" s="87"/>
      <c r="C125" s="77"/>
      <c r="D125" s="77"/>
      <c r="E125" s="77"/>
      <c r="F125" s="77"/>
      <c r="G125" s="77"/>
      <c r="H125" s="77"/>
      <c r="I125" s="77"/>
      <c r="J125" s="77"/>
      <c r="K125" s="77"/>
    </row>
    <row r="126" ht="18.75" customHeight="1">
      <c r="A126" s="77"/>
      <c r="B126" s="87"/>
      <c r="C126" s="77"/>
      <c r="D126" s="77"/>
      <c r="E126" s="77"/>
      <c r="F126" s="77"/>
      <c r="G126" s="77"/>
      <c r="H126" s="77"/>
      <c r="I126" s="77"/>
      <c r="J126" s="77"/>
      <c r="K126" s="77"/>
    </row>
    <row r="127" ht="18.75" customHeight="1">
      <c r="A127" s="77"/>
      <c r="B127" s="87"/>
      <c r="C127" s="77"/>
      <c r="D127" s="77"/>
      <c r="E127" s="77"/>
      <c r="F127" s="77"/>
      <c r="G127" s="77"/>
      <c r="H127" s="77"/>
      <c r="I127" s="77"/>
      <c r="J127" s="77"/>
      <c r="K127" s="77"/>
    </row>
    <row r="128" ht="18.75" customHeight="1">
      <c r="A128" s="77"/>
      <c r="B128" s="87"/>
      <c r="C128" s="77"/>
      <c r="D128" s="77"/>
      <c r="E128" s="77"/>
      <c r="F128" s="77"/>
      <c r="G128" s="77"/>
      <c r="H128" s="77"/>
      <c r="I128" s="77"/>
      <c r="J128" s="77"/>
      <c r="K128" s="77"/>
    </row>
    <row r="129" ht="18.75" customHeight="1">
      <c r="A129" s="77"/>
      <c r="B129" s="87"/>
      <c r="C129" s="77"/>
      <c r="D129" s="77"/>
      <c r="E129" s="77"/>
      <c r="F129" s="77"/>
      <c r="G129" s="77"/>
      <c r="H129" s="77"/>
      <c r="I129" s="77"/>
      <c r="J129" s="77"/>
      <c r="K129" s="77"/>
    </row>
    <row r="130" ht="18.75" customHeight="1">
      <c r="A130" s="77"/>
      <c r="B130" s="87"/>
      <c r="C130" s="77"/>
      <c r="D130" s="77"/>
      <c r="E130" s="77"/>
      <c r="F130" s="77"/>
      <c r="G130" s="77"/>
      <c r="H130" s="77"/>
      <c r="I130" s="77"/>
      <c r="J130" s="77"/>
      <c r="K130" s="77"/>
    </row>
    <row r="131" ht="18.75" customHeight="1">
      <c r="A131" s="77"/>
      <c r="B131" s="87"/>
      <c r="C131" s="77"/>
      <c r="D131" s="77"/>
      <c r="E131" s="77"/>
      <c r="F131" s="77"/>
      <c r="G131" s="77"/>
      <c r="H131" s="77"/>
      <c r="I131" s="77"/>
      <c r="J131" s="77"/>
      <c r="K131" s="77"/>
    </row>
    <row r="132" ht="18.75" customHeight="1">
      <c r="A132" s="77"/>
      <c r="B132" s="87"/>
      <c r="C132" s="77"/>
      <c r="D132" s="77"/>
      <c r="E132" s="77"/>
      <c r="F132" s="77"/>
      <c r="G132" s="77"/>
      <c r="H132" s="77"/>
      <c r="I132" s="77"/>
      <c r="J132" s="77"/>
      <c r="K132" s="77"/>
    </row>
    <row r="133" ht="18.75" customHeight="1">
      <c r="A133" s="77"/>
      <c r="B133" s="87"/>
      <c r="C133" s="77"/>
      <c r="D133" s="77"/>
      <c r="E133" s="77"/>
      <c r="F133" s="77"/>
      <c r="G133" s="77"/>
      <c r="H133" s="77"/>
      <c r="I133" s="77"/>
      <c r="J133" s="77"/>
      <c r="K133" s="77"/>
    </row>
    <row r="134" ht="18.75" customHeight="1">
      <c r="A134" s="77"/>
      <c r="B134" s="87"/>
      <c r="C134" s="77"/>
      <c r="D134" s="77"/>
      <c r="E134" s="77"/>
      <c r="F134" s="77"/>
      <c r="G134" s="77"/>
      <c r="H134" s="77"/>
      <c r="I134" s="77"/>
      <c r="J134" s="77"/>
      <c r="K134" s="77"/>
    </row>
    <row r="135" ht="18.75" customHeight="1">
      <c r="A135" s="77"/>
      <c r="B135" s="87"/>
      <c r="C135" s="77"/>
      <c r="D135" s="77"/>
      <c r="E135" s="77"/>
      <c r="F135" s="77"/>
      <c r="G135" s="77"/>
      <c r="H135" s="77"/>
      <c r="I135" s="77"/>
      <c r="J135" s="77"/>
      <c r="K135" s="77"/>
    </row>
    <row r="136" ht="18.75" customHeight="1">
      <c r="A136" s="77"/>
      <c r="B136" s="87"/>
      <c r="C136" s="77"/>
      <c r="D136" s="77"/>
      <c r="E136" s="77"/>
      <c r="F136" s="77"/>
      <c r="G136" s="77"/>
      <c r="H136" s="77"/>
      <c r="I136" s="77"/>
      <c r="J136" s="77"/>
      <c r="K136" s="77"/>
    </row>
    <row r="137" ht="18.75" customHeight="1">
      <c r="A137" s="77"/>
      <c r="B137" s="87"/>
      <c r="C137" s="77"/>
      <c r="D137" s="77"/>
      <c r="E137" s="77"/>
      <c r="F137" s="77"/>
      <c r="G137" s="77"/>
      <c r="H137" s="77"/>
      <c r="I137" s="77"/>
      <c r="J137" s="77"/>
      <c r="K137" s="77"/>
    </row>
    <row r="138" ht="18.75" customHeight="1">
      <c r="A138" s="77"/>
      <c r="B138" s="87"/>
      <c r="C138" s="77"/>
      <c r="D138" s="77"/>
      <c r="E138" s="77"/>
      <c r="F138" s="77"/>
      <c r="G138" s="77"/>
      <c r="H138" s="77"/>
      <c r="I138" s="77"/>
      <c r="J138" s="77"/>
      <c r="K138" s="77"/>
    </row>
    <row r="139" ht="18.75" customHeight="1">
      <c r="A139" s="77"/>
      <c r="B139" s="87"/>
      <c r="C139" s="77"/>
      <c r="D139" s="77"/>
      <c r="E139" s="77"/>
      <c r="F139" s="77"/>
      <c r="G139" s="77"/>
      <c r="H139" s="77"/>
      <c r="I139" s="77"/>
      <c r="J139" s="77"/>
      <c r="K139" s="77"/>
    </row>
    <row r="140" ht="18.75" customHeight="1">
      <c r="A140" s="77"/>
      <c r="B140" s="87"/>
      <c r="C140" s="77"/>
      <c r="D140" s="77"/>
      <c r="E140" s="77"/>
      <c r="F140" s="77"/>
      <c r="G140" s="77"/>
      <c r="H140" s="77"/>
      <c r="I140" s="77"/>
      <c r="J140" s="77"/>
      <c r="K140" s="77"/>
    </row>
    <row r="141" ht="18.75" customHeight="1">
      <c r="A141" s="77"/>
      <c r="B141" s="87"/>
      <c r="C141" s="77"/>
      <c r="D141" s="77"/>
      <c r="E141" s="77"/>
      <c r="F141" s="77"/>
      <c r="G141" s="77"/>
      <c r="H141" s="77"/>
      <c r="I141" s="77"/>
      <c r="J141" s="77"/>
      <c r="K141" s="77"/>
    </row>
    <row r="142" ht="18.75" customHeight="1">
      <c r="A142" s="77"/>
      <c r="B142" s="87"/>
      <c r="C142" s="77"/>
      <c r="D142" s="77"/>
      <c r="E142" s="77"/>
      <c r="F142" s="77"/>
      <c r="G142" s="77"/>
      <c r="H142" s="77"/>
      <c r="I142" s="77"/>
      <c r="J142" s="77"/>
      <c r="K142" s="77"/>
    </row>
    <row r="143" ht="18.75" customHeight="1">
      <c r="A143" s="77"/>
      <c r="B143" s="87"/>
      <c r="C143" s="77"/>
      <c r="D143" s="77"/>
      <c r="E143" s="77"/>
      <c r="F143" s="77"/>
      <c r="G143" s="77"/>
      <c r="H143" s="77"/>
      <c r="I143" s="77"/>
      <c r="J143" s="77"/>
      <c r="K143" s="77"/>
    </row>
    <row r="144" ht="18.75" customHeight="1">
      <c r="A144" s="77"/>
      <c r="B144" s="87"/>
      <c r="C144" s="77"/>
      <c r="D144" s="77"/>
      <c r="E144" s="77"/>
      <c r="F144" s="77"/>
      <c r="G144" s="77"/>
      <c r="H144" s="77"/>
      <c r="I144" s="77"/>
      <c r="J144" s="77"/>
      <c r="K144" s="77"/>
    </row>
    <row r="145" ht="18.75" customHeight="1">
      <c r="A145" s="77"/>
      <c r="B145" s="87"/>
      <c r="C145" s="77"/>
      <c r="D145" s="77"/>
      <c r="E145" s="77"/>
      <c r="F145" s="77"/>
      <c r="G145" s="77"/>
      <c r="H145" s="77"/>
      <c r="I145" s="77"/>
      <c r="J145" s="77"/>
      <c r="K145" s="77"/>
    </row>
    <row r="146" ht="18.75" customHeight="1">
      <c r="A146" s="77"/>
      <c r="B146" s="87"/>
      <c r="C146" s="77"/>
      <c r="D146" s="77"/>
      <c r="E146" s="77"/>
      <c r="F146" s="77"/>
      <c r="G146" s="77"/>
      <c r="H146" s="77"/>
      <c r="I146" s="77"/>
      <c r="J146" s="77"/>
      <c r="K146" s="77"/>
    </row>
    <row r="147" ht="18.75" customHeight="1">
      <c r="A147" s="77"/>
      <c r="B147" s="87"/>
      <c r="C147" s="77"/>
      <c r="D147" s="77"/>
      <c r="E147" s="77"/>
      <c r="F147" s="77"/>
      <c r="G147" s="77"/>
      <c r="H147" s="77"/>
      <c r="I147" s="77"/>
      <c r="J147" s="77"/>
      <c r="K147" s="77"/>
    </row>
    <row r="148" ht="18.75" customHeight="1">
      <c r="A148" s="77"/>
      <c r="B148" s="87"/>
      <c r="C148" s="77"/>
      <c r="D148" s="77"/>
      <c r="E148" s="77"/>
      <c r="F148" s="77"/>
      <c r="G148" s="77"/>
      <c r="H148" s="77"/>
      <c r="I148" s="77"/>
      <c r="J148" s="77"/>
      <c r="K148" s="77"/>
    </row>
    <row r="149" ht="18.75" customHeight="1">
      <c r="A149" s="77"/>
      <c r="B149" s="87"/>
      <c r="C149" s="77"/>
      <c r="D149" s="77"/>
      <c r="E149" s="77"/>
      <c r="F149" s="77"/>
      <c r="G149" s="77"/>
      <c r="H149" s="77"/>
      <c r="I149" s="77"/>
      <c r="J149" s="77"/>
      <c r="K149" s="77"/>
    </row>
    <row r="150" ht="18.75" customHeight="1">
      <c r="A150" s="77"/>
      <c r="B150" s="87"/>
      <c r="C150" s="77"/>
      <c r="D150" s="77"/>
      <c r="E150" s="77"/>
      <c r="F150" s="77"/>
      <c r="G150" s="77"/>
      <c r="H150" s="77"/>
      <c r="I150" s="77"/>
      <c r="J150" s="77"/>
      <c r="K150" s="77"/>
    </row>
    <row r="151" ht="18.75" customHeight="1">
      <c r="A151" s="77"/>
      <c r="B151" s="87"/>
      <c r="C151" s="77"/>
      <c r="D151" s="77"/>
      <c r="E151" s="77"/>
      <c r="F151" s="77"/>
      <c r="G151" s="77"/>
      <c r="H151" s="77"/>
      <c r="I151" s="77"/>
      <c r="J151" s="77"/>
      <c r="K151" s="77"/>
    </row>
    <row r="152" ht="18.75" customHeight="1">
      <c r="A152" s="77"/>
      <c r="B152" s="87"/>
      <c r="C152" s="77"/>
      <c r="D152" s="77"/>
      <c r="E152" s="77"/>
      <c r="F152" s="77"/>
      <c r="G152" s="77"/>
      <c r="H152" s="77"/>
      <c r="I152" s="77"/>
      <c r="J152" s="77"/>
      <c r="K152" s="77"/>
    </row>
    <row r="153" ht="18.75" customHeight="1">
      <c r="A153" s="77"/>
      <c r="B153" s="87"/>
      <c r="C153" s="77"/>
      <c r="D153" s="77"/>
      <c r="E153" s="77"/>
      <c r="F153" s="77"/>
      <c r="G153" s="77"/>
      <c r="H153" s="77"/>
      <c r="I153" s="77"/>
      <c r="J153" s="77"/>
      <c r="K153" s="77"/>
    </row>
    <row r="154" ht="18.75" customHeight="1">
      <c r="A154" s="77"/>
      <c r="B154" s="87"/>
      <c r="C154" s="77"/>
      <c r="D154" s="77"/>
      <c r="E154" s="77"/>
      <c r="F154" s="77"/>
      <c r="G154" s="77"/>
      <c r="H154" s="77"/>
      <c r="I154" s="77"/>
      <c r="J154" s="77"/>
      <c r="K154" s="77"/>
    </row>
    <row r="155" ht="18.75" customHeight="1">
      <c r="A155" s="77"/>
      <c r="B155" s="87"/>
      <c r="C155" s="77"/>
      <c r="D155" s="77"/>
      <c r="E155" s="77"/>
      <c r="F155" s="77"/>
      <c r="G155" s="77"/>
      <c r="H155" s="77"/>
      <c r="I155" s="77"/>
      <c r="J155" s="77"/>
      <c r="K155" s="77"/>
    </row>
    <row r="156" ht="18.75" customHeight="1">
      <c r="A156" s="77"/>
      <c r="B156" s="87"/>
      <c r="C156" s="77"/>
      <c r="D156" s="77"/>
      <c r="E156" s="77"/>
      <c r="F156" s="77"/>
      <c r="G156" s="77"/>
      <c r="H156" s="77"/>
      <c r="I156" s="77"/>
      <c r="J156" s="77"/>
      <c r="K156" s="77"/>
    </row>
    <row r="157" ht="18.75" customHeight="1">
      <c r="A157" s="77"/>
      <c r="B157" s="87"/>
      <c r="C157" s="77"/>
      <c r="D157" s="77"/>
      <c r="E157" s="77"/>
      <c r="F157" s="77"/>
      <c r="G157" s="77"/>
      <c r="H157" s="77"/>
      <c r="I157" s="77"/>
      <c r="J157" s="77"/>
      <c r="K157" s="77"/>
    </row>
    <row r="158" ht="18.75" customHeight="1">
      <c r="A158" s="77"/>
      <c r="B158" s="87"/>
      <c r="C158" s="77"/>
      <c r="D158" s="77"/>
      <c r="E158" s="77"/>
      <c r="F158" s="77"/>
      <c r="G158" s="77"/>
      <c r="H158" s="77"/>
      <c r="I158" s="77"/>
      <c r="J158" s="77"/>
      <c r="K158" s="77"/>
    </row>
    <row r="159" ht="18.75" customHeight="1">
      <c r="A159" s="77"/>
      <c r="B159" s="87"/>
      <c r="C159" s="77"/>
      <c r="D159" s="77"/>
      <c r="E159" s="77"/>
      <c r="F159" s="77"/>
      <c r="G159" s="77"/>
      <c r="H159" s="77"/>
      <c r="I159" s="77"/>
      <c r="J159" s="77"/>
      <c r="K159" s="77"/>
    </row>
    <row r="160" ht="18.75" customHeight="1">
      <c r="A160" s="77"/>
      <c r="B160" s="87"/>
      <c r="C160" s="77"/>
      <c r="D160" s="77"/>
      <c r="E160" s="77"/>
      <c r="F160" s="77"/>
      <c r="G160" s="77"/>
      <c r="H160" s="77"/>
      <c r="I160" s="77"/>
      <c r="J160" s="77"/>
      <c r="K160" s="77"/>
    </row>
    <row r="161" ht="18.75" customHeight="1">
      <c r="A161" s="77"/>
      <c r="B161" s="87"/>
      <c r="C161" s="77"/>
      <c r="D161" s="77"/>
      <c r="E161" s="77"/>
      <c r="F161" s="77"/>
      <c r="G161" s="77"/>
      <c r="H161" s="77"/>
      <c r="I161" s="77"/>
      <c r="J161" s="77"/>
      <c r="K161" s="77"/>
    </row>
    <row r="162" ht="18.75" customHeight="1">
      <c r="A162" s="77"/>
      <c r="B162" s="87"/>
      <c r="C162" s="77"/>
      <c r="D162" s="77"/>
      <c r="E162" s="77"/>
      <c r="F162" s="77"/>
      <c r="G162" s="77"/>
      <c r="H162" s="77"/>
      <c r="I162" s="77"/>
      <c r="J162" s="77"/>
      <c r="K162" s="77"/>
    </row>
    <row r="163" ht="18.75" customHeight="1">
      <c r="A163" s="77"/>
      <c r="B163" s="87"/>
      <c r="C163" s="77"/>
      <c r="D163" s="77"/>
      <c r="E163" s="77"/>
      <c r="F163" s="77"/>
      <c r="G163" s="77"/>
      <c r="H163" s="77"/>
      <c r="I163" s="77"/>
      <c r="J163" s="77"/>
      <c r="K163" s="77"/>
    </row>
    <row r="164" ht="18.75" customHeight="1">
      <c r="A164" s="77"/>
      <c r="B164" s="87"/>
      <c r="C164" s="77"/>
      <c r="D164" s="77"/>
      <c r="E164" s="77"/>
      <c r="F164" s="77"/>
      <c r="G164" s="77"/>
      <c r="H164" s="77"/>
      <c r="I164" s="77"/>
      <c r="J164" s="77"/>
      <c r="K164" s="77"/>
    </row>
    <row r="165" ht="18.75" customHeight="1">
      <c r="A165" s="77"/>
      <c r="B165" s="87"/>
      <c r="C165" s="77"/>
      <c r="D165" s="77"/>
      <c r="E165" s="77"/>
      <c r="F165" s="77"/>
      <c r="G165" s="77"/>
      <c r="H165" s="77"/>
      <c r="I165" s="77"/>
      <c r="J165" s="77"/>
      <c r="K165" s="77"/>
    </row>
    <row r="166" ht="18.75" customHeight="1">
      <c r="A166" s="77"/>
      <c r="B166" s="87"/>
      <c r="C166" s="77"/>
      <c r="D166" s="77"/>
      <c r="E166" s="77"/>
      <c r="F166" s="77"/>
      <c r="G166" s="77"/>
      <c r="H166" s="77"/>
      <c r="I166" s="77"/>
      <c r="J166" s="77"/>
      <c r="K166" s="77"/>
    </row>
    <row r="167" ht="18.75" customHeight="1">
      <c r="A167" s="77"/>
      <c r="B167" s="87"/>
      <c r="C167" s="77"/>
      <c r="D167" s="77"/>
      <c r="E167" s="77"/>
      <c r="F167" s="77"/>
      <c r="G167" s="77"/>
      <c r="H167" s="77"/>
      <c r="I167" s="77"/>
      <c r="J167" s="77"/>
      <c r="K167" s="77"/>
    </row>
    <row r="168" ht="18.75" customHeight="1">
      <c r="A168" s="77"/>
      <c r="B168" s="87"/>
      <c r="C168" s="77"/>
      <c r="D168" s="77"/>
      <c r="E168" s="77"/>
      <c r="F168" s="77"/>
      <c r="G168" s="77"/>
      <c r="H168" s="77"/>
      <c r="I168" s="77"/>
      <c r="J168" s="77"/>
      <c r="K168" s="77"/>
    </row>
    <row r="169" ht="18.75" customHeight="1">
      <c r="A169" s="77"/>
      <c r="B169" s="87"/>
      <c r="C169" s="77"/>
      <c r="D169" s="77"/>
      <c r="E169" s="77"/>
      <c r="F169" s="77"/>
      <c r="G169" s="77"/>
      <c r="H169" s="77"/>
      <c r="I169" s="77"/>
      <c r="J169" s="77"/>
      <c r="K169" s="77"/>
    </row>
    <row r="170" ht="18.75" customHeight="1">
      <c r="A170" s="77"/>
      <c r="B170" s="87"/>
      <c r="C170" s="77"/>
      <c r="D170" s="77"/>
      <c r="E170" s="77"/>
      <c r="F170" s="77"/>
      <c r="G170" s="77"/>
      <c r="H170" s="77"/>
      <c r="I170" s="77"/>
      <c r="J170" s="77"/>
      <c r="K170" s="77"/>
    </row>
    <row r="171" ht="18.75" customHeight="1">
      <c r="A171" s="77"/>
      <c r="B171" s="87"/>
      <c r="C171" s="77"/>
      <c r="D171" s="77"/>
      <c r="E171" s="77"/>
      <c r="F171" s="77"/>
      <c r="G171" s="77"/>
      <c r="H171" s="77"/>
      <c r="I171" s="77"/>
      <c r="J171" s="77"/>
      <c r="K171" s="77"/>
    </row>
    <row r="172" ht="18.75" customHeight="1">
      <c r="A172" s="77"/>
      <c r="B172" s="87"/>
      <c r="C172" s="77"/>
      <c r="D172" s="77"/>
      <c r="E172" s="77"/>
      <c r="F172" s="77"/>
      <c r="G172" s="77"/>
      <c r="H172" s="77"/>
      <c r="I172" s="77"/>
      <c r="J172" s="77"/>
      <c r="K172" s="77"/>
    </row>
    <row r="173" ht="18.75" customHeight="1">
      <c r="A173" s="77"/>
      <c r="B173" s="87"/>
      <c r="C173" s="77"/>
      <c r="D173" s="77"/>
      <c r="E173" s="77"/>
      <c r="F173" s="77"/>
      <c r="G173" s="77"/>
      <c r="H173" s="77"/>
      <c r="I173" s="77"/>
      <c r="J173" s="77"/>
      <c r="K173" s="77"/>
    </row>
    <row r="174" ht="18.75" customHeight="1">
      <c r="A174" s="77"/>
      <c r="B174" s="87"/>
      <c r="C174" s="77"/>
      <c r="D174" s="77"/>
      <c r="E174" s="77"/>
      <c r="F174" s="77"/>
      <c r="G174" s="77"/>
      <c r="H174" s="77"/>
      <c r="I174" s="77"/>
      <c r="J174" s="77"/>
      <c r="K174" s="77"/>
    </row>
    <row r="175" ht="18.75" customHeight="1">
      <c r="A175" s="77"/>
      <c r="B175" s="87"/>
      <c r="C175" s="77"/>
      <c r="D175" s="77"/>
      <c r="E175" s="77"/>
      <c r="F175" s="77"/>
      <c r="G175" s="77"/>
      <c r="H175" s="77"/>
      <c r="I175" s="77"/>
      <c r="J175" s="77"/>
      <c r="K175" s="77"/>
    </row>
    <row r="176" ht="18.75" customHeight="1">
      <c r="A176" s="77"/>
      <c r="B176" s="87"/>
      <c r="C176" s="77"/>
      <c r="D176" s="77"/>
      <c r="E176" s="77"/>
      <c r="F176" s="77"/>
      <c r="G176" s="77"/>
      <c r="H176" s="77"/>
      <c r="I176" s="77"/>
      <c r="J176" s="77"/>
      <c r="K176" s="77"/>
    </row>
    <row r="177" ht="18.75" customHeight="1">
      <c r="A177" s="77"/>
      <c r="B177" s="87"/>
      <c r="C177" s="77"/>
      <c r="D177" s="77"/>
      <c r="E177" s="77"/>
      <c r="F177" s="77"/>
      <c r="G177" s="77"/>
      <c r="H177" s="77"/>
      <c r="I177" s="77"/>
      <c r="J177" s="77"/>
      <c r="K177" s="77"/>
    </row>
    <row r="178" ht="18.75" customHeight="1">
      <c r="A178" s="77"/>
      <c r="B178" s="87"/>
      <c r="C178" s="77"/>
      <c r="D178" s="77"/>
      <c r="E178" s="77"/>
      <c r="F178" s="77"/>
      <c r="G178" s="77"/>
      <c r="H178" s="77"/>
      <c r="I178" s="77"/>
      <c r="J178" s="77"/>
      <c r="K178" s="77"/>
    </row>
    <row r="179" ht="18.75" customHeight="1">
      <c r="A179" s="77"/>
      <c r="B179" s="87"/>
      <c r="C179" s="77"/>
      <c r="D179" s="77"/>
      <c r="E179" s="77"/>
      <c r="F179" s="77"/>
      <c r="G179" s="77"/>
      <c r="H179" s="77"/>
      <c r="I179" s="77"/>
      <c r="J179" s="77"/>
      <c r="K179" s="77"/>
    </row>
    <row r="180" ht="18.75" customHeight="1">
      <c r="A180" s="77"/>
      <c r="B180" s="87"/>
      <c r="C180" s="77"/>
      <c r="D180" s="77"/>
      <c r="E180" s="77"/>
      <c r="F180" s="77"/>
      <c r="G180" s="77"/>
      <c r="H180" s="77"/>
      <c r="I180" s="77"/>
      <c r="J180" s="77"/>
      <c r="K180" s="77"/>
    </row>
    <row r="181" ht="18.75" customHeight="1">
      <c r="A181" s="77"/>
      <c r="B181" s="87"/>
      <c r="C181" s="77"/>
      <c r="D181" s="77"/>
      <c r="E181" s="77"/>
      <c r="F181" s="77"/>
      <c r="G181" s="77"/>
      <c r="H181" s="77"/>
      <c r="I181" s="77"/>
      <c r="J181" s="77"/>
      <c r="K181" s="77"/>
    </row>
    <row r="182" ht="18.75" customHeight="1">
      <c r="A182" s="77"/>
      <c r="B182" s="87"/>
      <c r="C182" s="77"/>
      <c r="D182" s="77"/>
      <c r="E182" s="77"/>
      <c r="F182" s="77"/>
      <c r="G182" s="77"/>
      <c r="H182" s="77"/>
      <c r="I182" s="77"/>
      <c r="J182" s="77"/>
      <c r="K182" s="77"/>
    </row>
    <row r="183" ht="18.75" customHeight="1">
      <c r="A183" s="77"/>
      <c r="B183" s="87"/>
      <c r="C183" s="77"/>
      <c r="D183" s="77"/>
      <c r="E183" s="77"/>
      <c r="F183" s="77"/>
      <c r="G183" s="77"/>
      <c r="H183" s="77"/>
      <c r="I183" s="77"/>
      <c r="J183" s="77"/>
      <c r="K183" s="77"/>
    </row>
    <row r="184" ht="18.75" customHeight="1">
      <c r="A184" s="77"/>
      <c r="B184" s="87"/>
      <c r="C184" s="77"/>
      <c r="D184" s="77"/>
      <c r="E184" s="77"/>
      <c r="F184" s="77"/>
      <c r="G184" s="77"/>
      <c r="H184" s="77"/>
      <c r="I184" s="77"/>
      <c r="J184" s="77"/>
      <c r="K184" s="77"/>
    </row>
    <row r="185" ht="18.75" customHeight="1">
      <c r="A185" s="77"/>
      <c r="B185" s="87"/>
      <c r="C185" s="77"/>
      <c r="D185" s="77"/>
      <c r="E185" s="77"/>
      <c r="F185" s="77"/>
      <c r="G185" s="77"/>
      <c r="H185" s="77"/>
      <c r="I185" s="77"/>
      <c r="J185" s="77"/>
      <c r="K185" s="77"/>
    </row>
    <row r="186" ht="18.75" customHeight="1">
      <c r="A186" s="77"/>
      <c r="B186" s="87"/>
      <c r="C186" s="77"/>
      <c r="D186" s="77"/>
      <c r="E186" s="77"/>
      <c r="F186" s="77"/>
      <c r="G186" s="77"/>
      <c r="H186" s="77"/>
      <c r="I186" s="77"/>
      <c r="J186" s="77"/>
      <c r="K186" s="77"/>
    </row>
    <row r="187" ht="18.75" customHeight="1">
      <c r="A187" s="77"/>
      <c r="B187" s="87"/>
      <c r="C187" s="77"/>
      <c r="D187" s="77"/>
      <c r="E187" s="77"/>
      <c r="F187" s="77"/>
      <c r="G187" s="77"/>
      <c r="H187" s="77"/>
      <c r="I187" s="77"/>
      <c r="J187" s="77"/>
      <c r="K187" s="77"/>
    </row>
    <row r="188" ht="18.75" customHeight="1">
      <c r="A188" s="77"/>
      <c r="B188" s="87"/>
      <c r="C188" s="77"/>
      <c r="D188" s="77"/>
      <c r="E188" s="77"/>
      <c r="F188" s="77"/>
      <c r="G188" s="77"/>
      <c r="H188" s="77"/>
      <c r="I188" s="77"/>
      <c r="J188" s="77"/>
      <c r="K188" s="77"/>
    </row>
    <row r="189" ht="18.75" customHeight="1">
      <c r="A189" s="77"/>
      <c r="B189" s="87"/>
      <c r="C189" s="77"/>
      <c r="D189" s="77"/>
      <c r="E189" s="77"/>
      <c r="F189" s="77"/>
      <c r="G189" s="77"/>
      <c r="H189" s="77"/>
      <c r="I189" s="77"/>
      <c r="J189" s="77"/>
      <c r="K189" s="77"/>
    </row>
    <row r="190" ht="18.75" customHeight="1">
      <c r="A190" s="77"/>
      <c r="B190" s="87"/>
      <c r="C190" s="77"/>
      <c r="D190" s="77"/>
      <c r="E190" s="77"/>
      <c r="F190" s="77"/>
      <c r="G190" s="77"/>
      <c r="H190" s="77"/>
      <c r="I190" s="77"/>
      <c r="J190" s="77"/>
      <c r="K190" s="77"/>
    </row>
    <row r="191" ht="18.75" customHeight="1">
      <c r="A191" s="77"/>
      <c r="B191" s="87"/>
      <c r="C191" s="77"/>
      <c r="D191" s="77"/>
      <c r="E191" s="77"/>
      <c r="F191" s="77"/>
      <c r="G191" s="77"/>
      <c r="H191" s="77"/>
      <c r="I191" s="77"/>
      <c r="J191" s="77"/>
      <c r="K191" s="77"/>
    </row>
    <row r="192" ht="18.75" customHeight="1">
      <c r="A192" s="77"/>
      <c r="B192" s="87"/>
      <c r="C192" s="77"/>
      <c r="D192" s="77"/>
      <c r="E192" s="77"/>
      <c r="F192" s="77"/>
      <c r="G192" s="77"/>
      <c r="H192" s="77"/>
      <c r="I192" s="77"/>
      <c r="J192" s="77"/>
      <c r="K192" s="77"/>
    </row>
    <row r="193" ht="18.75" customHeight="1">
      <c r="A193" s="77"/>
      <c r="B193" s="87"/>
      <c r="C193" s="77"/>
      <c r="D193" s="77"/>
      <c r="E193" s="77"/>
      <c r="F193" s="77"/>
      <c r="G193" s="77"/>
      <c r="H193" s="77"/>
      <c r="I193" s="77"/>
      <c r="J193" s="77"/>
      <c r="K193" s="77"/>
    </row>
    <row r="194" ht="18.75" customHeight="1">
      <c r="A194" s="77"/>
      <c r="B194" s="87"/>
      <c r="C194" s="77"/>
      <c r="D194" s="77"/>
      <c r="E194" s="77"/>
      <c r="F194" s="77"/>
      <c r="G194" s="77"/>
      <c r="H194" s="77"/>
      <c r="I194" s="77"/>
      <c r="J194" s="77"/>
      <c r="K194" s="77"/>
    </row>
    <row r="195" ht="18.75" customHeight="1">
      <c r="A195" s="77"/>
      <c r="B195" s="87"/>
      <c r="C195" s="77"/>
      <c r="D195" s="77"/>
      <c r="E195" s="77"/>
      <c r="F195" s="77"/>
      <c r="G195" s="77"/>
      <c r="H195" s="77"/>
      <c r="I195" s="77"/>
      <c r="J195" s="77"/>
      <c r="K195" s="77"/>
    </row>
    <row r="196" ht="18.75" customHeight="1">
      <c r="A196" s="77"/>
      <c r="B196" s="87"/>
      <c r="C196" s="77"/>
      <c r="D196" s="77"/>
      <c r="E196" s="77"/>
      <c r="F196" s="77"/>
      <c r="G196" s="77"/>
      <c r="H196" s="77"/>
      <c r="I196" s="77"/>
      <c r="J196" s="77"/>
      <c r="K196" s="77"/>
    </row>
    <row r="197" ht="18.75" customHeight="1">
      <c r="A197" s="77"/>
      <c r="B197" s="87"/>
      <c r="C197" s="77"/>
      <c r="D197" s="77"/>
      <c r="E197" s="77"/>
      <c r="F197" s="77"/>
      <c r="G197" s="77"/>
      <c r="H197" s="77"/>
      <c r="I197" s="77"/>
      <c r="J197" s="77"/>
      <c r="K197" s="77"/>
    </row>
    <row r="198" ht="18.75" customHeight="1">
      <c r="A198" s="77"/>
      <c r="B198" s="87"/>
      <c r="C198" s="77"/>
      <c r="D198" s="77"/>
      <c r="E198" s="77"/>
      <c r="F198" s="77"/>
      <c r="G198" s="77"/>
      <c r="H198" s="77"/>
      <c r="I198" s="77"/>
      <c r="J198" s="77"/>
      <c r="K198" s="77"/>
    </row>
    <row r="199" ht="18.75" customHeight="1">
      <c r="A199" s="77"/>
      <c r="B199" s="87"/>
      <c r="C199" s="77"/>
      <c r="D199" s="77"/>
      <c r="E199" s="77"/>
      <c r="F199" s="77"/>
      <c r="G199" s="77"/>
      <c r="H199" s="77"/>
      <c r="I199" s="77"/>
      <c r="J199" s="77"/>
      <c r="K199" s="77"/>
    </row>
    <row r="200" ht="18.75" customHeight="1">
      <c r="A200" s="77"/>
      <c r="B200" s="87"/>
      <c r="C200" s="77"/>
      <c r="D200" s="77"/>
      <c r="E200" s="77"/>
      <c r="F200" s="77"/>
      <c r="G200" s="77"/>
      <c r="H200" s="77"/>
      <c r="I200" s="77"/>
      <c r="J200" s="77"/>
      <c r="K200" s="77"/>
    </row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mergeCells count="12">
    <mergeCell ref="C3:D3"/>
    <mergeCell ref="C4:C5"/>
    <mergeCell ref="D4:D5"/>
    <mergeCell ref="H22:J22"/>
    <mergeCell ref="H44:K44"/>
    <mergeCell ref="A1:F1"/>
    <mergeCell ref="H1:J1"/>
    <mergeCell ref="A2:F2"/>
    <mergeCell ref="A3:A6"/>
    <mergeCell ref="B3:B6"/>
    <mergeCell ref="E3:E6"/>
    <mergeCell ref="F3:F6"/>
  </mergeCells>
  <dataValidations>
    <dataValidation type="list" allowBlank="1" showErrorMessage="1" sqref="H4:H6 H9:H19 H30:H41 E67:E200">
      <formula1>"1.1,1.2,1.3,2.1,2.2,2.3,2.4,2.5,2.6,2.7,2.8,2.9,2.11,2.12"</formula1>
    </dataValidation>
    <dataValidation type="list" allowBlank="1" showErrorMessage="1" sqref="E8:E66">
      <formula1>"1,1,1,2,2,1,2,11,2,12,2,2,2,3,2,5,2,6,2,7,2,8,2,9,2,4,1,3"</formula1>
    </dataValidation>
  </dataValidations>
  <hyperlinks>
    <hyperlink r:id="rId1" ref="F16"/>
    <hyperlink r:id="rId2" ref="F17"/>
    <hyperlink r:id="rId3" ref="F18"/>
  </hyperlin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6.0"/>
    <col customWidth="1" min="2" max="2" width="10.57"/>
    <col customWidth="1" min="3" max="4" width="17.0"/>
    <col customWidth="1" min="5" max="5" width="13.0"/>
    <col customWidth="1" min="6" max="6" width="47.0"/>
    <col customWidth="1" min="7" max="7" width="7.0"/>
    <col customWidth="1" min="8" max="8" width="14.0"/>
    <col customWidth="1" min="9" max="9" width="46.0"/>
    <col customWidth="1" min="10" max="10" width="16.0"/>
    <col customWidth="1" min="11" max="26" width="14.0"/>
  </cols>
  <sheetData>
    <row r="1" ht="18.75" customHeight="1">
      <c r="A1" s="11" t="s">
        <v>22</v>
      </c>
      <c r="F1" s="12"/>
      <c r="G1" s="13"/>
      <c r="H1" s="14" t="s">
        <v>23</v>
      </c>
      <c r="I1" s="15"/>
      <c r="J1" s="16"/>
      <c r="K1" s="13"/>
    </row>
    <row r="2" ht="18.75" customHeight="1">
      <c r="A2" s="17" t="s">
        <v>129</v>
      </c>
      <c r="G2" s="13"/>
      <c r="H2" s="18" t="s">
        <v>25</v>
      </c>
      <c r="I2" s="19" t="s">
        <v>26</v>
      </c>
      <c r="J2" s="20" t="s">
        <v>27</v>
      </c>
      <c r="K2" s="13"/>
    </row>
    <row r="3" ht="18.75" customHeight="1">
      <c r="A3" s="21" t="s">
        <v>28</v>
      </c>
      <c r="B3" s="21" t="s">
        <v>29</v>
      </c>
      <c r="C3" s="23" t="s">
        <v>30</v>
      </c>
      <c r="D3" s="24"/>
      <c r="E3" s="25" t="s">
        <v>25</v>
      </c>
      <c r="F3" s="21" t="s">
        <v>26</v>
      </c>
      <c r="G3" s="13"/>
      <c r="H3" s="26">
        <v>1.0</v>
      </c>
      <c r="I3" s="27" t="s">
        <v>31</v>
      </c>
      <c r="J3" s="28">
        <f>SUM(J4:J6)</f>
        <v>0</v>
      </c>
      <c r="K3" s="13"/>
    </row>
    <row r="4" ht="18.75" customHeight="1">
      <c r="A4" s="29"/>
      <c r="B4" s="29"/>
      <c r="C4" s="21" t="s">
        <v>32</v>
      </c>
      <c r="D4" s="21" t="s">
        <v>33</v>
      </c>
      <c r="E4" s="30"/>
      <c r="F4" s="29"/>
      <c r="G4" s="13"/>
      <c r="H4" s="31">
        <v>1.1</v>
      </c>
      <c r="I4" s="32" t="s">
        <v>34</v>
      </c>
      <c r="J4" s="28">
        <f>SUMIF($E$8:$E$54,1.1,$C$8:$C$45)</f>
        <v>0</v>
      </c>
      <c r="K4" s="13"/>
    </row>
    <row r="5" ht="18.75" customHeight="1">
      <c r="A5" s="29"/>
      <c r="B5" s="29"/>
      <c r="C5" s="33"/>
      <c r="D5" s="33"/>
      <c r="E5" s="30"/>
      <c r="F5" s="29"/>
      <c r="G5" s="13"/>
      <c r="H5" s="31">
        <v>1.2</v>
      </c>
      <c r="I5" s="32" t="s">
        <v>35</v>
      </c>
      <c r="J5" s="28">
        <f>SUMIF($E$8:$E$54,1.2,$C$8:$C$45)</f>
        <v>0</v>
      </c>
      <c r="K5" s="13"/>
    </row>
    <row r="6" ht="18.75" customHeight="1">
      <c r="A6" s="33"/>
      <c r="B6" s="33"/>
      <c r="C6" s="34"/>
      <c r="D6" s="34"/>
      <c r="E6" s="35"/>
      <c r="F6" s="33"/>
      <c r="G6" s="13"/>
      <c r="H6" s="31">
        <v>1.3</v>
      </c>
      <c r="I6" s="32" t="s">
        <v>36</v>
      </c>
      <c r="J6" s="28">
        <f>SUMIF($E$8:$E$54,1.3,$C$8:$C$45)</f>
        <v>0</v>
      </c>
      <c r="K6" s="13"/>
    </row>
    <row r="7" ht="21.75" customHeight="1">
      <c r="A7" s="36"/>
      <c r="B7" s="37"/>
      <c r="C7" s="38">
        <f t="shared" ref="C7:D7" si="1">SUM(C8:C100)</f>
        <v>0</v>
      </c>
      <c r="D7" s="38">
        <f t="shared" si="1"/>
        <v>77759355</v>
      </c>
      <c r="E7" s="39"/>
      <c r="F7" s="40"/>
      <c r="G7" s="40" t="s">
        <v>37</v>
      </c>
      <c r="H7" s="41"/>
      <c r="I7" s="40"/>
      <c r="J7" s="42"/>
      <c r="K7" s="40"/>
    </row>
    <row r="8" ht="18.75" customHeight="1">
      <c r="A8" s="43">
        <v>1.0</v>
      </c>
      <c r="B8" s="80">
        <v>45764.0</v>
      </c>
      <c r="C8" s="45"/>
      <c r="D8" s="46">
        <v>3279000.0</v>
      </c>
      <c r="E8" s="47" t="s">
        <v>49</v>
      </c>
      <c r="F8" s="48" t="s">
        <v>130</v>
      </c>
      <c r="G8" s="13"/>
      <c r="H8" s="26">
        <v>2.0</v>
      </c>
      <c r="I8" s="49" t="s">
        <v>40</v>
      </c>
      <c r="J8" s="28">
        <f>SUM(J9:J19)</f>
        <v>77759355</v>
      </c>
      <c r="K8" s="13"/>
    </row>
    <row r="9" ht="18.75" customHeight="1">
      <c r="A9" s="50">
        <v>2.0</v>
      </c>
      <c r="B9" s="80">
        <v>45748.0</v>
      </c>
      <c r="C9" s="45"/>
      <c r="D9" s="46">
        <v>1468000.0</v>
      </c>
      <c r="E9" s="47" t="s">
        <v>49</v>
      </c>
      <c r="F9" s="48" t="s">
        <v>50</v>
      </c>
      <c r="G9" s="52"/>
      <c r="H9" s="53">
        <v>2.1</v>
      </c>
      <c r="I9" s="54" t="s">
        <v>42</v>
      </c>
      <c r="J9" s="55">
        <f>SUMIF($E$8:$E$54,2.1,$D$8:$D$45)</f>
        <v>0</v>
      </c>
      <c r="K9" s="13"/>
    </row>
    <row r="10" ht="18.75" customHeight="1">
      <c r="A10" s="50">
        <v>3.0</v>
      </c>
      <c r="B10" s="80">
        <v>45751.0</v>
      </c>
      <c r="C10" s="45"/>
      <c r="D10" s="46">
        <v>5.3002355E7</v>
      </c>
      <c r="E10" s="47" t="s">
        <v>43</v>
      </c>
      <c r="F10" s="48" t="s">
        <v>131</v>
      </c>
      <c r="G10" s="52"/>
      <c r="H10" s="53">
        <v>2.2</v>
      </c>
      <c r="I10" s="54" t="s">
        <v>45</v>
      </c>
      <c r="J10" s="28">
        <f>SUMIF($E$8:$E$54,2.2,$D$8:$D$45)</f>
        <v>53002355</v>
      </c>
      <c r="K10" s="13"/>
    </row>
    <row r="11" ht="18.75" customHeight="1">
      <c r="A11" s="50">
        <v>4.0</v>
      </c>
      <c r="B11" s="80">
        <v>45751.0</v>
      </c>
      <c r="C11" s="45"/>
      <c r="D11" s="46">
        <v>1.39E7</v>
      </c>
      <c r="E11" s="47" t="s">
        <v>60</v>
      </c>
      <c r="F11" s="48" t="s">
        <v>132</v>
      </c>
      <c r="G11" s="52"/>
      <c r="H11" s="53">
        <v>2.3</v>
      </c>
      <c r="I11" s="54" t="s">
        <v>48</v>
      </c>
      <c r="J11" s="28">
        <f>SUMIF($E$8:$E$54,2.3,$D$8:$D$45)</f>
        <v>0</v>
      </c>
      <c r="K11" s="13"/>
    </row>
    <row r="12" ht="18.75" customHeight="1">
      <c r="A12" s="50">
        <v>5.0</v>
      </c>
      <c r="B12" s="80">
        <v>45756.0</v>
      </c>
      <c r="C12" s="56"/>
      <c r="D12" s="46">
        <v>710000.0</v>
      </c>
      <c r="E12" s="47" t="s">
        <v>38</v>
      </c>
      <c r="F12" s="48" t="s">
        <v>133</v>
      </c>
      <c r="G12" s="52"/>
      <c r="H12" s="53">
        <v>2.4</v>
      </c>
      <c r="I12" s="54" t="s">
        <v>51</v>
      </c>
      <c r="J12" s="28">
        <f>SUMIF($E$8:$E$54,2.4,$D$8:$D$45)</f>
        <v>0</v>
      </c>
      <c r="K12" s="13"/>
    </row>
    <row r="13" ht="18.75" customHeight="1">
      <c r="A13" s="50">
        <v>6.0</v>
      </c>
      <c r="B13" s="80">
        <v>45758.0</v>
      </c>
      <c r="C13" s="45"/>
      <c r="D13" s="46">
        <v>5400000.0</v>
      </c>
      <c r="E13" s="58" t="s">
        <v>49</v>
      </c>
      <c r="F13" s="82" t="s">
        <v>134</v>
      </c>
      <c r="G13" s="52"/>
      <c r="H13" s="53">
        <v>2.5</v>
      </c>
      <c r="I13" s="54" t="s">
        <v>53</v>
      </c>
      <c r="J13" s="28">
        <f>SUMIF($E$8:$E$54,2.5,$D$8:$D$45)</f>
        <v>710000</v>
      </c>
      <c r="K13" s="13"/>
    </row>
    <row r="14" ht="18.75" customHeight="1">
      <c r="A14" s="50">
        <v>7.0</v>
      </c>
      <c r="B14" s="83"/>
      <c r="C14" s="45"/>
      <c r="D14" s="56"/>
      <c r="E14" s="84"/>
      <c r="F14" s="85"/>
      <c r="G14" s="52"/>
      <c r="H14" s="53">
        <v>2.6</v>
      </c>
      <c r="I14" s="54" t="s">
        <v>55</v>
      </c>
      <c r="J14" s="28">
        <f>SUMIF($E$8:$E$54,2.6,$D$8:$D$45)</f>
        <v>0</v>
      </c>
      <c r="K14" s="13"/>
    </row>
    <row r="15" ht="18.75" customHeight="1">
      <c r="A15" s="50">
        <v>8.0</v>
      </c>
      <c r="B15" s="83"/>
      <c r="C15" s="45"/>
      <c r="D15" s="56"/>
      <c r="E15" s="84"/>
      <c r="F15" s="85"/>
      <c r="G15" s="52"/>
      <c r="H15" s="53">
        <v>2.7</v>
      </c>
      <c r="I15" s="54" t="s">
        <v>57</v>
      </c>
      <c r="J15" s="28">
        <f>SUMIF($E$8:$E$54,2.7,$D$8:$D$45)</f>
        <v>10147000</v>
      </c>
      <c r="K15" s="13"/>
    </row>
    <row r="16" ht="18.75" customHeight="1">
      <c r="A16" s="50">
        <v>9.0</v>
      </c>
      <c r="B16" s="83"/>
      <c r="C16" s="45"/>
      <c r="D16" s="56"/>
      <c r="E16" s="84"/>
      <c r="F16" s="85"/>
      <c r="G16" s="52"/>
      <c r="H16" s="53">
        <v>2.8</v>
      </c>
      <c r="I16" s="54" t="s">
        <v>59</v>
      </c>
      <c r="J16" s="28">
        <f>SUMIF($E$8:$E$54,2.8,$D$8:$D$45)</f>
        <v>13900000</v>
      </c>
      <c r="K16" s="13"/>
    </row>
    <row r="17" ht="18.75" customHeight="1">
      <c r="A17" s="50">
        <v>10.0</v>
      </c>
      <c r="B17" s="83"/>
      <c r="C17" s="45"/>
      <c r="D17" s="56"/>
      <c r="E17" s="84"/>
      <c r="F17" s="85"/>
      <c r="G17" s="52"/>
      <c r="H17" s="53">
        <v>2.9</v>
      </c>
      <c r="I17" s="54" t="s">
        <v>62</v>
      </c>
      <c r="J17" s="28">
        <f>SUMIF($E$8:$E$54,2.9,$D$8:$D$45)</f>
        <v>0</v>
      </c>
      <c r="K17" s="13"/>
    </row>
    <row r="18" ht="18.75" customHeight="1">
      <c r="A18" s="50">
        <v>11.0</v>
      </c>
      <c r="B18" s="83"/>
      <c r="C18" s="45"/>
      <c r="D18" s="56"/>
      <c r="E18" s="84"/>
      <c r="F18" s="85"/>
      <c r="G18" s="52"/>
      <c r="H18" s="53">
        <v>2.11</v>
      </c>
      <c r="I18" s="54" t="s">
        <v>64</v>
      </c>
      <c r="J18" s="28">
        <f>SUMIF($E$8:$E$54,2.11,$D$8:$D$45)</f>
        <v>0</v>
      </c>
      <c r="K18" s="13"/>
    </row>
    <row r="19" ht="18.75" customHeight="1">
      <c r="A19" s="50">
        <v>12.0</v>
      </c>
      <c r="B19" s="76"/>
      <c r="C19" s="60"/>
      <c r="D19" s="60"/>
      <c r="E19" s="92"/>
      <c r="F19" s="86"/>
      <c r="G19" s="52"/>
      <c r="H19" s="53">
        <v>2.12</v>
      </c>
      <c r="I19" s="54" t="s">
        <v>67</v>
      </c>
      <c r="J19" s="28">
        <f>SUMIF($E$8:$E$54,2.12,$D$8:$D$45)</f>
        <v>0</v>
      </c>
      <c r="K19" s="13"/>
    </row>
    <row r="20" ht="18.75" customHeight="1">
      <c r="A20" s="50">
        <v>13.0</v>
      </c>
      <c r="B20" s="76"/>
      <c r="C20" s="60"/>
      <c r="D20" s="60"/>
      <c r="E20" s="92"/>
      <c r="F20" s="86"/>
      <c r="G20" s="52"/>
      <c r="H20" s="63">
        <v>3.0</v>
      </c>
      <c r="I20" s="64" t="s">
        <v>70</v>
      </c>
      <c r="J20" s="65">
        <f>J3-J8</f>
        <v>-77759355</v>
      </c>
      <c r="K20" s="13"/>
    </row>
    <row r="21" ht="18.75" customHeight="1">
      <c r="A21" s="50">
        <v>14.0</v>
      </c>
      <c r="B21" s="76"/>
      <c r="C21" s="60"/>
      <c r="D21" s="60"/>
      <c r="E21" s="53"/>
      <c r="F21" s="54"/>
      <c r="G21" s="13"/>
      <c r="H21" s="13"/>
      <c r="I21" s="13"/>
      <c r="J21" s="13"/>
      <c r="K21" s="13"/>
    </row>
    <row r="22" ht="18.75" customHeight="1">
      <c r="A22" s="50">
        <v>15.0</v>
      </c>
      <c r="B22" s="76"/>
      <c r="C22" s="60"/>
      <c r="D22" s="60"/>
      <c r="E22" s="53"/>
      <c r="F22" s="54"/>
      <c r="G22" s="13"/>
      <c r="H22" s="14" t="s">
        <v>73</v>
      </c>
      <c r="I22" s="15"/>
      <c r="J22" s="16"/>
      <c r="K22" s="13"/>
    </row>
    <row r="23" ht="18.75" customHeight="1">
      <c r="A23" s="50">
        <v>16.0</v>
      </c>
      <c r="B23" s="76"/>
      <c r="C23" s="60"/>
      <c r="D23" s="60"/>
      <c r="E23" s="53"/>
      <c r="F23" s="54"/>
      <c r="G23" s="52"/>
      <c r="H23" s="54"/>
      <c r="I23" s="64" t="s">
        <v>26</v>
      </c>
      <c r="J23" s="53" t="s">
        <v>27</v>
      </c>
      <c r="K23" s="13"/>
    </row>
    <row r="24" ht="18.75" customHeight="1">
      <c r="A24" s="50">
        <v>17.0</v>
      </c>
      <c r="B24" s="76"/>
      <c r="C24" s="60"/>
      <c r="D24" s="60"/>
      <c r="E24" s="53"/>
      <c r="F24" s="54"/>
      <c r="G24" s="52"/>
      <c r="H24" s="64" t="s">
        <v>76</v>
      </c>
      <c r="I24" s="64" t="s">
        <v>77</v>
      </c>
      <c r="J24" s="67">
        <v>0.0</v>
      </c>
      <c r="K24" s="13"/>
    </row>
    <row r="25" ht="18.75" customHeight="1">
      <c r="A25" s="50">
        <v>18.0</v>
      </c>
      <c r="B25" s="76"/>
      <c r="C25" s="60"/>
      <c r="D25" s="60"/>
      <c r="E25" s="53"/>
      <c r="F25" s="54"/>
      <c r="G25" s="52"/>
      <c r="H25" s="64" t="s">
        <v>78</v>
      </c>
      <c r="I25" s="64" t="s">
        <v>79</v>
      </c>
      <c r="J25" s="69">
        <f>SUM(J26:J28)</f>
        <v>0</v>
      </c>
      <c r="K25" s="13"/>
    </row>
    <row r="26" ht="18.75" customHeight="1">
      <c r="A26" s="50">
        <v>19.0</v>
      </c>
      <c r="B26" s="76"/>
      <c r="C26" s="60"/>
      <c r="D26" s="60"/>
      <c r="E26" s="53"/>
      <c r="F26" s="54"/>
      <c r="G26" s="52"/>
      <c r="H26" s="54"/>
      <c r="I26" s="54" t="s">
        <v>80</v>
      </c>
      <c r="J26" s="69">
        <f>J3</f>
        <v>0</v>
      </c>
      <c r="K26" s="13"/>
    </row>
    <row r="27" ht="18.75" customHeight="1">
      <c r="A27" s="50">
        <v>20.0</v>
      </c>
      <c r="B27" s="76"/>
      <c r="C27" s="60"/>
      <c r="D27" s="60"/>
      <c r="E27" s="53"/>
      <c r="F27" s="54"/>
      <c r="G27" s="52"/>
      <c r="H27" s="54"/>
      <c r="I27" s="54" t="s">
        <v>81</v>
      </c>
      <c r="J27" s="64"/>
      <c r="K27" s="13"/>
    </row>
    <row r="28" ht="18.75" customHeight="1">
      <c r="A28" s="50">
        <v>21.0</v>
      </c>
      <c r="B28" s="76"/>
      <c r="C28" s="60"/>
      <c r="D28" s="60"/>
      <c r="E28" s="53"/>
      <c r="F28" s="54"/>
      <c r="G28" s="52"/>
      <c r="H28" s="54"/>
      <c r="I28" s="54" t="s">
        <v>82</v>
      </c>
      <c r="J28" s="64"/>
      <c r="K28" s="13"/>
    </row>
    <row r="29" ht="18.75" customHeight="1">
      <c r="A29" s="50">
        <v>22.0</v>
      </c>
      <c r="B29" s="76"/>
      <c r="C29" s="60"/>
      <c r="D29" s="60"/>
      <c r="E29" s="53"/>
      <c r="F29" s="54"/>
      <c r="G29" s="52"/>
      <c r="H29" s="64" t="s">
        <v>83</v>
      </c>
      <c r="I29" s="64" t="s">
        <v>84</v>
      </c>
      <c r="J29" s="69">
        <f>SUM(J30:J41)</f>
        <v>77759355</v>
      </c>
      <c r="K29" s="13"/>
    </row>
    <row r="30" ht="18.75" customHeight="1">
      <c r="A30" s="50">
        <v>23.0</v>
      </c>
      <c r="B30" s="76"/>
      <c r="C30" s="60"/>
      <c r="D30" s="60"/>
      <c r="E30" s="53"/>
      <c r="F30" s="54"/>
      <c r="G30" s="52"/>
      <c r="H30" s="53">
        <v>2.1</v>
      </c>
      <c r="I30" s="54" t="s">
        <v>42</v>
      </c>
      <c r="J30" s="69">
        <f>J9</f>
        <v>0</v>
      </c>
      <c r="K30" s="13"/>
    </row>
    <row r="31" ht="18.75" customHeight="1">
      <c r="A31" s="50">
        <v>24.0</v>
      </c>
      <c r="B31" s="76"/>
      <c r="C31" s="60"/>
      <c r="D31" s="60"/>
      <c r="E31" s="53"/>
      <c r="F31" s="54"/>
      <c r="G31" s="52"/>
      <c r="H31" s="31">
        <v>1.3</v>
      </c>
      <c r="I31" s="54" t="s">
        <v>85</v>
      </c>
      <c r="J31" s="67"/>
      <c r="K31" s="13"/>
    </row>
    <row r="32" ht="18.75" customHeight="1">
      <c r="A32" s="50">
        <v>25.0</v>
      </c>
      <c r="B32" s="76"/>
      <c r="C32" s="60"/>
      <c r="D32" s="60"/>
      <c r="E32" s="53"/>
      <c r="F32" s="54"/>
      <c r="G32" s="52"/>
      <c r="H32" s="53">
        <v>2.2</v>
      </c>
      <c r="I32" s="54" t="s">
        <v>45</v>
      </c>
      <c r="J32" s="69">
        <f t="shared" ref="J32:J41" si="2">J10</f>
        <v>53002355</v>
      </c>
      <c r="K32" s="13"/>
    </row>
    <row r="33" ht="18.75" customHeight="1">
      <c r="A33" s="50">
        <v>26.0</v>
      </c>
      <c r="B33" s="76"/>
      <c r="C33" s="60"/>
      <c r="D33" s="60"/>
      <c r="E33" s="53"/>
      <c r="F33" s="54"/>
      <c r="G33" s="52"/>
      <c r="H33" s="53">
        <v>2.3</v>
      </c>
      <c r="I33" s="54" t="s">
        <v>48</v>
      </c>
      <c r="J33" s="69">
        <f t="shared" si="2"/>
        <v>0</v>
      </c>
      <c r="K33" s="13"/>
    </row>
    <row r="34" ht="18.75" customHeight="1">
      <c r="A34" s="50">
        <v>27.0</v>
      </c>
      <c r="B34" s="76"/>
      <c r="C34" s="60"/>
      <c r="D34" s="60"/>
      <c r="E34" s="53"/>
      <c r="F34" s="54"/>
      <c r="G34" s="52"/>
      <c r="H34" s="53">
        <v>2.4</v>
      </c>
      <c r="I34" s="54" t="s">
        <v>51</v>
      </c>
      <c r="J34" s="69">
        <f t="shared" si="2"/>
        <v>0</v>
      </c>
      <c r="K34" s="13"/>
    </row>
    <row r="35" ht="18.75" customHeight="1">
      <c r="A35" s="50">
        <v>28.0</v>
      </c>
      <c r="B35" s="76"/>
      <c r="C35" s="60"/>
      <c r="D35" s="60"/>
      <c r="E35" s="53"/>
      <c r="F35" s="54"/>
      <c r="G35" s="52"/>
      <c r="H35" s="53">
        <v>2.5</v>
      </c>
      <c r="I35" s="54" t="s">
        <v>53</v>
      </c>
      <c r="J35" s="69">
        <f t="shared" si="2"/>
        <v>710000</v>
      </c>
      <c r="K35" s="13"/>
    </row>
    <row r="36" ht="18.75" customHeight="1">
      <c r="A36" s="50">
        <v>29.0</v>
      </c>
      <c r="B36" s="76"/>
      <c r="C36" s="60"/>
      <c r="D36" s="60"/>
      <c r="E36" s="53"/>
      <c r="F36" s="54"/>
      <c r="G36" s="52"/>
      <c r="H36" s="53">
        <v>2.6</v>
      </c>
      <c r="I36" s="54" t="s">
        <v>55</v>
      </c>
      <c r="J36" s="69">
        <f t="shared" si="2"/>
        <v>0</v>
      </c>
      <c r="K36" s="13"/>
    </row>
    <row r="37" ht="18.75" customHeight="1">
      <c r="A37" s="50">
        <v>30.0</v>
      </c>
      <c r="B37" s="76"/>
      <c r="C37" s="60"/>
      <c r="D37" s="60"/>
      <c r="E37" s="53"/>
      <c r="F37" s="54"/>
      <c r="G37" s="52"/>
      <c r="H37" s="53">
        <v>2.7</v>
      </c>
      <c r="I37" s="54" t="s">
        <v>57</v>
      </c>
      <c r="J37" s="69">
        <f t="shared" si="2"/>
        <v>10147000</v>
      </c>
      <c r="K37" s="13"/>
    </row>
    <row r="38" ht="18.75" customHeight="1">
      <c r="A38" s="50">
        <v>31.0</v>
      </c>
      <c r="B38" s="76"/>
      <c r="C38" s="60"/>
      <c r="D38" s="60"/>
      <c r="E38" s="53"/>
      <c r="F38" s="54"/>
      <c r="G38" s="52"/>
      <c r="H38" s="53">
        <v>2.8</v>
      </c>
      <c r="I38" s="54" t="s">
        <v>59</v>
      </c>
      <c r="J38" s="69">
        <f t="shared" si="2"/>
        <v>13900000</v>
      </c>
      <c r="K38" s="13"/>
    </row>
    <row r="39" ht="18.75" customHeight="1">
      <c r="A39" s="50">
        <v>32.0</v>
      </c>
      <c r="B39" s="76"/>
      <c r="C39" s="60"/>
      <c r="D39" s="60"/>
      <c r="E39" s="53"/>
      <c r="F39" s="54"/>
      <c r="G39" s="52"/>
      <c r="H39" s="53">
        <v>2.9</v>
      </c>
      <c r="I39" s="54" t="s">
        <v>62</v>
      </c>
      <c r="J39" s="69">
        <f t="shared" si="2"/>
        <v>0</v>
      </c>
      <c r="K39" s="13"/>
    </row>
    <row r="40" ht="18.75" customHeight="1">
      <c r="A40" s="50">
        <v>33.0</v>
      </c>
      <c r="B40" s="76"/>
      <c r="C40" s="60"/>
      <c r="D40" s="60"/>
      <c r="E40" s="53"/>
      <c r="F40" s="54"/>
      <c r="G40" s="52"/>
      <c r="H40" s="53">
        <v>2.11</v>
      </c>
      <c r="I40" s="54" t="s">
        <v>64</v>
      </c>
      <c r="J40" s="69">
        <f t="shared" si="2"/>
        <v>0</v>
      </c>
      <c r="K40" s="13"/>
    </row>
    <row r="41" ht="18.75" customHeight="1">
      <c r="A41" s="50">
        <v>34.0</v>
      </c>
      <c r="B41" s="76"/>
      <c r="C41" s="60"/>
      <c r="D41" s="60"/>
      <c r="E41" s="53"/>
      <c r="F41" s="54"/>
      <c r="G41" s="52"/>
      <c r="H41" s="53">
        <v>2.12</v>
      </c>
      <c r="I41" s="54" t="s">
        <v>86</v>
      </c>
      <c r="J41" s="69">
        <f t="shared" si="2"/>
        <v>0</v>
      </c>
      <c r="K41" s="13"/>
    </row>
    <row r="42" ht="18.75" customHeight="1">
      <c r="A42" s="50">
        <v>35.0</v>
      </c>
      <c r="B42" s="76"/>
      <c r="C42" s="60"/>
      <c r="D42" s="60"/>
      <c r="E42" s="53"/>
      <c r="F42" s="54"/>
      <c r="G42" s="52"/>
      <c r="H42" s="64" t="s">
        <v>87</v>
      </c>
      <c r="I42" s="64" t="s">
        <v>5</v>
      </c>
      <c r="J42" s="28">
        <f>J24+J25-J29</f>
        <v>-77759355</v>
      </c>
      <c r="K42" s="13"/>
    </row>
    <row r="43" ht="18.75" customHeight="1">
      <c r="A43" s="50">
        <v>36.0</v>
      </c>
      <c r="B43" s="76"/>
      <c r="C43" s="60"/>
      <c r="D43" s="60"/>
      <c r="E43" s="53"/>
      <c r="F43" s="54"/>
      <c r="G43" s="13"/>
      <c r="H43" s="13"/>
      <c r="I43" s="13"/>
      <c r="J43" s="13"/>
      <c r="K43" s="13"/>
    </row>
    <row r="44" ht="18.75" customHeight="1">
      <c r="A44" s="50">
        <v>37.0</v>
      </c>
      <c r="B44" s="76"/>
      <c r="C44" s="60"/>
      <c r="D44" s="60"/>
      <c r="E44" s="53"/>
      <c r="F44" s="54"/>
      <c r="G44" s="13"/>
      <c r="H44" s="70" t="s">
        <v>88</v>
      </c>
      <c r="I44" s="71"/>
      <c r="J44" s="71"/>
      <c r="K44" s="24"/>
    </row>
    <row r="45" ht="18.75" customHeight="1">
      <c r="A45" s="50">
        <v>38.0</v>
      </c>
      <c r="B45" s="76"/>
      <c r="C45" s="60"/>
      <c r="D45" s="60"/>
      <c r="E45" s="53"/>
      <c r="F45" s="54"/>
      <c r="G45" s="52"/>
      <c r="H45" s="64" t="s">
        <v>25</v>
      </c>
      <c r="I45" s="64" t="s">
        <v>26</v>
      </c>
      <c r="J45" s="53" t="s">
        <v>27</v>
      </c>
      <c r="K45" s="72" t="s">
        <v>89</v>
      </c>
    </row>
    <row r="46" ht="18.75" customHeight="1">
      <c r="A46" s="50">
        <v>39.0</v>
      </c>
      <c r="B46" s="76"/>
      <c r="C46" s="60"/>
      <c r="D46" s="60"/>
      <c r="E46" s="53"/>
      <c r="F46" s="54"/>
      <c r="G46" s="52"/>
      <c r="H46" s="64" t="s">
        <v>76</v>
      </c>
      <c r="I46" s="64" t="s">
        <v>77</v>
      </c>
      <c r="J46" s="69">
        <f>J42</f>
        <v>-77759355</v>
      </c>
      <c r="K46" s="73"/>
    </row>
    <row r="47" ht="18.75" customHeight="1">
      <c r="A47" s="50">
        <v>40.0</v>
      </c>
      <c r="B47" s="76"/>
      <c r="C47" s="60"/>
      <c r="D47" s="60"/>
      <c r="E47" s="53"/>
      <c r="F47" s="54"/>
      <c r="G47" s="52"/>
      <c r="H47" s="64" t="s">
        <v>78</v>
      </c>
      <c r="I47" s="64" t="s">
        <v>79</v>
      </c>
      <c r="J47" s="69">
        <f>SUM(J48:J54)</f>
        <v>247357258</v>
      </c>
      <c r="K47" s="73"/>
    </row>
    <row r="48" ht="18.75" customHeight="1">
      <c r="A48" s="50">
        <v>41.0</v>
      </c>
      <c r="B48" s="76"/>
      <c r="C48" s="54"/>
      <c r="D48" s="60"/>
      <c r="E48" s="53"/>
      <c r="F48" s="54"/>
      <c r="G48" s="52"/>
      <c r="H48" s="54"/>
      <c r="I48" s="54" t="s">
        <v>90</v>
      </c>
      <c r="J48" s="74">
        <v>8.0957397E7</v>
      </c>
      <c r="K48" s="73">
        <v>45869.0</v>
      </c>
    </row>
    <row r="49" ht="18.75" customHeight="1">
      <c r="A49" s="50">
        <v>42.0</v>
      </c>
      <c r="B49" s="76"/>
      <c r="C49" s="54"/>
      <c r="D49" s="60"/>
      <c r="E49" s="53"/>
      <c r="F49" s="54"/>
      <c r="G49" s="52"/>
      <c r="H49" s="54"/>
      <c r="I49" s="54" t="s">
        <v>91</v>
      </c>
      <c r="J49" s="74">
        <v>7.5442464E7</v>
      </c>
      <c r="K49" s="73">
        <v>45869.0</v>
      </c>
    </row>
    <row r="50" ht="18.75" customHeight="1">
      <c r="A50" s="50">
        <v>43.0</v>
      </c>
      <c r="B50" s="76"/>
      <c r="C50" s="54"/>
      <c r="D50" s="60"/>
      <c r="E50" s="53"/>
      <c r="F50" s="54"/>
      <c r="G50" s="52"/>
      <c r="H50" s="54"/>
      <c r="I50" s="54" t="s">
        <v>92</v>
      </c>
      <c r="J50" s="74">
        <v>7.5957397E7</v>
      </c>
      <c r="K50" s="73">
        <v>45869.0</v>
      </c>
    </row>
    <row r="51" ht="18.75" customHeight="1">
      <c r="A51" s="50">
        <v>44.0</v>
      </c>
      <c r="B51" s="76"/>
      <c r="C51" s="54"/>
      <c r="D51" s="60"/>
      <c r="E51" s="53"/>
      <c r="F51" s="54"/>
      <c r="G51" s="52"/>
      <c r="H51" s="54"/>
      <c r="I51" s="54" t="s">
        <v>93</v>
      </c>
      <c r="J51" s="74">
        <v>1.5E7</v>
      </c>
      <c r="K51" s="73">
        <v>45869.0</v>
      </c>
    </row>
    <row r="52" ht="18.75" customHeight="1">
      <c r="A52" s="50">
        <v>45.0</v>
      </c>
      <c r="B52" s="76"/>
      <c r="C52" s="54"/>
      <c r="D52" s="60"/>
      <c r="E52" s="53"/>
      <c r="F52" s="54"/>
      <c r="G52" s="52"/>
      <c r="H52" s="54"/>
      <c r="I52" s="54"/>
      <c r="J52" s="64"/>
      <c r="K52" s="73"/>
    </row>
    <row r="53" ht="18.75" customHeight="1">
      <c r="A53" s="50">
        <v>46.0</v>
      </c>
      <c r="B53" s="76"/>
      <c r="C53" s="54"/>
      <c r="D53" s="60"/>
      <c r="E53" s="53"/>
      <c r="F53" s="54"/>
      <c r="G53" s="52"/>
      <c r="H53" s="54"/>
      <c r="I53" s="54"/>
      <c r="J53" s="64"/>
      <c r="K53" s="73"/>
    </row>
    <row r="54" ht="18.75" customHeight="1">
      <c r="A54" s="50">
        <v>47.0</v>
      </c>
      <c r="B54" s="76"/>
      <c r="C54" s="54"/>
      <c r="D54" s="60"/>
      <c r="E54" s="53"/>
      <c r="F54" s="54"/>
      <c r="G54" s="52"/>
      <c r="H54" s="54"/>
      <c r="I54" s="54"/>
      <c r="J54" s="64"/>
      <c r="K54" s="73"/>
    </row>
    <row r="55" ht="18.75" customHeight="1">
      <c r="A55" s="50">
        <v>48.0</v>
      </c>
      <c r="B55" s="76"/>
      <c r="C55" s="54"/>
      <c r="D55" s="60"/>
      <c r="E55" s="53"/>
      <c r="F55" s="54"/>
      <c r="G55" s="52"/>
      <c r="H55" s="64" t="s">
        <v>83</v>
      </c>
      <c r="I55" s="64" t="s">
        <v>84</v>
      </c>
      <c r="J55" s="74">
        <f>SUM(J56:J65)</f>
        <v>232522117</v>
      </c>
      <c r="K55" s="73"/>
    </row>
    <row r="56" ht="18.75" customHeight="1">
      <c r="A56" s="50">
        <v>49.0</v>
      </c>
      <c r="B56" s="76"/>
      <c r="C56" s="75"/>
      <c r="D56" s="60"/>
      <c r="E56" s="53"/>
      <c r="F56" s="54"/>
      <c r="G56" s="52"/>
      <c r="H56" s="54"/>
      <c r="I56" s="54" t="s">
        <v>94</v>
      </c>
      <c r="J56" s="74">
        <v>8.8398E7</v>
      </c>
      <c r="K56" s="76"/>
    </row>
    <row r="57" ht="18.75" customHeight="1">
      <c r="A57" s="50">
        <v>50.0</v>
      </c>
      <c r="B57" s="76"/>
      <c r="C57" s="54"/>
      <c r="D57" s="60"/>
      <c r="E57" s="53"/>
      <c r="F57" s="54"/>
      <c r="G57" s="52"/>
      <c r="H57" s="54"/>
      <c r="I57" s="54" t="s">
        <v>93</v>
      </c>
      <c r="J57" s="74">
        <v>1.35E7</v>
      </c>
      <c r="K57" s="76"/>
    </row>
    <row r="58" ht="18.75" customHeight="1">
      <c r="A58" s="50">
        <v>51.0</v>
      </c>
      <c r="B58" s="76"/>
      <c r="C58" s="54"/>
      <c r="D58" s="60"/>
      <c r="E58" s="53"/>
      <c r="F58" s="54"/>
      <c r="G58" s="52"/>
      <c r="H58" s="54"/>
      <c r="I58" s="54" t="s">
        <v>95</v>
      </c>
      <c r="J58" s="74">
        <v>6.2276077E7</v>
      </c>
      <c r="K58" s="76"/>
    </row>
    <row r="59" ht="18.75" customHeight="1">
      <c r="A59" s="50">
        <v>52.0</v>
      </c>
      <c r="B59" s="76"/>
      <c r="C59" s="75"/>
      <c r="D59" s="60"/>
      <c r="E59" s="53"/>
      <c r="F59" s="54"/>
      <c r="G59" s="52"/>
      <c r="H59" s="54"/>
      <c r="I59" s="54" t="s">
        <v>96</v>
      </c>
      <c r="J59" s="74">
        <v>5.094804E7</v>
      </c>
      <c r="K59" s="76"/>
    </row>
    <row r="60" ht="18.75" customHeight="1">
      <c r="A60" s="50">
        <v>53.0</v>
      </c>
      <c r="B60" s="76"/>
      <c r="C60" s="54"/>
      <c r="D60" s="60"/>
      <c r="E60" s="53"/>
      <c r="F60" s="54"/>
      <c r="G60" s="52"/>
      <c r="H60" s="54"/>
      <c r="I60" s="54" t="s">
        <v>97</v>
      </c>
      <c r="J60" s="74">
        <v>1.54E7</v>
      </c>
      <c r="K60" s="73"/>
    </row>
    <row r="61" ht="18.75" customHeight="1">
      <c r="A61" s="50">
        <v>54.0</v>
      </c>
      <c r="B61" s="76"/>
      <c r="C61" s="54"/>
      <c r="D61" s="60"/>
      <c r="E61" s="53"/>
      <c r="F61" s="54"/>
      <c r="G61" s="52"/>
      <c r="H61" s="54"/>
      <c r="I61" s="54" t="s">
        <v>98</v>
      </c>
      <c r="J61" s="74">
        <v>2000000.0</v>
      </c>
      <c r="K61" s="73"/>
    </row>
    <row r="62" ht="18.75" customHeight="1">
      <c r="A62" s="50">
        <v>55.0</v>
      </c>
      <c r="B62" s="76"/>
      <c r="C62" s="54"/>
      <c r="D62" s="60"/>
      <c r="E62" s="53"/>
      <c r="F62" s="54"/>
      <c r="G62" s="52"/>
      <c r="H62" s="54"/>
      <c r="I62" s="54"/>
      <c r="J62" s="74"/>
      <c r="K62" s="73"/>
    </row>
    <row r="63" ht="18.75" customHeight="1">
      <c r="A63" s="50">
        <v>56.0</v>
      </c>
      <c r="B63" s="76"/>
      <c r="C63" s="54"/>
      <c r="D63" s="60"/>
      <c r="E63" s="53"/>
      <c r="F63" s="54"/>
      <c r="G63" s="52"/>
      <c r="H63" s="54"/>
      <c r="I63" s="54"/>
      <c r="J63" s="74"/>
      <c r="K63" s="73"/>
    </row>
    <row r="64" ht="18.75" customHeight="1">
      <c r="A64" s="50">
        <v>57.0</v>
      </c>
      <c r="B64" s="76"/>
      <c r="C64" s="54"/>
      <c r="D64" s="60"/>
      <c r="E64" s="53"/>
      <c r="F64" s="54"/>
      <c r="G64" s="52"/>
      <c r="H64" s="54"/>
      <c r="I64" s="54"/>
      <c r="J64" s="74"/>
      <c r="K64" s="73"/>
    </row>
    <row r="65" ht="18.75" customHeight="1">
      <c r="A65" s="50">
        <v>58.0</v>
      </c>
      <c r="B65" s="76"/>
      <c r="C65" s="54"/>
      <c r="D65" s="60"/>
      <c r="E65" s="53"/>
      <c r="F65" s="54"/>
      <c r="G65" s="52"/>
      <c r="H65" s="54"/>
      <c r="I65" s="54"/>
      <c r="J65" s="74"/>
      <c r="K65" s="73"/>
    </row>
    <row r="66" ht="18.75" customHeight="1">
      <c r="A66" s="50">
        <v>59.0</v>
      </c>
      <c r="B66" s="76"/>
      <c r="C66" s="75"/>
      <c r="D66" s="60"/>
      <c r="E66" s="53"/>
      <c r="F66" s="54"/>
      <c r="G66" s="52"/>
      <c r="H66" s="64" t="s">
        <v>87</v>
      </c>
      <c r="I66" s="64" t="s">
        <v>5</v>
      </c>
      <c r="J66" s="28">
        <f>J46+J47-J55</f>
        <v>-62924214</v>
      </c>
      <c r="K66" s="73"/>
    </row>
    <row r="67" ht="18.75" customHeight="1">
      <c r="A67" s="77"/>
      <c r="B67" s="87"/>
      <c r="C67" s="77"/>
      <c r="D67" s="60"/>
      <c r="E67" s="77"/>
      <c r="F67" s="77"/>
      <c r="G67" s="77"/>
      <c r="H67" s="77"/>
      <c r="I67" s="77"/>
      <c r="J67" s="77"/>
      <c r="K67" s="77"/>
    </row>
    <row r="68" ht="18.75" customHeight="1">
      <c r="A68" s="77"/>
      <c r="B68" s="87"/>
      <c r="C68" s="77"/>
      <c r="D68" s="60"/>
      <c r="E68" s="77"/>
      <c r="F68" s="77"/>
      <c r="G68" s="77"/>
      <c r="H68" s="77"/>
      <c r="I68" s="77"/>
      <c r="J68" s="77"/>
      <c r="K68" s="77"/>
    </row>
    <row r="69" ht="18.75" customHeight="1">
      <c r="A69" s="77"/>
      <c r="B69" s="87"/>
      <c r="C69" s="77"/>
      <c r="D69" s="60"/>
      <c r="E69" s="77"/>
      <c r="F69" s="77"/>
      <c r="G69" s="77"/>
      <c r="H69" s="77"/>
      <c r="I69" s="77"/>
      <c r="J69" s="77"/>
      <c r="K69" s="77"/>
    </row>
    <row r="70" ht="18.75" customHeight="1">
      <c r="A70" s="77"/>
      <c r="B70" s="87"/>
      <c r="C70" s="77"/>
      <c r="D70" s="60"/>
      <c r="E70" s="77"/>
      <c r="F70" s="77"/>
      <c r="G70" s="77"/>
      <c r="H70" s="77"/>
      <c r="I70" s="77"/>
      <c r="J70" s="77"/>
      <c r="K70" s="77"/>
    </row>
    <row r="71" ht="18.75" customHeight="1">
      <c r="A71" s="77"/>
      <c r="B71" s="87"/>
      <c r="C71" s="77"/>
      <c r="D71" s="60"/>
      <c r="E71" s="77"/>
      <c r="F71" s="77"/>
      <c r="G71" s="77"/>
      <c r="H71" s="77"/>
      <c r="I71" s="77"/>
      <c r="J71" s="77"/>
      <c r="K71" s="77"/>
    </row>
    <row r="72" ht="18.75" customHeight="1">
      <c r="A72" s="77"/>
      <c r="B72" s="87"/>
      <c r="C72" s="77"/>
      <c r="D72" s="60"/>
      <c r="E72" s="77"/>
      <c r="F72" s="77"/>
      <c r="G72" s="77"/>
      <c r="H72" s="77"/>
      <c r="I72" s="77"/>
      <c r="J72" s="77"/>
      <c r="K72" s="77"/>
    </row>
    <row r="73" ht="18.75" customHeight="1">
      <c r="A73" s="77"/>
      <c r="B73" s="87"/>
      <c r="C73" s="77"/>
      <c r="D73" s="60"/>
      <c r="E73" s="77"/>
      <c r="F73" s="77"/>
      <c r="G73" s="77"/>
      <c r="H73" s="77"/>
      <c r="I73" s="77"/>
      <c r="J73" s="77"/>
      <c r="K73" s="77"/>
    </row>
    <row r="74" ht="18.75" customHeight="1">
      <c r="A74" s="77"/>
      <c r="B74" s="87"/>
      <c r="C74" s="77"/>
      <c r="D74" s="60"/>
      <c r="E74" s="77"/>
      <c r="F74" s="77"/>
      <c r="G74" s="77"/>
      <c r="H74" s="77"/>
      <c r="I74" s="77"/>
      <c r="J74" s="77"/>
      <c r="K74" s="77"/>
    </row>
    <row r="75" ht="18.75" customHeight="1">
      <c r="A75" s="77"/>
      <c r="B75" s="87"/>
      <c r="C75" s="77"/>
      <c r="D75" s="60"/>
      <c r="E75" s="77"/>
      <c r="F75" s="77"/>
      <c r="G75" s="77"/>
      <c r="H75" s="77"/>
      <c r="I75" s="77"/>
      <c r="J75" s="77"/>
      <c r="K75" s="77"/>
    </row>
    <row r="76" ht="18.75" customHeight="1">
      <c r="A76" s="77"/>
      <c r="B76" s="87"/>
      <c r="C76" s="77"/>
      <c r="D76" s="60"/>
      <c r="E76" s="77"/>
      <c r="F76" s="77"/>
      <c r="G76" s="77"/>
      <c r="H76" s="77"/>
      <c r="I76" s="77"/>
      <c r="J76" s="77"/>
      <c r="K76" s="77"/>
    </row>
    <row r="77" ht="18.75" customHeight="1">
      <c r="A77" s="77"/>
      <c r="B77" s="87"/>
      <c r="C77" s="77"/>
      <c r="D77" s="60"/>
      <c r="E77" s="77"/>
      <c r="F77" s="77"/>
      <c r="G77" s="77"/>
      <c r="H77" s="77"/>
      <c r="I77" s="77"/>
      <c r="J77" s="77"/>
      <c r="K77" s="77"/>
    </row>
    <row r="78" ht="18.75" customHeight="1">
      <c r="A78" s="77"/>
      <c r="B78" s="87"/>
      <c r="C78" s="77"/>
      <c r="D78" s="60"/>
      <c r="E78" s="77"/>
      <c r="F78" s="77"/>
      <c r="G78" s="77"/>
      <c r="H78" s="77"/>
      <c r="I78" s="77"/>
      <c r="J78" s="77"/>
      <c r="K78" s="77"/>
    </row>
    <row r="79" ht="18.75" customHeight="1">
      <c r="A79" s="77"/>
      <c r="B79" s="87"/>
      <c r="C79" s="77"/>
      <c r="D79" s="60"/>
      <c r="E79" s="77"/>
      <c r="F79" s="77"/>
      <c r="G79" s="77"/>
      <c r="H79" s="77"/>
      <c r="I79" s="77"/>
      <c r="J79" s="77"/>
      <c r="K79" s="77"/>
    </row>
    <row r="80" ht="18.75" customHeight="1">
      <c r="A80" s="77"/>
      <c r="B80" s="87"/>
      <c r="C80" s="77"/>
      <c r="D80" s="60"/>
      <c r="E80" s="77"/>
      <c r="F80" s="77"/>
      <c r="G80" s="77"/>
      <c r="H80" s="77"/>
      <c r="I80" s="77"/>
      <c r="J80" s="77"/>
      <c r="K80" s="77"/>
    </row>
    <row r="81" ht="18.75" customHeight="1">
      <c r="A81" s="77"/>
      <c r="B81" s="87"/>
      <c r="C81" s="77"/>
      <c r="D81" s="60"/>
      <c r="E81" s="77"/>
      <c r="F81" s="77"/>
      <c r="G81" s="77"/>
      <c r="H81" s="77"/>
      <c r="I81" s="77"/>
      <c r="J81" s="77"/>
      <c r="K81" s="77"/>
    </row>
    <row r="82" ht="18.75" customHeight="1">
      <c r="A82" s="77"/>
      <c r="B82" s="87"/>
      <c r="C82" s="77"/>
      <c r="D82" s="60"/>
      <c r="E82" s="77"/>
      <c r="F82" s="77"/>
      <c r="G82" s="77"/>
      <c r="H82" s="77"/>
      <c r="I82" s="77"/>
      <c r="J82" s="77"/>
      <c r="K82" s="77"/>
    </row>
    <row r="83" ht="18.75" customHeight="1">
      <c r="A83" s="77"/>
      <c r="B83" s="87"/>
      <c r="C83" s="77"/>
      <c r="D83" s="60"/>
      <c r="E83" s="77"/>
      <c r="F83" s="77"/>
      <c r="G83" s="77"/>
      <c r="H83" s="77"/>
      <c r="I83" s="77"/>
      <c r="J83" s="77"/>
      <c r="K83" s="77"/>
    </row>
    <row r="84" ht="18.75" customHeight="1">
      <c r="A84" s="77"/>
      <c r="B84" s="87"/>
      <c r="C84" s="77"/>
      <c r="D84" s="60"/>
      <c r="E84" s="77"/>
      <c r="F84" s="77"/>
      <c r="G84" s="77"/>
      <c r="H84" s="77"/>
      <c r="I84" s="77"/>
      <c r="J84" s="77"/>
      <c r="K84" s="77"/>
    </row>
    <row r="85" ht="18.75" customHeight="1">
      <c r="A85" s="77"/>
      <c r="B85" s="87"/>
      <c r="C85" s="77"/>
      <c r="D85" s="60"/>
      <c r="E85" s="77"/>
      <c r="F85" s="77"/>
      <c r="G85" s="77"/>
      <c r="H85" s="77"/>
      <c r="I85" s="77"/>
      <c r="J85" s="77"/>
      <c r="K85" s="77"/>
    </row>
    <row r="86" ht="18.75" customHeight="1">
      <c r="A86" s="77"/>
      <c r="B86" s="87"/>
      <c r="C86" s="77"/>
      <c r="D86" s="60"/>
      <c r="E86" s="77"/>
      <c r="F86" s="77"/>
      <c r="G86" s="77"/>
      <c r="H86" s="77"/>
      <c r="I86" s="77"/>
      <c r="J86" s="77"/>
      <c r="K86" s="77"/>
    </row>
    <row r="87" ht="18.75" customHeight="1">
      <c r="A87" s="77"/>
      <c r="B87" s="87"/>
      <c r="C87" s="77"/>
      <c r="D87" s="60"/>
      <c r="E87" s="77"/>
      <c r="F87" s="77"/>
      <c r="G87" s="77"/>
      <c r="H87" s="77"/>
      <c r="I87" s="77"/>
      <c r="J87" s="77"/>
      <c r="K87" s="77"/>
    </row>
    <row r="88" ht="18.75" customHeight="1">
      <c r="A88" s="77"/>
      <c r="B88" s="87"/>
      <c r="C88" s="77"/>
      <c r="D88" s="60"/>
      <c r="E88" s="77"/>
      <c r="F88" s="77"/>
      <c r="G88" s="77"/>
      <c r="H88" s="77"/>
      <c r="I88" s="77"/>
      <c r="J88" s="77"/>
      <c r="K88" s="77"/>
    </row>
    <row r="89" ht="18.75" customHeight="1">
      <c r="A89" s="77"/>
      <c r="B89" s="87"/>
      <c r="C89" s="77"/>
      <c r="D89" s="60"/>
      <c r="E89" s="77"/>
      <c r="F89" s="77"/>
      <c r="G89" s="77"/>
      <c r="H89" s="77"/>
      <c r="I89" s="77"/>
      <c r="J89" s="77"/>
      <c r="K89" s="77"/>
    </row>
    <row r="90" ht="18.75" customHeight="1">
      <c r="A90" s="77"/>
      <c r="B90" s="87"/>
      <c r="C90" s="77"/>
      <c r="D90" s="60"/>
      <c r="E90" s="77"/>
      <c r="F90" s="77"/>
      <c r="G90" s="77"/>
      <c r="H90" s="77"/>
      <c r="I90" s="77"/>
      <c r="J90" s="77"/>
      <c r="K90" s="77"/>
    </row>
    <row r="91" ht="18.75" customHeight="1">
      <c r="A91" s="77"/>
      <c r="B91" s="87"/>
      <c r="C91" s="77"/>
      <c r="D91" s="60"/>
      <c r="E91" s="77"/>
      <c r="F91" s="77"/>
      <c r="G91" s="77"/>
      <c r="H91" s="77"/>
      <c r="I91" s="77"/>
      <c r="J91" s="77"/>
      <c r="K91" s="77"/>
    </row>
    <row r="92" ht="18.75" customHeight="1">
      <c r="A92" s="77"/>
      <c r="B92" s="87"/>
      <c r="C92" s="77"/>
      <c r="D92" s="60"/>
      <c r="E92" s="77"/>
      <c r="F92" s="77"/>
      <c r="G92" s="77"/>
      <c r="H92" s="77"/>
      <c r="I92" s="77"/>
      <c r="J92" s="77"/>
      <c r="K92" s="77"/>
    </row>
    <row r="93" ht="18.75" customHeight="1">
      <c r="A93" s="77"/>
      <c r="B93" s="87"/>
      <c r="C93" s="77"/>
      <c r="D93" s="60"/>
      <c r="E93" s="77"/>
      <c r="F93" s="77"/>
      <c r="G93" s="77"/>
      <c r="H93" s="77"/>
      <c r="I93" s="77"/>
      <c r="J93" s="77"/>
      <c r="K93" s="77"/>
    </row>
    <row r="94" ht="18.75" customHeight="1">
      <c r="A94" s="77"/>
      <c r="B94" s="87"/>
      <c r="C94" s="77"/>
      <c r="D94" s="60"/>
      <c r="E94" s="77"/>
      <c r="F94" s="77"/>
      <c r="G94" s="77"/>
      <c r="H94" s="77"/>
      <c r="I94" s="77"/>
      <c r="J94" s="77"/>
      <c r="K94" s="77"/>
    </row>
    <row r="95" ht="18.75" customHeight="1">
      <c r="A95" s="77"/>
      <c r="B95" s="87"/>
      <c r="C95" s="77"/>
      <c r="D95" s="60"/>
      <c r="E95" s="77"/>
      <c r="F95" s="77"/>
      <c r="G95" s="77"/>
      <c r="H95" s="77"/>
      <c r="I95" s="77"/>
      <c r="J95" s="77"/>
      <c r="K95" s="77"/>
    </row>
    <row r="96" ht="18.75" customHeight="1">
      <c r="A96" s="77"/>
      <c r="B96" s="87"/>
      <c r="C96" s="77"/>
      <c r="D96" s="77"/>
      <c r="E96" s="77"/>
      <c r="F96" s="77"/>
      <c r="G96" s="77"/>
      <c r="H96" s="77"/>
      <c r="I96" s="77"/>
      <c r="J96" s="77"/>
      <c r="K96" s="77"/>
    </row>
    <row r="97" ht="18.75" customHeight="1">
      <c r="A97" s="77"/>
      <c r="B97" s="87"/>
      <c r="C97" s="77"/>
      <c r="D97" s="77"/>
      <c r="E97" s="77"/>
      <c r="F97" s="77"/>
      <c r="G97" s="77"/>
      <c r="H97" s="77"/>
      <c r="I97" s="77"/>
      <c r="J97" s="77"/>
      <c r="K97" s="77"/>
    </row>
    <row r="98" ht="18.75" customHeight="1">
      <c r="A98" s="77"/>
      <c r="B98" s="87"/>
      <c r="C98" s="77"/>
      <c r="D98" s="77"/>
      <c r="E98" s="77"/>
      <c r="F98" s="77"/>
      <c r="G98" s="77"/>
      <c r="H98" s="77"/>
      <c r="I98" s="77"/>
      <c r="J98" s="77"/>
      <c r="K98" s="77"/>
    </row>
    <row r="99" ht="18.75" customHeight="1">
      <c r="A99" s="77"/>
      <c r="B99" s="87"/>
      <c r="C99" s="77"/>
      <c r="D99" s="77"/>
      <c r="E99" s="77"/>
      <c r="F99" s="77"/>
      <c r="G99" s="77"/>
      <c r="H99" s="77"/>
      <c r="I99" s="77"/>
      <c r="J99" s="77"/>
      <c r="K99" s="77"/>
    </row>
    <row r="100" ht="18.75" customHeight="1">
      <c r="A100" s="77"/>
      <c r="B100" s="87"/>
      <c r="C100" s="77"/>
      <c r="D100" s="77"/>
      <c r="E100" s="77"/>
      <c r="F100" s="77"/>
      <c r="G100" s="77"/>
      <c r="H100" s="77"/>
      <c r="I100" s="77"/>
      <c r="J100" s="77"/>
      <c r="K100" s="77"/>
    </row>
    <row r="101" ht="18.75" customHeight="1">
      <c r="A101" s="77"/>
      <c r="B101" s="87"/>
      <c r="C101" s="77"/>
      <c r="D101" s="77"/>
      <c r="E101" s="77"/>
      <c r="F101" s="77"/>
      <c r="G101" s="77"/>
      <c r="H101" s="77"/>
      <c r="I101" s="77"/>
      <c r="J101" s="77"/>
      <c r="K101" s="77"/>
    </row>
    <row r="102" ht="18.75" customHeight="1">
      <c r="A102" s="77"/>
      <c r="B102" s="87"/>
      <c r="C102" s="77"/>
      <c r="D102" s="77"/>
      <c r="E102" s="77"/>
      <c r="F102" s="77"/>
      <c r="G102" s="77"/>
      <c r="H102" s="77"/>
      <c r="I102" s="77"/>
      <c r="J102" s="77"/>
      <c r="K102" s="77"/>
    </row>
    <row r="103" ht="18.75" customHeight="1">
      <c r="A103" s="77"/>
      <c r="B103" s="87"/>
      <c r="C103" s="77"/>
      <c r="D103" s="77"/>
      <c r="E103" s="77"/>
      <c r="F103" s="77"/>
      <c r="G103" s="77"/>
      <c r="H103" s="77"/>
      <c r="I103" s="77"/>
      <c r="J103" s="77"/>
      <c r="K103" s="77"/>
    </row>
    <row r="104" ht="18.75" customHeight="1">
      <c r="A104" s="77"/>
      <c r="B104" s="87"/>
      <c r="C104" s="77"/>
      <c r="D104" s="77"/>
      <c r="E104" s="77"/>
      <c r="F104" s="77"/>
      <c r="G104" s="77"/>
      <c r="H104" s="77"/>
      <c r="I104" s="77"/>
      <c r="J104" s="77"/>
      <c r="K104" s="77"/>
    </row>
    <row r="105" ht="18.75" customHeight="1">
      <c r="A105" s="77"/>
      <c r="B105" s="87"/>
      <c r="C105" s="77"/>
      <c r="D105" s="77"/>
      <c r="E105" s="77"/>
      <c r="F105" s="77"/>
      <c r="G105" s="77"/>
      <c r="H105" s="77"/>
      <c r="I105" s="77"/>
      <c r="J105" s="77"/>
      <c r="K105" s="77"/>
    </row>
    <row r="106" ht="18.75" customHeight="1">
      <c r="A106" s="77"/>
      <c r="B106" s="87"/>
      <c r="C106" s="77"/>
      <c r="D106" s="77"/>
      <c r="E106" s="77"/>
      <c r="F106" s="77"/>
      <c r="G106" s="77"/>
      <c r="H106" s="77"/>
      <c r="I106" s="77"/>
      <c r="J106" s="77"/>
      <c r="K106" s="77"/>
    </row>
    <row r="107" ht="18.75" customHeight="1">
      <c r="A107" s="77"/>
      <c r="B107" s="87"/>
      <c r="C107" s="77"/>
      <c r="D107" s="77"/>
      <c r="E107" s="77"/>
      <c r="F107" s="77"/>
      <c r="G107" s="77"/>
      <c r="H107" s="77"/>
      <c r="I107" s="77"/>
      <c r="J107" s="77"/>
      <c r="K107" s="77"/>
    </row>
    <row r="108" ht="18.75" customHeight="1">
      <c r="A108" s="77"/>
      <c r="B108" s="87"/>
      <c r="C108" s="77"/>
      <c r="D108" s="77"/>
      <c r="E108" s="77"/>
      <c r="F108" s="77"/>
      <c r="G108" s="77"/>
      <c r="H108" s="77"/>
      <c r="I108" s="77"/>
      <c r="J108" s="77"/>
      <c r="K108" s="77"/>
    </row>
    <row r="109" ht="18.75" customHeight="1">
      <c r="A109" s="77"/>
      <c r="B109" s="87"/>
      <c r="C109" s="77"/>
      <c r="D109" s="77"/>
      <c r="E109" s="77"/>
      <c r="F109" s="77"/>
      <c r="G109" s="77"/>
      <c r="H109" s="77"/>
      <c r="I109" s="77"/>
      <c r="J109" s="77"/>
      <c r="K109" s="77"/>
    </row>
    <row r="110" ht="18.75" customHeight="1">
      <c r="A110" s="77"/>
      <c r="B110" s="87"/>
      <c r="C110" s="77"/>
      <c r="D110" s="77"/>
      <c r="E110" s="77"/>
      <c r="F110" s="77"/>
      <c r="G110" s="77"/>
      <c r="H110" s="77"/>
      <c r="I110" s="77"/>
      <c r="J110" s="77"/>
      <c r="K110" s="77"/>
    </row>
    <row r="111" ht="18.75" customHeight="1">
      <c r="A111" s="77"/>
      <c r="B111" s="87"/>
      <c r="C111" s="77"/>
      <c r="D111" s="77"/>
      <c r="E111" s="77"/>
      <c r="F111" s="77"/>
      <c r="G111" s="77"/>
      <c r="H111" s="77"/>
      <c r="I111" s="77"/>
      <c r="J111" s="77"/>
      <c r="K111" s="77"/>
    </row>
    <row r="112" ht="18.75" customHeight="1">
      <c r="A112" s="77"/>
      <c r="B112" s="87"/>
      <c r="C112" s="77"/>
      <c r="D112" s="77"/>
      <c r="E112" s="77"/>
      <c r="F112" s="77"/>
      <c r="G112" s="77"/>
      <c r="H112" s="77"/>
      <c r="I112" s="77"/>
      <c r="J112" s="77"/>
      <c r="K112" s="77"/>
    </row>
    <row r="113" ht="18.75" customHeight="1">
      <c r="A113" s="77"/>
      <c r="B113" s="87"/>
      <c r="C113" s="77"/>
      <c r="D113" s="77"/>
      <c r="E113" s="77"/>
      <c r="F113" s="77"/>
      <c r="G113" s="77"/>
      <c r="H113" s="77"/>
      <c r="I113" s="77"/>
      <c r="J113" s="77"/>
      <c r="K113" s="77"/>
    </row>
    <row r="114" ht="18.75" customHeight="1">
      <c r="A114" s="77"/>
      <c r="B114" s="87"/>
      <c r="C114" s="77"/>
      <c r="D114" s="77"/>
      <c r="E114" s="77"/>
      <c r="F114" s="77"/>
      <c r="G114" s="77"/>
      <c r="H114" s="77"/>
      <c r="I114" s="77"/>
      <c r="J114" s="77"/>
      <c r="K114" s="77"/>
    </row>
    <row r="115" ht="18.75" customHeight="1">
      <c r="A115" s="77"/>
      <c r="B115" s="87"/>
      <c r="C115" s="77"/>
      <c r="D115" s="77"/>
      <c r="E115" s="77"/>
      <c r="F115" s="77"/>
      <c r="G115" s="77"/>
      <c r="H115" s="77"/>
      <c r="I115" s="77"/>
      <c r="J115" s="77"/>
      <c r="K115" s="77"/>
    </row>
    <row r="116" ht="18.75" customHeight="1">
      <c r="A116" s="77"/>
      <c r="B116" s="87"/>
      <c r="C116" s="77"/>
      <c r="D116" s="77"/>
      <c r="E116" s="77"/>
      <c r="F116" s="77"/>
      <c r="G116" s="77"/>
      <c r="H116" s="77"/>
      <c r="I116" s="77"/>
      <c r="J116" s="77"/>
      <c r="K116" s="77"/>
    </row>
    <row r="117" ht="18.75" customHeight="1">
      <c r="A117" s="77"/>
      <c r="B117" s="87"/>
      <c r="C117" s="77"/>
      <c r="D117" s="77"/>
      <c r="E117" s="77"/>
      <c r="F117" s="77"/>
      <c r="G117" s="77"/>
      <c r="H117" s="77"/>
      <c r="I117" s="77"/>
      <c r="J117" s="77"/>
      <c r="K117" s="77"/>
    </row>
    <row r="118" ht="18.75" customHeight="1">
      <c r="A118" s="77"/>
      <c r="B118" s="87"/>
      <c r="C118" s="77"/>
      <c r="D118" s="77"/>
      <c r="E118" s="77"/>
      <c r="F118" s="77"/>
      <c r="G118" s="77"/>
      <c r="H118" s="77"/>
      <c r="I118" s="77"/>
      <c r="J118" s="77"/>
      <c r="K118" s="77"/>
    </row>
    <row r="119" ht="18.75" customHeight="1">
      <c r="A119" s="77"/>
      <c r="B119" s="87"/>
      <c r="C119" s="77"/>
      <c r="D119" s="77"/>
      <c r="E119" s="77"/>
      <c r="F119" s="77"/>
      <c r="G119" s="77"/>
      <c r="H119" s="77"/>
      <c r="I119" s="77"/>
      <c r="J119" s="77"/>
      <c r="K119" s="77"/>
    </row>
    <row r="120" ht="18.75" customHeight="1">
      <c r="A120" s="77"/>
      <c r="B120" s="87"/>
      <c r="C120" s="77"/>
      <c r="D120" s="77"/>
      <c r="E120" s="77"/>
      <c r="F120" s="77"/>
      <c r="G120" s="77"/>
      <c r="H120" s="77"/>
      <c r="I120" s="77"/>
      <c r="J120" s="77"/>
      <c r="K120" s="77"/>
    </row>
    <row r="121" ht="18.75" customHeight="1">
      <c r="A121" s="77"/>
      <c r="B121" s="87"/>
      <c r="C121" s="77"/>
      <c r="D121" s="77"/>
      <c r="E121" s="77"/>
      <c r="F121" s="77"/>
      <c r="G121" s="77"/>
      <c r="H121" s="77"/>
      <c r="I121" s="77"/>
      <c r="J121" s="77"/>
      <c r="K121" s="77"/>
    </row>
    <row r="122" ht="18.75" customHeight="1">
      <c r="A122" s="77"/>
      <c r="B122" s="87"/>
      <c r="C122" s="77"/>
      <c r="D122" s="77"/>
      <c r="E122" s="77"/>
      <c r="F122" s="77"/>
      <c r="G122" s="77"/>
      <c r="H122" s="77"/>
      <c r="I122" s="77"/>
      <c r="J122" s="77"/>
      <c r="K122" s="77"/>
    </row>
    <row r="123" ht="18.75" customHeight="1">
      <c r="A123" s="77"/>
      <c r="B123" s="87"/>
      <c r="C123" s="77"/>
      <c r="D123" s="77"/>
      <c r="E123" s="77"/>
      <c r="F123" s="77"/>
      <c r="G123" s="77"/>
      <c r="H123" s="77"/>
      <c r="I123" s="77"/>
      <c r="J123" s="77"/>
      <c r="K123" s="77"/>
    </row>
    <row r="124" ht="18.75" customHeight="1">
      <c r="A124" s="77"/>
      <c r="B124" s="87"/>
      <c r="C124" s="77"/>
      <c r="D124" s="77"/>
      <c r="E124" s="77"/>
      <c r="F124" s="77"/>
      <c r="G124" s="77"/>
      <c r="H124" s="77"/>
      <c r="I124" s="77"/>
      <c r="J124" s="77"/>
      <c r="K124" s="77"/>
    </row>
    <row r="125" ht="18.75" customHeight="1">
      <c r="A125" s="77"/>
      <c r="B125" s="87"/>
      <c r="C125" s="77"/>
      <c r="D125" s="77"/>
      <c r="E125" s="77"/>
      <c r="F125" s="77"/>
      <c r="G125" s="77"/>
      <c r="H125" s="77"/>
      <c r="I125" s="77"/>
      <c r="J125" s="77"/>
      <c r="K125" s="77"/>
    </row>
    <row r="126" ht="18.75" customHeight="1">
      <c r="A126" s="77"/>
      <c r="B126" s="87"/>
      <c r="C126" s="77"/>
      <c r="D126" s="77"/>
      <c r="E126" s="77"/>
      <c r="F126" s="77"/>
      <c r="G126" s="77"/>
      <c r="H126" s="77"/>
      <c r="I126" s="77"/>
      <c r="J126" s="77"/>
      <c r="K126" s="77"/>
    </row>
    <row r="127" ht="18.75" customHeight="1">
      <c r="A127" s="77"/>
      <c r="B127" s="87"/>
      <c r="C127" s="77"/>
      <c r="D127" s="77"/>
      <c r="E127" s="77"/>
      <c r="F127" s="77"/>
      <c r="G127" s="77"/>
      <c r="H127" s="77"/>
      <c r="I127" s="77"/>
      <c r="J127" s="77"/>
      <c r="K127" s="77"/>
    </row>
    <row r="128" ht="18.75" customHeight="1">
      <c r="A128" s="77"/>
      <c r="B128" s="87"/>
      <c r="C128" s="77"/>
      <c r="D128" s="77"/>
      <c r="E128" s="77"/>
      <c r="F128" s="77"/>
      <c r="G128" s="77"/>
      <c r="H128" s="77"/>
      <c r="I128" s="77"/>
      <c r="J128" s="77"/>
      <c r="K128" s="77"/>
    </row>
    <row r="129" ht="18.75" customHeight="1">
      <c r="A129" s="77"/>
      <c r="B129" s="87"/>
      <c r="C129" s="77"/>
      <c r="D129" s="77"/>
      <c r="E129" s="77"/>
      <c r="F129" s="77"/>
      <c r="G129" s="77"/>
      <c r="H129" s="77"/>
      <c r="I129" s="77"/>
      <c r="J129" s="77"/>
      <c r="K129" s="77"/>
    </row>
    <row r="130" ht="18.75" customHeight="1">
      <c r="A130" s="77"/>
      <c r="B130" s="87"/>
      <c r="C130" s="77"/>
      <c r="D130" s="77"/>
      <c r="E130" s="77"/>
      <c r="F130" s="77"/>
      <c r="G130" s="77"/>
      <c r="H130" s="77"/>
      <c r="I130" s="77"/>
      <c r="J130" s="77"/>
      <c r="K130" s="77"/>
    </row>
    <row r="131" ht="18.75" customHeight="1">
      <c r="A131" s="77"/>
      <c r="B131" s="87"/>
      <c r="C131" s="77"/>
      <c r="D131" s="77"/>
      <c r="E131" s="77"/>
      <c r="F131" s="77"/>
      <c r="G131" s="77"/>
      <c r="H131" s="77"/>
      <c r="I131" s="77"/>
      <c r="J131" s="77"/>
      <c r="K131" s="77"/>
    </row>
    <row r="132" ht="18.75" customHeight="1">
      <c r="A132" s="77"/>
      <c r="B132" s="87"/>
      <c r="C132" s="77"/>
      <c r="D132" s="77"/>
      <c r="E132" s="77"/>
      <c r="F132" s="77"/>
      <c r="G132" s="77"/>
      <c r="H132" s="77"/>
      <c r="I132" s="77"/>
      <c r="J132" s="77"/>
      <c r="K132" s="77"/>
    </row>
    <row r="133" ht="18.75" customHeight="1">
      <c r="A133" s="77"/>
      <c r="B133" s="87"/>
      <c r="C133" s="77"/>
      <c r="D133" s="77"/>
      <c r="E133" s="77"/>
      <c r="F133" s="77"/>
      <c r="G133" s="77"/>
      <c r="H133" s="77"/>
      <c r="I133" s="77"/>
      <c r="J133" s="77"/>
      <c r="K133" s="77"/>
    </row>
    <row r="134" ht="18.75" customHeight="1">
      <c r="A134" s="77"/>
      <c r="B134" s="87"/>
      <c r="C134" s="77"/>
      <c r="D134" s="77"/>
      <c r="E134" s="77"/>
      <c r="F134" s="77"/>
      <c r="G134" s="77"/>
      <c r="H134" s="77"/>
      <c r="I134" s="77"/>
      <c r="J134" s="77"/>
      <c r="K134" s="77"/>
    </row>
    <row r="135" ht="18.75" customHeight="1">
      <c r="A135" s="77"/>
      <c r="B135" s="87"/>
      <c r="C135" s="77"/>
      <c r="D135" s="77"/>
      <c r="E135" s="77"/>
      <c r="F135" s="77"/>
      <c r="G135" s="77"/>
      <c r="H135" s="77"/>
      <c r="I135" s="77"/>
      <c r="J135" s="77"/>
      <c r="K135" s="77"/>
    </row>
    <row r="136" ht="18.75" customHeight="1">
      <c r="A136" s="77"/>
      <c r="B136" s="87"/>
      <c r="C136" s="77"/>
      <c r="D136" s="77"/>
      <c r="E136" s="77"/>
      <c r="F136" s="77"/>
      <c r="G136" s="77"/>
      <c r="H136" s="77"/>
      <c r="I136" s="77"/>
      <c r="J136" s="77"/>
      <c r="K136" s="77"/>
    </row>
    <row r="137" ht="18.75" customHeight="1">
      <c r="A137" s="77"/>
      <c r="B137" s="87"/>
      <c r="C137" s="77"/>
      <c r="D137" s="77"/>
      <c r="E137" s="77"/>
      <c r="F137" s="77"/>
      <c r="G137" s="77"/>
      <c r="H137" s="77"/>
      <c r="I137" s="77"/>
      <c r="J137" s="77"/>
      <c r="K137" s="77"/>
    </row>
    <row r="138" ht="18.75" customHeight="1">
      <c r="A138" s="77"/>
      <c r="B138" s="87"/>
      <c r="C138" s="77"/>
      <c r="D138" s="77"/>
      <c r="E138" s="77"/>
      <c r="F138" s="77"/>
      <c r="G138" s="77"/>
      <c r="H138" s="77"/>
      <c r="I138" s="77"/>
      <c r="J138" s="77"/>
      <c r="K138" s="77"/>
    </row>
    <row r="139" ht="18.75" customHeight="1">
      <c r="A139" s="77"/>
      <c r="B139" s="87"/>
      <c r="C139" s="77"/>
      <c r="D139" s="77"/>
      <c r="E139" s="77"/>
      <c r="F139" s="77"/>
      <c r="G139" s="77"/>
      <c r="H139" s="77"/>
      <c r="I139" s="77"/>
      <c r="J139" s="77"/>
      <c r="K139" s="77"/>
    </row>
    <row r="140" ht="18.75" customHeight="1">
      <c r="A140" s="77"/>
      <c r="B140" s="87"/>
      <c r="C140" s="77"/>
      <c r="D140" s="77"/>
      <c r="E140" s="77"/>
      <c r="F140" s="77"/>
      <c r="G140" s="77"/>
      <c r="H140" s="77"/>
      <c r="I140" s="77"/>
      <c r="J140" s="77"/>
      <c r="K140" s="77"/>
    </row>
    <row r="141" ht="18.75" customHeight="1">
      <c r="A141" s="77"/>
      <c r="B141" s="87"/>
      <c r="C141" s="77"/>
      <c r="D141" s="77"/>
      <c r="E141" s="77"/>
      <c r="F141" s="77"/>
      <c r="G141" s="77"/>
      <c r="H141" s="77"/>
      <c r="I141" s="77"/>
      <c r="J141" s="77"/>
      <c r="K141" s="77"/>
    </row>
    <row r="142" ht="18.75" customHeight="1">
      <c r="A142" s="77"/>
      <c r="B142" s="87"/>
      <c r="C142" s="77"/>
      <c r="D142" s="77"/>
      <c r="E142" s="77"/>
      <c r="F142" s="77"/>
      <c r="G142" s="77"/>
      <c r="H142" s="77"/>
      <c r="I142" s="77"/>
      <c r="J142" s="77"/>
      <c r="K142" s="77"/>
    </row>
    <row r="143" ht="18.75" customHeight="1">
      <c r="A143" s="77"/>
      <c r="B143" s="87"/>
      <c r="C143" s="77"/>
      <c r="D143" s="77"/>
      <c r="E143" s="77"/>
      <c r="F143" s="77"/>
      <c r="G143" s="77"/>
      <c r="H143" s="77"/>
      <c r="I143" s="77"/>
      <c r="J143" s="77"/>
      <c r="K143" s="77"/>
    </row>
    <row r="144" ht="18.75" customHeight="1">
      <c r="A144" s="77"/>
      <c r="B144" s="87"/>
      <c r="C144" s="77"/>
      <c r="D144" s="77"/>
      <c r="E144" s="77"/>
      <c r="F144" s="77"/>
      <c r="G144" s="77"/>
      <c r="H144" s="77"/>
      <c r="I144" s="77"/>
      <c r="J144" s="77"/>
      <c r="K144" s="77"/>
    </row>
    <row r="145" ht="18.75" customHeight="1">
      <c r="A145" s="77"/>
      <c r="B145" s="87"/>
      <c r="C145" s="77"/>
      <c r="D145" s="77"/>
      <c r="E145" s="77"/>
      <c r="F145" s="77"/>
      <c r="G145" s="77"/>
      <c r="H145" s="77"/>
      <c r="I145" s="77"/>
      <c r="J145" s="77"/>
      <c r="K145" s="77"/>
    </row>
    <row r="146" ht="18.75" customHeight="1">
      <c r="A146" s="77"/>
      <c r="B146" s="87"/>
      <c r="C146" s="77"/>
      <c r="D146" s="77"/>
      <c r="E146" s="77"/>
      <c r="F146" s="77"/>
      <c r="G146" s="77"/>
      <c r="H146" s="77"/>
      <c r="I146" s="77"/>
      <c r="J146" s="77"/>
      <c r="K146" s="77"/>
    </row>
    <row r="147" ht="18.75" customHeight="1">
      <c r="A147" s="77"/>
      <c r="B147" s="87"/>
      <c r="C147" s="77"/>
      <c r="D147" s="77"/>
      <c r="E147" s="77"/>
      <c r="F147" s="77"/>
      <c r="G147" s="77"/>
      <c r="H147" s="77"/>
      <c r="I147" s="77"/>
      <c r="J147" s="77"/>
      <c r="K147" s="77"/>
    </row>
    <row r="148" ht="18.75" customHeight="1">
      <c r="A148" s="77"/>
      <c r="B148" s="87"/>
      <c r="C148" s="77"/>
      <c r="D148" s="77"/>
      <c r="E148" s="77"/>
      <c r="F148" s="77"/>
      <c r="G148" s="77"/>
      <c r="H148" s="77"/>
      <c r="I148" s="77"/>
      <c r="J148" s="77"/>
      <c r="K148" s="77"/>
    </row>
    <row r="149" ht="18.75" customHeight="1">
      <c r="A149" s="77"/>
      <c r="B149" s="87"/>
      <c r="C149" s="77"/>
      <c r="D149" s="77"/>
      <c r="E149" s="77"/>
      <c r="F149" s="77"/>
      <c r="G149" s="77"/>
      <c r="H149" s="77"/>
      <c r="I149" s="77"/>
      <c r="J149" s="77"/>
      <c r="K149" s="77"/>
    </row>
    <row r="150" ht="18.75" customHeight="1">
      <c r="A150" s="77"/>
      <c r="B150" s="87"/>
      <c r="C150" s="77"/>
      <c r="D150" s="77"/>
      <c r="E150" s="77"/>
      <c r="F150" s="77"/>
      <c r="G150" s="77"/>
      <c r="H150" s="77"/>
      <c r="I150" s="77"/>
      <c r="J150" s="77"/>
      <c r="K150" s="77"/>
    </row>
    <row r="151" ht="18.75" customHeight="1">
      <c r="A151" s="77"/>
      <c r="B151" s="87"/>
      <c r="C151" s="77"/>
      <c r="D151" s="77"/>
      <c r="E151" s="77"/>
      <c r="F151" s="77"/>
      <c r="G151" s="77"/>
      <c r="H151" s="77"/>
      <c r="I151" s="77"/>
      <c r="J151" s="77"/>
      <c r="K151" s="77"/>
    </row>
    <row r="152" ht="18.75" customHeight="1">
      <c r="A152" s="77"/>
      <c r="B152" s="87"/>
      <c r="C152" s="77"/>
      <c r="D152" s="77"/>
      <c r="E152" s="77"/>
      <c r="F152" s="77"/>
      <c r="G152" s="77"/>
      <c r="H152" s="77"/>
      <c r="I152" s="77"/>
      <c r="J152" s="77"/>
      <c r="K152" s="77"/>
    </row>
    <row r="153" ht="18.75" customHeight="1">
      <c r="A153" s="77"/>
      <c r="B153" s="87"/>
      <c r="C153" s="77"/>
      <c r="D153" s="77"/>
      <c r="E153" s="77"/>
      <c r="F153" s="77"/>
      <c r="G153" s="77"/>
      <c r="H153" s="77"/>
      <c r="I153" s="77"/>
      <c r="J153" s="77"/>
      <c r="K153" s="77"/>
    </row>
    <row r="154" ht="18.75" customHeight="1">
      <c r="A154" s="77"/>
      <c r="B154" s="87"/>
      <c r="C154" s="77"/>
      <c r="D154" s="77"/>
      <c r="E154" s="77"/>
      <c r="F154" s="77"/>
      <c r="G154" s="77"/>
      <c r="H154" s="77"/>
      <c r="I154" s="77"/>
      <c r="J154" s="77"/>
      <c r="K154" s="77"/>
    </row>
    <row r="155" ht="18.75" customHeight="1">
      <c r="A155" s="77"/>
      <c r="B155" s="87"/>
      <c r="C155" s="77"/>
      <c r="D155" s="77"/>
      <c r="E155" s="77"/>
      <c r="F155" s="77"/>
      <c r="G155" s="77"/>
      <c r="H155" s="77"/>
      <c r="I155" s="77"/>
      <c r="J155" s="77"/>
      <c r="K155" s="77"/>
    </row>
    <row r="156" ht="18.75" customHeight="1">
      <c r="A156" s="77"/>
      <c r="B156" s="87"/>
      <c r="C156" s="77"/>
      <c r="D156" s="77"/>
      <c r="E156" s="77"/>
      <c r="F156" s="77"/>
      <c r="G156" s="77"/>
      <c r="H156" s="77"/>
      <c r="I156" s="77"/>
      <c r="J156" s="77"/>
      <c r="K156" s="77"/>
    </row>
    <row r="157" ht="18.75" customHeight="1">
      <c r="A157" s="77"/>
      <c r="B157" s="87"/>
      <c r="C157" s="77"/>
      <c r="D157" s="77"/>
      <c r="E157" s="77"/>
      <c r="F157" s="77"/>
      <c r="G157" s="77"/>
      <c r="H157" s="77"/>
      <c r="I157" s="77"/>
      <c r="J157" s="77"/>
      <c r="K157" s="77"/>
    </row>
    <row r="158" ht="18.75" customHeight="1">
      <c r="A158" s="77"/>
      <c r="B158" s="87"/>
      <c r="C158" s="77"/>
      <c r="D158" s="77"/>
      <c r="E158" s="77"/>
      <c r="F158" s="77"/>
      <c r="G158" s="77"/>
      <c r="H158" s="77"/>
      <c r="I158" s="77"/>
      <c r="J158" s="77"/>
      <c r="K158" s="77"/>
    </row>
    <row r="159" ht="18.75" customHeight="1">
      <c r="A159" s="77"/>
      <c r="B159" s="87"/>
      <c r="C159" s="77"/>
      <c r="D159" s="77"/>
      <c r="E159" s="77"/>
      <c r="F159" s="77"/>
      <c r="G159" s="77"/>
      <c r="H159" s="77"/>
      <c r="I159" s="77"/>
      <c r="J159" s="77"/>
      <c r="K159" s="77"/>
    </row>
    <row r="160" ht="18.75" customHeight="1">
      <c r="A160" s="77"/>
      <c r="B160" s="87"/>
      <c r="C160" s="77"/>
      <c r="D160" s="77"/>
      <c r="E160" s="77"/>
      <c r="F160" s="77"/>
      <c r="G160" s="77"/>
      <c r="H160" s="77"/>
      <c r="I160" s="77"/>
      <c r="J160" s="77"/>
      <c r="K160" s="77"/>
    </row>
    <row r="161" ht="18.75" customHeight="1">
      <c r="A161" s="77"/>
      <c r="B161" s="87"/>
      <c r="C161" s="77"/>
      <c r="D161" s="77"/>
      <c r="E161" s="77"/>
      <c r="F161" s="77"/>
      <c r="G161" s="77"/>
      <c r="H161" s="77"/>
      <c r="I161" s="77"/>
      <c r="J161" s="77"/>
      <c r="K161" s="77"/>
    </row>
    <row r="162" ht="18.75" customHeight="1">
      <c r="A162" s="77"/>
      <c r="B162" s="87"/>
      <c r="C162" s="77"/>
      <c r="D162" s="77"/>
      <c r="E162" s="77"/>
      <c r="F162" s="77"/>
      <c r="G162" s="77"/>
      <c r="H162" s="77"/>
      <c r="I162" s="77"/>
      <c r="J162" s="77"/>
      <c r="K162" s="77"/>
    </row>
    <row r="163" ht="18.75" customHeight="1">
      <c r="A163" s="77"/>
      <c r="B163" s="87"/>
      <c r="C163" s="77"/>
      <c r="D163" s="77"/>
      <c r="E163" s="77"/>
      <c r="F163" s="77"/>
      <c r="G163" s="77"/>
      <c r="H163" s="77"/>
      <c r="I163" s="77"/>
      <c r="J163" s="77"/>
      <c r="K163" s="77"/>
    </row>
    <row r="164" ht="18.75" customHeight="1">
      <c r="A164" s="77"/>
      <c r="B164" s="87"/>
      <c r="C164" s="77"/>
      <c r="D164" s="77"/>
      <c r="E164" s="77"/>
      <c r="F164" s="77"/>
      <c r="G164" s="77"/>
      <c r="H164" s="77"/>
      <c r="I164" s="77"/>
      <c r="J164" s="77"/>
      <c r="K164" s="77"/>
    </row>
    <row r="165" ht="18.75" customHeight="1">
      <c r="A165" s="77"/>
      <c r="B165" s="87"/>
      <c r="C165" s="77"/>
      <c r="D165" s="77"/>
      <c r="E165" s="77"/>
      <c r="F165" s="77"/>
      <c r="G165" s="77"/>
      <c r="H165" s="77"/>
      <c r="I165" s="77"/>
      <c r="J165" s="77"/>
      <c r="K165" s="77"/>
    </row>
    <row r="166" ht="18.75" customHeight="1">
      <c r="A166" s="77"/>
      <c r="B166" s="87"/>
      <c r="C166" s="77"/>
      <c r="D166" s="77"/>
      <c r="E166" s="77"/>
      <c r="F166" s="77"/>
      <c r="G166" s="77"/>
      <c r="H166" s="77"/>
      <c r="I166" s="77"/>
      <c r="J166" s="77"/>
      <c r="K166" s="77"/>
    </row>
    <row r="167" ht="18.75" customHeight="1">
      <c r="A167" s="77"/>
      <c r="B167" s="87"/>
      <c r="C167" s="77"/>
      <c r="D167" s="77"/>
      <c r="E167" s="77"/>
      <c r="F167" s="77"/>
      <c r="G167" s="77"/>
      <c r="H167" s="77"/>
      <c r="I167" s="77"/>
      <c r="J167" s="77"/>
      <c r="K167" s="77"/>
    </row>
    <row r="168" ht="18.75" customHeight="1">
      <c r="A168" s="77"/>
      <c r="B168" s="87"/>
      <c r="C168" s="77"/>
      <c r="D168" s="77"/>
      <c r="E168" s="77"/>
      <c r="F168" s="77"/>
      <c r="G168" s="77"/>
      <c r="H168" s="77"/>
      <c r="I168" s="77"/>
      <c r="J168" s="77"/>
      <c r="K168" s="77"/>
    </row>
    <row r="169" ht="18.75" customHeight="1">
      <c r="A169" s="77"/>
      <c r="B169" s="87"/>
      <c r="C169" s="77"/>
      <c r="D169" s="77"/>
      <c r="E169" s="77"/>
      <c r="F169" s="77"/>
      <c r="G169" s="77"/>
      <c r="H169" s="77"/>
      <c r="I169" s="77"/>
      <c r="J169" s="77"/>
      <c r="K169" s="77"/>
    </row>
    <row r="170" ht="18.75" customHeight="1">
      <c r="A170" s="77"/>
      <c r="B170" s="87"/>
      <c r="C170" s="77"/>
      <c r="D170" s="77"/>
      <c r="E170" s="77"/>
      <c r="F170" s="77"/>
      <c r="G170" s="77"/>
      <c r="H170" s="77"/>
      <c r="I170" s="77"/>
      <c r="J170" s="77"/>
      <c r="K170" s="77"/>
    </row>
    <row r="171" ht="18.75" customHeight="1">
      <c r="A171" s="77"/>
      <c r="B171" s="87"/>
      <c r="C171" s="77"/>
      <c r="D171" s="77"/>
      <c r="E171" s="77"/>
      <c r="F171" s="77"/>
      <c r="G171" s="77"/>
      <c r="H171" s="77"/>
      <c r="I171" s="77"/>
      <c r="J171" s="77"/>
      <c r="K171" s="77"/>
    </row>
    <row r="172" ht="18.75" customHeight="1">
      <c r="A172" s="77"/>
      <c r="B172" s="87"/>
      <c r="C172" s="77"/>
      <c r="D172" s="77"/>
      <c r="E172" s="77"/>
      <c r="F172" s="77"/>
      <c r="G172" s="77"/>
      <c r="H172" s="77"/>
      <c r="I172" s="77"/>
      <c r="J172" s="77"/>
      <c r="K172" s="77"/>
    </row>
    <row r="173" ht="18.75" customHeight="1">
      <c r="A173" s="77"/>
      <c r="B173" s="87"/>
      <c r="C173" s="77"/>
      <c r="D173" s="77"/>
      <c r="E173" s="77"/>
      <c r="F173" s="77"/>
      <c r="G173" s="77"/>
      <c r="H173" s="77"/>
      <c r="I173" s="77"/>
      <c r="J173" s="77"/>
      <c r="K173" s="77"/>
    </row>
    <row r="174" ht="18.75" customHeight="1">
      <c r="A174" s="77"/>
      <c r="B174" s="87"/>
      <c r="C174" s="77"/>
      <c r="D174" s="77"/>
      <c r="E174" s="77"/>
      <c r="F174" s="77"/>
      <c r="G174" s="77"/>
      <c r="H174" s="77"/>
      <c r="I174" s="77"/>
      <c r="J174" s="77"/>
      <c r="K174" s="77"/>
    </row>
    <row r="175" ht="18.75" customHeight="1">
      <c r="A175" s="77"/>
      <c r="B175" s="87"/>
      <c r="C175" s="77"/>
      <c r="D175" s="77"/>
      <c r="E175" s="77"/>
      <c r="F175" s="77"/>
      <c r="G175" s="77"/>
      <c r="H175" s="77"/>
      <c r="I175" s="77"/>
      <c r="J175" s="77"/>
      <c r="K175" s="77"/>
    </row>
    <row r="176" ht="18.75" customHeight="1">
      <c r="A176" s="77"/>
      <c r="B176" s="87"/>
      <c r="C176" s="77"/>
      <c r="D176" s="77"/>
      <c r="E176" s="77"/>
      <c r="F176" s="77"/>
      <c r="G176" s="77"/>
      <c r="H176" s="77"/>
      <c r="I176" s="77"/>
      <c r="J176" s="77"/>
      <c r="K176" s="77"/>
    </row>
    <row r="177" ht="18.75" customHeight="1">
      <c r="A177" s="77"/>
      <c r="B177" s="87"/>
      <c r="C177" s="77"/>
      <c r="D177" s="77"/>
      <c r="E177" s="77"/>
      <c r="F177" s="77"/>
      <c r="G177" s="77"/>
      <c r="H177" s="77"/>
      <c r="I177" s="77"/>
      <c r="J177" s="77"/>
      <c r="K177" s="77"/>
    </row>
    <row r="178" ht="18.75" customHeight="1">
      <c r="A178" s="77"/>
      <c r="B178" s="87"/>
      <c r="C178" s="77"/>
      <c r="D178" s="77"/>
      <c r="E178" s="77"/>
      <c r="F178" s="77"/>
      <c r="G178" s="77"/>
      <c r="H178" s="77"/>
      <c r="I178" s="77"/>
      <c r="J178" s="77"/>
      <c r="K178" s="77"/>
    </row>
    <row r="179" ht="18.75" customHeight="1">
      <c r="A179" s="77"/>
      <c r="B179" s="87"/>
      <c r="C179" s="77"/>
      <c r="D179" s="77"/>
      <c r="E179" s="77"/>
      <c r="F179" s="77"/>
      <c r="G179" s="77"/>
      <c r="H179" s="77"/>
      <c r="I179" s="77"/>
      <c r="J179" s="77"/>
      <c r="K179" s="77"/>
    </row>
    <row r="180" ht="18.75" customHeight="1">
      <c r="A180" s="77"/>
      <c r="B180" s="87"/>
      <c r="C180" s="77"/>
      <c r="D180" s="77"/>
      <c r="E180" s="77"/>
      <c r="F180" s="77"/>
      <c r="G180" s="77"/>
      <c r="H180" s="77"/>
      <c r="I180" s="77"/>
      <c r="J180" s="77"/>
      <c r="K180" s="77"/>
    </row>
    <row r="181" ht="18.75" customHeight="1">
      <c r="A181" s="77"/>
      <c r="B181" s="87"/>
      <c r="C181" s="77"/>
      <c r="D181" s="77"/>
      <c r="E181" s="77"/>
      <c r="F181" s="77"/>
      <c r="G181" s="77"/>
      <c r="H181" s="77"/>
      <c r="I181" s="77"/>
      <c r="J181" s="77"/>
      <c r="K181" s="77"/>
    </row>
    <row r="182" ht="18.75" customHeight="1">
      <c r="A182" s="77"/>
      <c r="B182" s="87"/>
      <c r="C182" s="77"/>
      <c r="D182" s="77"/>
      <c r="E182" s="77"/>
      <c r="F182" s="77"/>
      <c r="G182" s="77"/>
      <c r="H182" s="77"/>
      <c r="I182" s="77"/>
      <c r="J182" s="77"/>
      <c r="K182" s="77"/>
    </row>
    <row r="183" ht="18.75" customHeight="1">
      <c r="A183" s="77"/>
      <c r="B183" s="87"/>
      <c r="C183" s="77"/>
      <c r="D183" s="77"/>
      <c r="E183" s="77"/>
      <c r="F183" s="77"/>
      <c r="G183" s="77"/>
      <c r="H183" s="77"/>
      <c r="I183" s="77"/>
      <c r="J183" s="77"/>
      <c r="K183" s="77"/>
    </row>
    <row r="184" ht="18.75" customHeight="1">
      <c r="A184" s="77"/>
      <c r="B184" s="87"/>
      <c r="C184" s="77"/>
      <c r="D184" s="77"/>
      <c r="E184" s="77"/>
      <c r="F184" s="77"/>
      <c r="G184" s="77"/>
      <c r="H184" s="77"/>
      <c r="I184" s="77"/>
      <c r="J184" s="77"/>
      <c r="K184" s="77"/>
    </row>
    <row r="185" ht="18.75" customHeight="1">
      <c r="A185" s="77"/>
      <c r="B185" s="87"/>
      <c r="C185" s="77"/>
      <c r="D185" s="77"/>
      <c r="E185" s="77"/>
      <c r="F185" s="77"/>
      <c r="G185" s="77"/>
      <c r="H185" s="77"/>
      <c r="I185" s="77"/>
      <c r="J185" s="77"/>
      <c r="K185" s="77"/>
    </row>
    <row r="186" ht="18.75" customHeight="1">
      <c r="A186" s="77"/>
      <c r="B186" s="87"/>
      <c r="C186" s="77"/>
      <c r="D186" s="77"/>
      <c r="E186" s="77"/>
      <c r="F186" s="77"/>
      <c r="G186" s="77"/>
      <c r="H186" s="77"/>
      <c r="I186" s="77"/>
      <c r="J186" s="77"/>
      <c r="K186" s="77"/>
    </row>
    <row r="187" ht="18.75" customHeight="1">
      <c r="A187" s="77"/>
      <c r="B187" s="87"/>
      <c r="C187" s="77"/>
      <c r="D187" s="77"/>
      <c r="E187" s="77"/>
      <c r="F187" s="77"/>
      <c r="G187" s="77"/>
      <c r="H187" s="77"/>
      <c r="I187" s="77"/>
      <c r="J187" s="77"/>
      <c r="K187" s="77"/>
    </row>
    <row r="188" ht="18.75" customHeight="1">
      <c r="A188" s="77"/>
      <c r="B188" s="87"/>
      <c r="C188" s="77"/>
      <c r="D188" s="77"/>
      <c r="E188" s="77"/>
      <c r="F188" s="77"/>
      <c r="G188" s="77"/>
      <c r="H188" s="77"/>
      <c r="I188" s="77"/>
      <c r="J188" s="77"/>
      <c r="K188" s="77"/>
    </row>
    <row r="189" ht="18.75" customHeight="1">
      <c r="A189" s="77"/>
      <c r="B189" s="87"/>
      <c r="C189" s="77"/>
      <c r="D189" s="77"/>
      <c r="E189" s="77"/>
      <c r="F189" s="77"/>
      <c r="G189" s="77"/>
      <c r="H189" s="77"/>
      <c r="I189" s="77"/>
      <c r="J189" s="77"/>
      <c r="K189" s="77"/>
    </row>
    <row r="190" ht="18.75" customHeight="1">
      <c r="A190" s="77"/>
      <c r="B190" s="87"/>
      <c r="C190" s="77"/>
      <c r="D190" s="77"/>
      <c r="E190" s="77"/>
      <c r="F190" s="77"/>
      <c r="G190" s="77"/>
      <c r="H190" s="77"/>
      <c r="I190" s="77"/>
      <c r="J190" s="77"/>
      <c r="K190" s="77"/>
    </row>
    <row r="191" ht="18.75" customHeight="1">
      <c r="A191" s="77"/>
      <c r="B191" s="87"/>
      <c r="C191" s="77"/>
      <c r="D191" s="77"/>
      <c r="E191" s="77"/>
      <c r="F191" s="77"/>
      <c r="G191" s="77"/>
      <c r="H191" s="77"/>
      <c r="I191" s="77"/>
      <c r="J191" s="77"/>
      <c r="K191" s="77"/>
    </row>
    <row r="192" ht="18.75" customHeight="1">
      <c r="A192" s="77"/>
      <c r="B192" s="87"/>
      <c r="C192" s="77"/>
      <c r="D192" s="77"/>
      <c r="E192" s="77"/>
      <c r="F192" s="77"/>
      <c r="G192" s="77"/>
      <c r="H192" s="77"/>
      <c r="I192" s="77"/>
      <c r="J192" s="77"/>
      <c r="K192" s="77"/>
    </row>
    <row r="193" ht="18.75" customHeight="1">
      <c r="A193" s="77"/>
      <c r="B193" s="87"/>
      <c r="C193" s="77"/>
      <c r="D193" s="77"/>
      <c r="E193" s="77"/>
      <c r="F193" s="77"/>
      <c r="G193" s="77"/>
      <c r="H193" s="77"/>
      <c r="I193" s="77"/>
      <c r="J193" s="77"/>
      <c r="K193" s="77"/>
    </row>
    <row r="194" ht="18.75" customHeight="1">
      <c r="A194" s="77"/>
      <c r="B194" s="87"/>
      <c r="C194" s="77"/>
      <c r="D194" s="77"/>
      <c r="E194" s="77"/>
      <c r="F194" s="77"/>
      <c r="G194" s="77"/>
      <c r="H194" s="77"/>
      <c r="I194" s="77"/>
      <c r="J194" s="77"/>
      <c r="K194" s="77"/>
    </row>
    <row r="195" ht="18.75" customHeight="1">
      <c r="A195" s="77"/>
      <c r="B195" s="87"/>
      <c r="C195" s="77"/>
      <c r="D195" s="77"/>
      <c r="E195" s="77"/>
      <c r="F195" s="77"/>
      <c r="G195" s="77"/>
      <c r="H195" s="77"/>
      <c r="I195" s="77"/>
      <c r="J195" s="77"/>
      <c r="K195" s="77"/>
    </row>
    <row r="196" ht="18.75" customHeight="1">
      <c r="A196" s="77"/>
      <c r="B196" s="87"/>
      <c r="C196" s="77"/>
      <c r="D196" s="77"/>
      <c r="E196" s="77"/>
      <c r="F196" s="77"/>
      <c r="G196" s="77"/>
      <c r="H196" s="77"/>
      <c r="I196" s="77"/>
      <c r="J196" s="77"/>
      <c r="K196" s="77"/>
    </row>
    <row r="197" ht="18.75" customHeight="1">
      <c r="A197" s="77"/>
      <c r="B197" s="87"/>
      <c r="C197" s="77"/>
      <c r="D197" s="77"/>
      <c r="E197" s="77"/>
      <c r="F197" s="77"/>
      <c r="G197" s="77"/>
      <c r="H197" s="77"/>
      <c r="I197" s="77"/>
      <c r="J197" s="77"/>
      <c r="K197" s="77"/>
    </row>
    <row r="198" ht="18.75" customHeight="1">
      <c r="A198" s="77"/>
      <c r="B198" s="87"/>
      <c r="C198" s="77"/>
      <c r="D198" s="77"/>
      <c r="E198" s="77"/>
      <c r="F198" s="77"/>
      <c r="G198" s="77"/>
      <c r="H198" s="77"/>
      <c r="I198" s="77"/>
      <c r="J198" s="77"/>
      <c r="K198" s="77"/>
    </row>
    <row r="199" ht="18.75" customHeight="1">
      <c r="A199" s="77"/>
      <c r="B199" s="87"/>
      <c r="C199" s="77"/>
      <c r="D199" s="77"/>
      <c r="E199" s="77"/>
      <c r="F199" s="77"/>
      <c r="G199" s="77"/>
      <c r="H199" s="77"/>
      <c r="I199" s="77"/>
      <c r="J199" s="77"/>
      <c r="K199" s="77"/>
    </row>
    <row r="200" ht="18.75" customHeight="1">
      <c r="A200" s="77"/>
      <c r="B200" s="87"/>
      <c r="C200" s="77"/>
      <c r="D200" s="77"/>
      <c r="E200" s="77"/>
      <c r="F200" s="77"/>
      <c r="G200" s="77"/>
      <c r="H200" s="77"/>
      <c r="I200" s="77"/>
      <c r="J200" s="77"/>
      <c r="K200" s="77"/>
    </row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mergeCells count="12">
    <mergeCell ref="C3:D3"/>
    <mergeCell ref="C4:C5"/>
    <mergeCell ref="D4:D5"/>
    <mergeCell ref="H22:J22"/>
    <mergeCell ref="H44:K44"/>
    <mergeCell ref="A1:F1"/>
    <mergeCell ref="H1:J1"/>
    <mergeCell ref="A2:F2"/>
    <mergeCell ref="A3:A6"/>
    <mergeCell ref="B3:B6"/>
    <mergeCell ref="E3:E6"/>
    <mergeCell ref="F3:F6"/>
  </mergeCells>
  <dataValidations>
    <dataValidation type="list" allowBlank="1" showErrorMessage="1" sqref="H4:H6 H9:H19 H30:H41 E19:E200">
      <formula1>"1.1,1.2,1.3,2.1,2.2,2.3,2.4,2.5,2.6,2.7,2.8,2.9,2.11,2.12"</formula1>
    </dataValidation>
    <dataValidation type="list" allowBlank="1" showErrorMessage="1" sqref="E8:E18">
      <formula1>"1,1,1,2,2,1,2,11,2,12,2,2,2,3,2,5,2,6,2,7,2,8,2,9,2,4,1,3"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6.0"/>
    <col customWidth="1" min="2" max="2" width="15.0"/>
    <col customWidth="1" min="3" max="4" width="17.0"/>
    <col customWidth="1" min="5" max="5" width="13.0"/>
    <col customWidth="1" min="6" max="6" width="47.0"/>
    <col customWidth="1" min="7" max="7" width="7.0"/>
    <col customWidth="1" min="8" max="8" width="14.0"/>
    <col customWidth="1" min="9" max="9" width="46.0"/>
    <col customWidth="1" min="10" max="10" width="16.0"/>
    <col customWidth="1" min="11" max="26" width="14.0"/>
  </cols>
  <sheetData>
    <row r="1" ht="18.75" customHeight="1">
      <c r="A1" s="11" t="s">
        <v>22</v>
      </c>
      <c r="F1" s="12"/>
      <c r="G1" s="13"/>
      <c r="H1" s="14" t="s">
        <v>23</v>
      </c>
      <c r="I1" s="15"/>
      <c r="J1" s="16"/>
      <c r="K1" s="13"/>
    </row>
    <row r="2" ht="18.75" customHeight="1">
      <c r="A2" s="17" t="s">
        <v>135</v>
      </c>
      <c r="G2" s="13"/>
      <c r="H2" s="18" t="s">
        <v>25</v>
      </c>
      <c r="I2" s="19" t="s">
        <v>26</v>
      </c>
      <c r="J2" s="20" t="s">
        <v>27</v>
      </c>
      <c r="K2" s="13"/>
    </row>
    <row r="3" ht="18.75" customHeight="1">
      <c r="A3" s="21" t="s">
        <v>28</v>
      </c>
      <c r="B3" s="21" t="s">
        <v>29</v>
      </c>
      <c r="C3" s="23" t="s">
        <v>30</v>
      </c>
      <c r="D3" s="24"/>
      <c r="E3" s="25" t="s">
        <v>25</v>
      </c>
      <c r="F3" s="21" t="s">
        <v>26</v>
      </c>
      <c r="G3" s="13"/>
      <c r="H3" s="26">
        <v>1.0</v>
      </c>
      <c r="I3" s="27" t="s">
        <v>31</v>
      </c>
      <c r="J3" s="28">
        <f>SUM(J4:J6)</f>
        <v>0</v>
      </c>
      <c r="K3" s="13"/>
    </row>
    <row r="4" ht="18.75" customHeight="1">
      <c r="A4" s="29"/>
      <c r="B4" s="29"/>
      <c r="C4" s="21" t="s">
        <v>32</v>
      </c>
      <c r="D4" s="21" t="s">
        <v>33</v>
      </c>
      <c r="E4" s="30"/>
      <c r="F4" s="29"/>
      <c r="G4" s="13"/>
      <c r="H4" s="31">
        <v>1.1</v>
      </c>
      <c r="I4" s="32" t="s">
        <v>34</v>
      </c>
      <c r="J4" s="28">
        <f>SUMIF($E$8:$E$54,1.1,$C$8:$C$45)</f>
        <v>0</v>
      </c>
      <c r="K4" s="13"/>
    </row>
    <row r="5" ht="18.75" customHeight="1">
      <c r="A5" s="29"/>
      <c r="B5" s="29"/>
      <c r="C5" s="33"/>
      <c r="D5" s="33"/>
      <c r="E5" s="30"/>
      <c r="F5" s="29"/>
      <c r="G5" s="13"/>
      <c r="H5" s="31">
        <v>1.2</v>
      </c>
      <c r="I5" s="32" t="s">
        <v>35</v>
      </c>
      <c r="J5" s="28">
        <f>SUMIF($E$8:$E$54,1.2,$C$8:$C$45)</f>
        <v>0</v>
      </c>
      <c r="K5" s="13"/>
    </row>
    <row r="6" ht="18.75" customHeight="1">
      <c r="A6" s="33"/>
      <c r="B6" s="33"/>
      <c r="C6" s="34"/>
      <c r="D6" s="34"/>
      <c r="E6" s="35"/>
      <c r="F6" s="33"/>
      <c r="G6" s="13"/>
      <c r="H6" s="31">
        <v>1.3</v>
      </c>
      <c r="I6" s="32" t="s">
        <v>36</v>
      </c>
      <c r="J6" s="28">
        <f>SUMIF($E$8:$E$54,1.3,$C$8:$C$45)</f>
        <v>0</v>
      </c>
      <c r="K6" s="13"/>
    </row>
    <row r="7" ht="21.75" customHeight="1">
      <c r="A7" s="36"/>
      <c r="B7" s="37"/>
      <c r="C7" s="38">
        <f t="shared" ref="C7:D7" si="1">SUM(C8:C100)</f>
        <v>0</v>
      </c>
      <c r="D7" s="38">
        <f t="shared" si="1"/>
        <v>96031632</v>
      </c>
      <c r="E7" s="39"/>
      <c r="F7" s="40"/>
      <c r="G7" s="40" t="s">
        <v>37</v>
      </c>
      <c r="H7" s="41"/>
      <c r="I7" s="40"/>
      <c r="J7" s="42"/>
      <c r="K7" s="40"/>
    </row>
    <row r="8" ht="18.75" customHeight="1">
      <c r="A8" s="43">
        <v>1.0</v>
      </c>
      <c r="B8" s="80">
        <v>45806.0</v>
      </c>
      <c r="C8" s="45"/>
      <c r="D8" s="46">
        <v>2646000.0</v>
      </c>
      <c r="E8" s="47" t="s">
        <v>49</v>
      </c>
      <c r="F8" s="48" t="s">
        <v>50</v>
      </c>
      <c r="G8" s="13"/>
      <c r="H8" s="26">
        <v>2.0</v>
      </c>
      <c r="I8" s="49" t="s">
        <v>40</v>
      </c>
      <c r="J8" s="28">
        <f>SUM(J9:J19)</f>
        <v>96031632</v>
      </c>
      <c r="K8" s="13"/>
    </row>
    <row r="9" ht="18.75" customHeight="1">
      <c r="A9" s="50">
        <v>2.0</v>
      </c>
      <c r="B9" s="80">
        <v>45779.0</v>
      </c>
      <c r="C9" s="45"/>
      <c r="D9" s="51">
        <v>6.3076632E7</v>
      </c>
      <c r="E9" s="47" t="s">
        <v>43</v>
      </c>
      <c r="F9" s="48" t="s">
        <v>136</v>
      </c>
      <c r="G9" s="52"/>
      <c r="H9" s="53">
        <v>2.1</v>
      </c>
      <c r="I9" s="54" t="s">
        <v>42</v>
      </c>
      <c r="J9" s="55">
        <f>SUMIF($E$8:$E$54,2.1,$D$8:$D$45)</f>
        <v>0</v>
      </c>
      <c r="K9" s="13"/>
    </row>
    <row r="10" ht="18.75" customHeight="1">
      <c r="A10" s="50">
        <v>3.0</v>
      </c>
      <c r="B10" s="80">
        <v>45787.0</v>
      </c>
      <c r="C10" s="45"/>
      <c r="D10" s="51">
        <v>4000000.0</v>
      </c>
      <c r="E10" s="47" t="s">
        <v>46</v>
      </c>
      <c r="F10" s="48" t="s">
        <v>137</v>
      </c>
      <c r="G10" s="52"/>
      <c r="H10" s="53">
        <v>2.2</v>
      </c>
      <c r="I10" s="54" t="s">
        <v>45</v>
      </c>
      <c r="J10" s="28">
        <f>SUMIF($E$8:$E$54,2.2,$D$8:$D$45)</f>
        <v>63076632</v>
      </c>
      <c r="K10" s="13"/>
    </row>
    <row r="11" ht="18.75" customHeight="1">
      <c r="A11" s="50">
        <v>4.0</v>
      </c>
      <c r="B11" s="80">
        <v>45789.0</v>
      </c>
      <c r="C11" s="45"/>
      <c r="D11" s="51">
        <v>1.0E7</v>
      </c>
      <c r="E11" s="47" t="s">
        <v>46</v>
      </c>
      <c r="F11" s="48" t="s">
        <v>137</v>
      </c>
      <c r="G11" s="52"/>
      <c r="H11" s="53">
        <v>2.3</v>
      </c>
      <c r="I11" s="54" t="s">
        <v>48</v>
      </c>
      <c r="J11" s="28">
        <f>SUMIF($E$8:$E$54,2.3,$D$8:$D$45)</f>
        <v>0</v>
      </c>
      <c r="K11" s="13"/>
    </row>
    <row r="12" ht="18.75" customHeight="1">
      <c r="A12" s="50">
        <v>5.0</v>
      </c>
      <c r="B12" s="80">
        <v>45800.0</v>
      </c>
      <c r="C12" s="56"/>
      <c r="D12" s="51">
        <v>2709000.0</v>
      </c>
      <c r="E12" s="47" t="s">
        <v>46</v>
      </c>
      <c r="F12" s="48" t="s">
        <v>138</v>
      </c>
      <c r="G12" s="52"/>
      <c r="H12" s="53">
        <v>2.4</v>
      </c>
      <c r="I12" s="54" t="s">
        <v>51</v>
      </c>
      <c r="J12" s="28">
        <f>SUMIF($E$8:$E$54,2.4,$D$8:$D$45)</f>
        <v>0</v>
      </c>
      <c r="K12" s="13"/>
    </row>
    <row r="13" ht="18.75" customHeight="1">
      <c r="A13" s="50">
        <v>6.0</v>
      </c>
      <c r="B13" s="80">
        <v>45782.0</v>
      </c>
      <c r="C13" s="51"/>
      <c r="D13" s="51">
        <v>1.36E7</v>
      </c>
      <c r="E13" s="47" t="s">
        <v>60</v>
      </c>
      <c r="F13" s="86" t="s">
        <v>132</v>
      </c>
      <c r="G13" s="52"/>
      <c r="H13" s="53">
        <v>2.5</v>
      </c>
      <c r="I13" s="54" t="s">
        <v>53</v>
      </c>
      <c r="J13" s="28">
        <f>SUMIF($E$8:$E$54,2.5,$D$8:$D$45)</f>
        <v>0</v>
      </c>
      <c r="K13" s="13"/>
    </row>
    <row r="14" ht="18.75" customHeight="1">
      <c r="A14" s="50">
        <v>7.0</v>
      </c>
      <c r="B14" s="83"/>
      <c r="C14" s="51"/>
      <c r="D14" s="51"/>
      <c r="E14" s="84"/>
      <c r="F14" s="85"/>
      <c r="G14" s="52"/>
      <c r="H14" s="53">
        <v>2.6</v>
      </c>
      <c r="I14" s="54" t="s">
        <v>55</v>
      </c>
      <c r="J14" s="28">
        <f>SUMIF($E$8:$E$54,2.6,$D$8:$D$45)</f>
        <v>16709000</v>
      </c>
      <c r="K14" s="13"/>
    </row>
    <row r="15" ht="18.75" customHeight="1">
      <c r="A15" s="50">
        <v>8.0</v>
      </c>
      <c r="B15" s="83"/>
      <c r="C15" s="51"/>
      <c r="D15" s="51"/>
      <c r="E15" s="84"/>
      <c r="F15" s="85"/>
      <c r="G15" s="52"/>
      <c r="H15" s="53">
        <v>2.7</v>
      </c>
      <c r="I15" s="54" t="s">
        <v>57</v>
      </c>
      <c r="J15" s="28">
        <f>SUMIF($E$8:$E$54,2.7,$D$8:$D$45)</f>
        <v>2646000</v>
      </c>
      <c r="K15" s="13"/>
    </row>
    <row r="16" ht="18.75" customHeight="1">
      <c r="A16" s="50">
        <v>9.0</v>
      </c>
      <c r="B16" s="83"/>
      <c r="C16" s="51"/>
      <c r="D16" s="51"/>
      <c r="E16" s="84"/>
      <c r="F16" s="85"/>
      <c r="G16" s="52"/>
      <c r="H16" s="53">
        <v>2.8</v>
      </c>
      <c r="I16" s="54" t="s">
        <v>59</v>
      </c>
      <c r="J16" s="28">
        <f>SUMIF($E$8:$E$54,2.8,$D$8:$D$45)</f>
        <v>13600000</v>
      </c>
      <c r="K16" s="13"/>
    </row>
    <row r="17" ht="18.75" customHeight="1">
      <c r="A17" s="50">
        <v>10.0</v>
      </c>
      <c r="B17" s="83"/>
      <c r="C17" s="51"/>
      <c r="D17" s="51"/>
      <c r="E17" s="84"/>
      <c r="F17" s="85"/>
      <c r="G17" s="52"/>
      <c r="H17" s="53">
        <v>2.9</v>
      </c>
      <c r="I17" s="54" t="s">
        <v>62</v>
      </c>
      <c r="J17" s="28">
        <f>SUMIF($E$8:$E$54,2.9,$D$8:$D$45)</f>
        <v>0</v>
      </c>
      <c r="K17" s="13"/>
    </row>
    <row r="18" ht="18.75" customHeight="1">
      <c r="A18" s="50">
        <v>11.0</v>
      </c>
      <c r="B18" s="83"/>
      <c r="C18" s="51"/>
      <c r="D18" s="51"/>
      <c r="E18" s="84"/>
      <c r="F18" s="85"/>
      <c r="G18" s="52"/>
      <c r="H18" s="53">
        <v>2.11</v>
      </c>
      <c r="I18" s="54" t="s">
        <v>64</v>
      </c>
      <c r="J18" s="28">
        <f>SUMIF($E$8:$E$54,2.11,$D$8:$D$45)</f>
        <v>0</v>
      </c>
      <c r="K18" s="13"/>
    </row>
    <row r="19" ht="18.75" customHeight="1">
      <c r="A19" s="50">
        <v>12.0</v>
      </c>
      <c r="B19" s="76"/>
      <c r="C19" s="51"/>
      <c r="D19" s="51"/>
      <c r="E19" s="92"/>
      <c r="F19" s="86"/>
      <c r="G19" s="52"/>
      <c r="H19" s="53">
        <v>2.12</v>
      </c>
      <c r="I19" s="54" t="s">
        <v>67</v>
      </c>
      <c r="J19" s="28">
        <f>SUMIF($E$8:$E$54,2.12,$D$8:$D$45)</f>
        <v>0</v>
      </c>
      <c r="K19" s="13"/>
    </row>
    <row r="20" ht="18.75" customHeight="1">
      <c r="A20" s="50">
        <v>13.0</v>
      </c>
      <c r="B20" s="76"/>
      <c r="C20" s="51"/>
      <c r="D20" s="51"/>
      <c r="E20" s="92"/>
      <c r="F20" s="86"/>
      <c r="G20" s="52"/>
      <c r="H20" s="63">
        <v>3.0</v>
      </c>
      <c r="I20" s="64" t="s">
        <v>70</v>
      </c>
      <c r="J20" s="65">
        <f>J3-J8</f>
        <v>-96031632</v>
      </c>
      <c r="K20" s="13"/>
    </row>
    <row r="21" ht="18.75" customHeight="1">
      <c r="A21" s="50">
        <v>14.0</v>
      </c>
      <c r="B21" s="76"/>
      <c r="C21" s="51"/>
      <c r="D21" s="51"/>
      <c r="E21" s="53"/>
      <c r="F21" s="54"/>
      <c r="G21" s="13"/>
      <c r="H21" s="13"/>
      <c r="I21" s="13"/>
      <c r="J21" s="13"/>
      <c r="K21" s="13"/>
    </row>
    <row r="22" ht="18.75" customHeight="1">
      <c r="A22" s="50">
        <v>15.0</v>
      </c>
      <c r="B22" s="76"/>
      <c r="C22" s="51"/>
      <c r="D22" s="51"/>
      <c r="E22" s="53"/>
      <c r="F22" s="54"/>
      <c r="G22" s="13"/>
      <c r="H22" s="14" t="s">
        <v>73</v>
      </c>
      <c r="I22" s="15"/>
      <c r="J22" s="16"/>
      <c r="K22" s="13"/>
    </row>
    <row r="23" ht="18.75" customHeight="1">
      <c r="A23" s="50">
        <v>16.0</v>
      </c>
      <c r="B23" s="76"/>
      <c r="C23" s="51"/>
      <c r="D23" s="51"/>
      <c r="E23" s="53"/>
      <c r="F23" s="54"/>
      <c r="G23" s="52"/>
      <c r="H23" s="54"/>
      <c r="I23" s="64" t="s">
        <v>26</v>
      </c>
      <c r="J23" s="53" t="s">
        <v>27</v>
      </c>
      <c r="K23" s="13"/>
    </row>
    <row r="24" ht="18.75" customHeight="1">
      <c r="A24" s="50">
        <v>17.0</v>
      </c>
      <c r="B24" s="76"/>
      <c r="C24" s="60"/>
      <c r="D24" s="60"/>
      <c r="E24" s="53"/>
      <c r="F24" s="54"/>
      <c r="G24" s="52"/>
      <c r="H24" s="64" t="s">
        <v>76</v>
      </c>
      <c r="I24" s="64" t="s">
        <v>77</v>
      </c>
      <c r="J24" s="67">
        <v>0.0</v>
      </c>
      <c r="K24" s="13"/>
    </row>
    <row r="25" ht="18.75" customHeight="1">
      <c r="A25" s="50">
        <v>18.0</v>
      </c>
      <c r="B25" s="76"/>
      <c r="C25" s="60"/>
      <c r="D25" s="60"/>
      <c r="E25" s="53"/>
      <c r="F25" s="54"/>
      <c r="G25" s="52"/>
      <c r="H25" s="64" t="s">
        <v>78</v>
      </c>
      <c r="I25" s="64" t="s">
        <v>79</v>
      </c>
      <c r="J25" s="69">
        <f>SUM(J26:J28)</f>
        <v>0</v>
      </c>
      <c r="K25" s="13"/>
    </row>
    <row r="26" ht="18.75" customHeight="1">
      <c r="A26" s="50">
        <v>19.0</v>
      </c>
      <c r="B26" s="76"/>
      <c r="C26" s="60"/>
      <c r="D26" s="60"/>
      <c r="E26" s="53"/>
      <c r="F26" s="54"/>
      <c r="G26" s="52"/>
      <c r="H26" s="54"/>
      <c r="I26" s="54" t="s">
        <v>80</v>
      </c>
      <c r="J26" s="69">
        <f>J3</f>
        <v>0</v>
      </c>
      <c r="K26" s="13"/>
    </row>
    <row r="27" ht="18.75" customHeight="1">
      <c r="A27" s="50">
        <v>20.0</v>
      </c>
      <c r="B27" s="76"/>
      <c r="C27" s="60"/>
      <c r="D27" s="60"/>
      <c r="E27" s="53"/>
      <c r="F27" s="54"/>
      <c r="G27" s="52"/>
      <c r="H27" s="54"/>
      <c r="I27" s="54" t="s">
        <v>81</v>
      </c>
      <c r="J27" s="64"/>
      <c r="K27" s="13"/>
    </row>
    <row r="28" ht="18.75" customHeight="1">
      <c r="A28" s="50">
        <v>21.0</v>
      </c>
      <c r="B28" s="76"/>
      <c r="C28" s="60"/>
      <c r="D28" s="60"/>
      <c r="E28" s="53"/>
      <c r="F28" s="54"/>
      <c r="G28" s="52"/>
      <c r="H28" s="54"/>
      <c r="I28" s="54" t="s">
        <v>82</v>
      </c>
      <c r="J28" s="64"/>
      <c r="K28" s="13"/>
    </row>
    <row r="29" ht="18.75" customHeight="1">
      <c r="A29" s="50">
        <v>22.0</v>
      </c>
      <c r="B29" s="76"/>
      <c r="C29" s="60"/>
      <c r="D29" s="60"/>
      <c r="E29" s="53"/>
      <c r="F29" s="54"/>
      <c r="G29" s="52"/>
      <c r="H29" s="64" t="s">
        <v>83</v>
      </c>
      <c r="I29" s="64" t="s">
        <v>84</v>
      </c>
      <c r="J29" s="69">
        <f>SUM(J30:J41)</f>
        <v>96031632</v>
      </c>
      <c r="K29" s="13"/>
    </row>
    <row r="30" ht="18.75" customHeight="1">
      <c r="A30" s="50">
        <v>23.0</v>
      </c>
      <c r="B30" s="76"/>
      <c r="C30" s="60"/>
      <c r="D30" s="60"/>
      <c r="E30" s="53"/>
      <c r="F30" s="54"/>
      <c r="G30" s="52"/>
      <c r="H30" s="53">
        <v>2.1</v>
      </c>
      <c r="I30" s="54" t="s">
        <v>42</v>
      </c>
      <c r="J30" s="69">
        <f>J9</f>
        <v>0</v>
      </c>
      <c r="K30" s="13"/>
    </row>
    <row r="31" ht="18.75" customHeight="1">
      <c r="A31" s="50">
        <v>24.0</v>
      </c>
      <c r="B31" s="76"/>
      <c r="C31" s="60"/>
      <c r="D31" s="60"/>
      <c r="E31" s="53"/>
      <c r="F31" s="54"/>
      <c r="G31" s="52"/>
      <c r="H31" s="31">
        <v>1.3</v>
      </c>
      <c r="I31" s="54" t="s">
        <v>85</v>
      </c>
      <c r="J31" s="67"/>
      <c r="K31" s="13"/>
    </row>
    <row r="32" ht="18.75" customHeight="1">
      <c r="A32" s="50">
        <v>25.0</v>
      </c>
      <c r="B32" s="76"/>
      <c r="C32" s="60"/>
      <c r="D32" s="60"/>
      <c r="E32" s="53"/>
      <c r="F32" s="54"/>
      <c r="G32" s="52"/>
      <c r="H32" s="53">
        <v>2.2</v>
      </c>
      <c r="I32" s="54" t="s">
        <v>45</v>
      </c>
      <c r="J32" s="69">
        <f t="shared" ref="J32:J41" si="2">J10</f>
        <v>63076632</v>
      </c>
      <c r="K32" s="13"/>
    </row>
    <row r="33" ht="18.75" customHeight="1">
      <c r="A33" s="50">
        <v>26.0</v>
      </c>
      <c r="B33" s="76"/>
      <c r="C33" s="60"/>
      <c r="D33" s="60"/>
      <c r="E33" s="53"/>
      <c r="F33" s="54"/>
      <c r="G33" s="52"/>
      <c r="H33" s="53">
        <v>2.3</v>
      </c>
      <c r="I33" s="54" t="s">
        <v>48</v>
      </c>
      <c r="J33" s="69">
        <f t="shared" si="2"/>
        <v>0</v>
      </c>
      <c r="K33" s="13"/>
    </row>
    <row r="34" ht="18.75" customHeight="1">
      <c r="A34" s="50">
        <v>27.0</v>
      </c>
      <c r="B34" s="76"/>
      <c r="C34" s="60"/>
      <c r="D34" s="60"/>
      <c r="E34" s="53"/>
      <c r="F34" s="54"/>
      <c r="G34" s="52"/>
      <c r="H34" s="53">
        <v>2.4</v>
      </c>
      <c r="I34" s="54" t="s">
        <v>51</v>
      </c>
      <c r="J34" s="69">
        <f t="shared" si="2"/>
        <v>0</v>
      </c>
      <c r="K34" s="13"/>
    </row>
    <row r="35" ht="18.75" customHeight="1">
      <c r="A35" s="50">
        <v>28.0</v>
      </c>
      <c r="B35" s="76"/>
      <c r="C35" s="60"/>
      <c r="D35" s="60"/>
      <c r="E35" s="53"/>
      <c r="F35" s="54"/>
      <c r="G35" s="52"/>
      <c r="H35" s="53">
        <v>2.5</v>
      </c>
      <c r="I35" s="54" t="s">
        <v>53</v>
      </c>
      <c r="J35" s="69">
        <f t="shared" si="2"/>
        <v>0</v>
      </c>
      <c r="K35" s="13"/>
    </row>
    <row r="36" ht="18.75" customHeight="1">
      <c r="A36" s="50">
        <v>29.0</v>
      </c>
      <c r="B36" s="76"/>
      <c r="C36" s="60"/>
      <c r="D36" s="60"/>
      <c r="E36" s="53"/>
      <c r="F36" s="54"/>
      <c r="G36" s="52"/>
      <c r="H36" s="53">
        <v>2.6</v>
      </c>
      <c r="I36" s="54" t="s">
        <v>55</v>
      </c>
      <c r="J36" s="69">
        <f t="shared" si="2"/>
        <v>16709000</v>
      </c>
      <c r="K36" s="13"/>
    </row>
    <row r="37" ht="18.75" customHeight="1">
      <c r="A37" s="50">
        <v>30.0</v>
      </c>
      <c r="B37" s="76"/>
      <c r="C37" s="60"/>
      <c r="D37" s="60"/>
      <c r="E37" s="53"/>
      <c r="F37" s="54"/>
      <c r="G37" s="52"/>
      <c r="H37" s="53">
        <v>2.7</v>
      </c>
      <c r="I37" s="54" t="s">
        <v>57</v>
      </c>
      <c r="J37" s="69">
        <f t="shared" si="2"/>
        <v>2646000</v>
      </c>
      <c r="K37" s="13"/>
    </row>
    <row r="38" ht="18.75" customHeight="1">
      <c r="A38" s="50">
        <v>31.0</v>
      </c>
      <c r="B38" s="76"/>
      <c r="C38" s="60"/>
      <c r="D38" s="60"/>
      <c r="E38" s="53"/>
      <c r="F38" s="54"/>
      <c r="G38" s="52"/>
      <c r="H38" s="53">
        <v>2.8</v>
      </c>
      <c r="I38" s="54" t="s">
        <v>59</v>
      </c>
      <c r="J38" s="69">
        <f t="shared" si="2"/>
        <v>13600000</v>
      </c>
      <c r="K38" s="13"/>
    </row>
    <row r="39" ht="18.75" customHeight="1">
      <c r="A39" s="50">
        <v>32.0</v>
      </c>
      <c r="B39" s="76"/>
      <c r="C39" s="60"/>
      <c r="D39" s="60"/>
      <c r="E39" s="53"/>
      <c r="F39" s="54"/>
      <c r="G39" s="52"/>
      <c r="H39" s="53">
        <v>2.9</v>
      </c>
      <c r="I39" s="54" t="s">
        <v>62</v>
      </c>
      <c r="J39" s="69">
        <f t="shared" si="2"/>
        <v>0</v>
      </c>
      <c r="K39" s="13"/>
    </row>
    <row r="40" ht="18.75" customHeight="1">
      <c r="A40" s="50">
        <v>33.0</v>
      </c>
      <c r="B40" s="76"/>
      <c r="C40" s="60"/>
      <c r="D40" s="60"/>
      <c r="E40" s="53"/>
      <c r="F40" s="54"/>
      <c r="G40" s="52"/>
      <c r="H40" s="53">
        <v>2.11</v>
      </c>
      <c r="I40" s="54" t="s">
        <v>64</v>
      </c>
      <c r="J40" s="69">
        <f t="shared" si="2"/>
        <v>0</v>
      </c>
      <c r="K40" s="13"/>
    </row>
    <row r="41" ht="18.75" customHeight="1">
      <c r="A41" s="50">
        <v>34.0</v>
      </c>
      <c r="B41" s="76"/>
      <c r="C41" s="60"/>
      <c r="D41" s="60"/>
      <c r="E41" s="53"/>
      <c r="F41" s="54"/>
      <c r="G41" s="52"/>
      <c r="H41" s="53">
        <v>2.12</v>
      </c>
      <c r="I41" s="54" t="s">
        <v>86</v>
      </c>
      <c r="J41" s="69">
        <f t="shared" si="2"/>
        <v>0</v>
      </c>
      <c r="K41" s="13"/>
    </row>
    <row r="42" ht="18.75" customHeight="1">
      <c r="A42" s="50">
        <v>35.0</v>
      </c>
      <c r="B42" s="76"/>
      <c r="C42" s="60"/>
      <c r="D42" s="60"/>
      <c r="E42" s="53"/>
      <c r="F42" s="54"/>
      <c r="G42" s="52"/>
      <c r="H42" s="64" t="s">
        <v>87</v>
      </c>
      <c r="I42" s="64" t="s">
        <v>5</v>
      </c>
      <c r="J42" s="28">
        <f>J24+J25-J29</f>
        <v>-96031632</v>
      </c>
      <c r="K42" s="13"/>
    </row>
    <row r="43" ht="18.75" customHeight="1">
      <c r="A43" s="50">
        <v>36.0</v>
      </c>
      <c r="B43" s="76"/>
      <c r="C43" s="60"/>
      <c r="D43" s="60"/>
      <c r="E43" s="53"/>
      <c r="F43" s="54"/>
      <c r="G43" s="13"/>
      <c r="H43" s="13"/>
      <c r="I43" s="13"/>
      <c r="J43" s="13"/>
      <c r="K43" s="13"/>
    </row>
    <row r="44" ht="18.75" customHeight="1">
      <c r="A44" s="50">
        <v>37.0</v>
      </c>
      <c r="B44" s="76"/>
      <c r="C44" s="60"/>
      <c r="D44" s="60"/>
      <c r="E44" s="53"/>
      <c r="F44" s="54"/>
      <c r="G44" s="13"/>
      <c r="H44" s="70" t="s">
        <v>88</v>
      </c>
      <c r="I44" s="71"/>
      <c r="J44" s="71"/>
      <c r="K44" s="24"/>
    </row>
    <row r="45" ht="18.75" customHeight="1">
      <c r="A45" s="50">
        <v>38.0</v>
      </c>
      <c r="B45" s="76"/>
      <c r="C45" s="60"/>
      <c r="D45" s="60"/>
      <c r="E45" s="53"/>
      <c r="F45" s="54"/>
      <c r="G45" s="52"/>
      <c r="H45" s="64" t="s">
        <v>25</v>
      </c>
      <c r="I45" s="64" t="s">
        <v>26</v>
      </c>
      <c r="J45" s="53" t="s">
        <v>27</v>
      </c>
      <c r="K45" s="72" t="s">
        <v>89</v>
      </c>
    </row>
    <row r="46" ht="18.75" customHeight="1">
      <c r="A46" s="50">
        <v>39.0</v>
      </c>
      <c r="B46" s="76"/>
      <c r="C46" s="60"/>
      <c r="D46" s="60"/>
      <c r="E46" s="53"/>
      <c r="F46" s="54"/>
      <c r="G46" s="52"/>
      <c r="H46" s="64" t="s">
        <v>76</v>
      </c>
      <c r="I46" s="64" t="s">
        <v>77</v>
      </c>
      <c r="J46" s="69">
        <f>J42</f>
        <v>-96031632</v>
      </c>
      <c r="K46" s="73"/>
    </row>
    <row r="47" ht="18.75" customHeight="1">
      <c r="A47" s="50">
        <v>40.0</v>
      </c>
      <c r="B47" s="76"/>
      <c r="C47" s="60"/>
      <c r="D47" s="60"/>
      <c r="E47" s="53"/>
      <c r="F47" s="54"/>
      <c r="G47" s="52"/>
      <c r="H47" s="64" t="s">
        <v>78</v>
      </c>
      <c r="I47" s="64" t="s">
        <v>79</v>
      </c>
      <c r="J47" s="69">
        <f>SUM(J48:J54)</f>
        <v>247357258</v>
      </c>
      <c r="K47" s="73"/>
    </row>
    <row r="48" ht="18.75" customHeight="1">
      <c r="A48" s="50">
        <v>41.0</v>
      </c>
      <c r="B48" s="76"/>
      <c r="C48" s="54"/>
      <c r="D48" s="60"/>
      <c r="E48" s="53"/>
      <c r="F48" s="54"/>
      <c r="G48" s="52"/>
      <c r="H48" s="54"/>
      <c r="I48" s="54" t="s">
        <v>90</v>
      </c>
      <c r="J48" s="74">
        <v>8.0957397E7</v>
      </c>
      <c r="K48" s="73">
        <v>45869.0</v>
      </c>
    </row>
    <row r="49" ht="18.75" customHeight="1">
      <c r="A49" s="50">
        <v>42.0</v>
      </c>
      <c r="B49" s="76"/>
      <c r="C49" s="54"/>
      <c r="D49" s="60"/>
      <c r="E49" s="53"/>
      <c r="F49" s="54"/>
      <c r="G49" s="52"/>
      <c r="H49" s="54"/>
      <c r="I49" s="54" t="s">
        <v>91</v>
      </c>
      <c r="J49" s="74">
        <v>7.5442464E7</v>
      </c>
      <c r="K49" s="73">
        <v>45869.0</v>
      </c>
    </row>
    <row r="50" ht="18.75" customHeight="1">
      <c r="A50" s="50">
        <v>43.0</v>
      </c>
      <c r="B50" s="76"/>
      <c r="C50" s="54"/>
      <c r="D50" s="60"/>
      <c r="E50" s="53"/>
      <c r="F50" s="54"/>
      <c r="G50" s="52"/>
      <c r="H50" s="54"/>
      <c r="I50" s="54" t="s">
        <v>92</v>
      </c>
      <c r="J50" s="74">
        <v>7.5957397E7</v>
      </c>
      <c r="K50" s="73">
        <v>45869.0</v>
      </c>
    </row>
    <row r="51" ht="18.75" customHeight="1">
      <c r="A51" s="50">
        <v>44.0</v>
      </c>
      <c r="B51" s="76"/>
      <c r="C51" s="54"/>
      <c r="D51" s="60"/>
      <c r="E51" s="53"/>
      <c r="F51" s="54"/>
      <c r="G51" s="52"/>
      <c r="H51" s="54"/>
      <c r="I51" s="54" t="s">
        <v>93</v>
      </c>
      <c r="J51" s="74">
        <v>1.5E7</v>
      </c>
      <c r="K51" s="73">
        <v>45869.0</v>
      </c>
    </row>
    <row r="52" ht="18.75" customHeight="1">
      <c r="A52" s="50">
        <v>45.0</v>
      </c>
      <c r="B52" s="76"/>
      <c r="C52" s="54"/>
      <c r="D52" s="60"/>
      <c r="E52" s="53"/>
      <c r="F52" s="54"/>
      <c r="G52" s="52"/>
      <c r="H52" s="54"/>
      <c r="I52" s="54"/>
      <c r="J52" s="64"/>
      <c r="K52" s="73"/>
    </row>
    <row r="53" ht="18.75" customHeight="1">
      <c r="A53" s="50">
        <v>46.0</v>
      </c>
      <c r="B53" s="76"/>
      <c r="C53" s="54"/>
      <c r="D53" s="60"/>
      <c r="E53" s="53"/>
      <c r="F53" s="54"/>
      <c r="G53" s="52"/>
      <c r="H53" s="54"/>
      <c r="I53" s="54"/>
      <c r="J53" s="64"/>
      <c r="K53" s="73"/>
    </row>
    <row r="54" ht="18.75" customHeight="1">
      <c r="A54" s="50">
        <v>47.0</v>
      </c>
      <c r="B54" s="76"/>
      <c r="C54" s="54"/>
      <c r="D54" s="60"/>
      <c r="E54" s="53"/>
      <c r="F54" s="54"/>
      <c r="G54" s="52"/>
      <c r="H54" s="54"/>
      <c r="I54" s="54"/>
      <c r="J54" s="64"/>
      <c r="K54" s="73"/>
    </row>
    <row r="55" ht="18.75" customHeight="1">
      <c r="A55" s="50">
        <v>48.0</v>
      </c>
      <c r="B55" s="76"/>
      <c r="C55" s="54"/>
      <c r="D55" s="60"/>
      <c r="E55" s="53"/>
      <c r="F55" s="54"/>
      <c r="G55" s="52"/>
      <c r="H55" s="64" t="s">
        <v>83</v>
      </c>
      <c r="I55" s="64" t="s">
        <v>84</v>
      </c>
      <c r="J55" s="74">
        <f>SUM(J56:J65)</f>
        <v>232522117</v>
      </c>
      <c r="K55" s="73"/>
    </row>
    <row r="56" ht="18.75" customHeight="1">
      <c r="A56" s="50">
        <v>49.0</v>
      </c>
      <c r="B56" s="76"/>
      <c r="C56" s="75"/>
      <c r="D56" s="60"/>
      <c r="E56" s="53"/>
      <c r="F56" s="54"/>
      <c r="G56" s="52"/>
      <c r="H56" s="54"/>
      <c r="I56" s="54" t="s">
        <v>94</v>
      </c>
      <c r="J56" s="74">
        <v>8.8398E7</v>
      </c>
      <c r="K56" s="76"/>
    </row>
    <row r="57" ht="18.75" customHeight="1">
      <c r="A57" s="50">
        <v>50.0</v>
      </c>
      <c r="B57" s="76"/>
      <c r="C57" s="54"/>
      <c r="D57" s="60"/>
      <c r="E57" s="53"/>
      <c r="F57" s="54"/>
      <c r="G57" s="52"/>
      <c r="H57" s="54"/>
      <c r="I57" s="54" t="s">
        <v>93</v>
      </c>
      <c r="J57" s="74">
        <v>1.35E7</v>
      </c>
      <c r="K57" s="76"/>
    </row>
    <row r="58" ht="18.75" customHeight="1">
      <c r="A58" s="50">
        <v>51.0</v>
      </c>
      <c r="B58" s="76"/>
      <c r="C58" s="54"/>
      <c r="D58" s="60"/>
      <c r="E58" s="53"/>
      <c r="F58" s="54"/>
      <c r="G58" s="52"/>
      <c r="H58" s="54"/>
      <c r="I58" s="54" t="s">
        <v>95</v>
      </c>
      <c r="J58" s="74">
        <v>6.2276077E7</v>
      </c>
      <c r="K58" s="76"/>
    </row>
    <row r="59" ht="18.75" customHeight="1">
      <c r="A59" s="50">
        <v>52.0</v>
      </c>
      <c r="B59" s="76"/>
      <c r="C59" s="75"/>
      <c r="D59" s="60"/>
      <c r="E59" s="53"/>
      <c r="F59" s="54"/>
      <c r="G59" s="52"/>
      <c r="H59" s="54"/>
      <c r="I59" s="54" t="s">
        <v>96</v>
      </c>
      <c r="J59" s="74">
        <v>5.094804E7</v>
      </c>
      <c r="K59" s="76"/>
    </row>
    <row r="60" ht="18.75" customHeight="1">
      <c r="A60" s="50">
        <v>53.0</v>
      </c>
      <c r="B60" s="76"/>
      <c r="C60" s="54"/>
      <c r="D60" s="60"/>
      <c r="E60" s="53"/>
      <c r="F60" s="54"/>
      <c r="G60" s="52"/>
      <c r="H60" s="54"/>
      <c r="I60" s="54" t="s">
        <v>97</v>
      </c>
      <c r="J60" s="74">
        <v>1.54E7</v>
      </c>
      <c r="K60" s="73"/>
    </row>
    <row r="61" ht="18.75" customHeight="1">
      <c r="A61" s="50">
        <v>54.0</v>
      </c>
      <c r="B61" s="76"/>
      <c r="C61" s="54"/>
      <c r="D61" s="60"/>
      <c r="E61" s="53"/>
      <c r="F61" s="54"/>
      <c r="G61" s="52"/>
      <c r="H61" s="54"/>
      <c r="I61" s="54" t="s">
        <v>98</v>
      </c>
      <c r="J61" s="74">
        <v>2000000.0</v>
      </c>
      <c r="K61" s="73"/>
    </row>
    <row r="62" ht="18.75" customHeight="1">
      <c r="A62" s="50">
        <v>55.0</v>
      </c>
      <c r="B62" s="76"/>
      <c r="C62" s="54"/>
      <c r="D62" s="60"/>
      <c r="E62" s="53"/>
      <c r="F62" s="54"/>
      <c r="G62" s="52"/>
      <c r="H62" s="54"/>
      <c r="I62" s="54"/>
      <c r="J62" s="74"/>
      <c r="K62" s="73"/>
    </row>
    <row r="63" ht="18.75" customHeight="1">
      <c r="A63" s="50">
        <v>56.0</v>
      </c>
      <c r="B63" s="76"/>
      <c r="C63" s="54"/>
      <c r="D63" s="60"/>
      <c r="E63" s="53"/>
      <c r="F63" s="54"/>
      <c r="G63" s="52"/>
      <c r="H63" s="54"/>
      <c r="I63" s="54"/>
      <c r="J63" s="74"/>
      <c r="K63" s="73"/>
    </row>
    <row r="64" ht="18.75" customHeight="1">
      <c r="A64" s="50">
        <v>57.0</v>
      </c>
      <c r="B64" s="76"/>
      <c r="C64" s="54"/>
      <c r="D64" s="60"/>
      <c r="E64" s="53"/>
      <c r="F64" s="54"/>
      <c r="G64" s="52"/>
      <c r="H64" s="54"/>
      <c r="I64" s="54"/>
      <c r="J64" s="74"/>
      <c r="K64" s="73"/>
    </row>
    <row r="65" ht="18.75" customHeight="1">
      <c r="A65" s="50">
        <v>58.0</v>
      </c>
      <c r="B65" s="76"/>
      <c r="C65" s="54"/>
      <c r="D65" s="60"/>
      <c r="E65" s="53"/>
      <c r="F65" s="54"/>
      <c r="G65" s="52"/>
      <c r="H65" s="54"/>
      <c r="I65" s="54"/>
      <c r="J65" s="74"/>
      <c r="K65" s="73"/>
    </row>
    <row r="66" ht="18.75" customHeight="1">
      <c r="A66" s="50">
        <v>59.0</v>
      </c>
      <c r="B66" s="76"/>
      <c r="C66" s="75"/>
      <c r="D66" s="60"/>
      <c r="E66" s="53"/>
      <c r="F66" s="54"/>
      <c r="G66" s="52"/>
      <c r="H66" s="64" t="s">
        <v>87</v>
      </c>
      <c r="I66" s="64" t="s">
        <v>5</v>
      </c>
      <c r="J66" s="28">
        <f>J46+J47-J55</f>
        <v>-81196491</v>
      </c>
      <c r="K66" s="73"/>
    </row>
    <row r="67" ht="18.75" customHeight="1">
      <c r="A67" s="77"/>
      <c r="B67" s="87"/>
      <c r="C67" s="77"/>
      <c r="D67" s="60"/>
      <c r="E67" s="77"/>
      <c r="F67" s="77"/>
      <c r="G67" s="77"/>
      <c r="H67" s="77"/>
      <c r="I67" s="77"/>
      <c r="J67" s="77"/>
      <c r="K67" s="77"/>
    </row>
    <row r="68" ht="18.75" customHeight="1">
      <c r="A68" s="77"/>
      <c r="B68" s="87"/>
      <c r="C68" s="77"/>
      <c r="D68" s="60"/>
      <c r="E68" s="77"/>
      <c r="F68" s="77"/>
      <c r="G68" s="77"/>
      <c r="H68" s="77"/>
      <c r="I68" s="77"/>
      <c r="J68" s="77"/>
      <c r="K68" s="77"/>
    </row>
    <row r="69" ht="18.75" customHeight="1">
      <c r="A69" s="77"/>
      <c r="B69" s="87"/>
      <c r="C69" s="77"/>
      <c r="D69" s="60"/>
      <c r="E69" s="77"/>
      <c r="F69" s="77"/>
      <c r="G69" s="77"/>
      <c r="H69" s="77"/>
      <c r="I69" s="77"/>
      <c r="J69" s="77"/>
      <c r="K69" s="77"/>
    </row>
    <row r="70" ht="18.75" customHeight="1">
      <c r="A70" s="77"/>
      <c r="B70" s="87"/>
      <c r="C70" s="77"/>
      <c r="D70" s="60"/>
      <c r="E70" s="77"/>
      <c r="F70" s="77"/>
      <c r="G70" s="77"/>
      <c r="H70" s="77"/>
      <c r="I70" s="77"/>
      <c r="J70" s="77"/>
      <c r="K70" s="77"/>
    </row>
    <row r="71" ht="18.75" customHeight="1">
      <c r="A71" s="77"/>
      <c r="B71" s="87"/>
      <c r="C71" s="77"/>
      <c r="D71" s="60"/>
      <c r="E71" s="77"/>
      <c r="F71" s="77"/>
      <c r="G71" s="77"/>
      <c r="H71" s="77"/>
      <c r="I71" s="77"/>
      <c r="J71" s="77"/>
      <c r="K71" s="77"/>
    </row>
    <row r="72" ht="18.75" customHeight="1">
      <c r="A72" s="77"/>
      <c r="B72" s="87"/>
      <c r="C72" s="77"/>
      <c r="D72" s="60"/>
      <c r="E72" s="77"/>
      <c r="F72" s="77"/>
      <c r="G72" s="77"/>
      <c r="H72" s="77"/>
      <c r="I72" s="77"/>
      <c r="J72" s="77"/>
      <c r="K72" s="77"/>
    </row>
    <row r="73" ht="18.75" customHeight="1">
      <c r="A73" s="77"/>
      <c r="B73" s="87"/>
      <c r="C73" s="77"/>
      <c r="D73" s="60"/>
      <c r="E73" s="77"/>
      <c r="F73" s="77"/>
      <c r="G73" s="77"/>
      <c r="H73" s="77"/>
      <c r="I73" s="77"/>
      <c r="J73" s="77"/>
      <c r="K73" s="77"/>
    </row>
    <row r="74" ht="18.75" customHeight="1">
      <c r="A74" s="77"/>
      <c r="B74" s="87"/>
      <c r="C74" s="77"/>
      <c r="D74" s="60"/>
      <c r="E74" s="77"/>
      <c r="F74" s="77"/>
      <c r="G74" s="77"/>
      <c r="H74" s="77"/>
      <c r="I74" s="77"/>
      <c r="J74" s="77"/>
      <c r="K74" s="77"/>
    </row>
    <row r="75" ht="18.75" customHeight="1">
      <c r="A75" s="77"/>
      <c r="B75" s="87"/>
      <c r="C75" s="77"/>
      <c r="D75" s="60"/>
      <c r="E75" s="77"/>
      <c r="F75" s="77"/>
      <c r="G75" s="77"/>
      <c r="H75" s="77"/>
      <c r="I75" s="77"/>
      <c r="J75" s="77"/>
      <c r="K75" s="77"/>
    </row>
    <row r="76" ht="18.75" customHeight="1">
      <c r="A76" s="77"/>
      <c r="B76" s="87"/>
      <c r="C76" s="77"/>
      <c r="D76" s="60"/>
      <c r="E76" s="77"/>
      <c r="F76" s="77"/>
      <c r="G76" s="77"/>
      <c r="H76" s="77"/>
      <c r="I76" s="77"/>
      <c r="J76" s="77"/>
      <c r="K76" s="77"/>
    </row>
    <row r="77" ht="18.75" customHeight="1">
      <c r="A77" s="77"/>
      <c r="B77" s="87"/>
      <c r="C77" s="77"/>
      <c r="D77" s="60"/>
      <c r="E77" s="77"/>
      <c r="F77" s="77"/>
      <c r="G77" s="77"/>
      <c r="H77" s="77"/>
      <c r="I77" s="77"/>
      <c r="J77" s="77"/>
      <c r="K77" s="77"/>
    </row>
    <row r="78" ht="18.75" customHeight="1">
      <c r="A78" s="77"/>
      <c r="B78" s="87"/>
      <c r="C78" s="77"/>
      <c r="D78" s="60"/>
      <c r="E78" s="77"/>
      <c r="F78" s="77"/>
      <c r="G78" s="77"/>
      <c r="H78" s="77"/>
      <c r="I78" s="77"/>
      <c r="J78" s="77"/>
      <c r="K78" s="77"/>
    </row>
    <row r="79" ht="18.75" customHeight="1">
      <c r="A79" s="77"/>
      <c r="B79" s="87"/>
      <c r="C79" s="77"/>
      <c r="D79" s="60"/>
      <c r="E79" s="77"/>
      <c r="F79" s="77"/>
      <c r="G79" s="77"/>
      <c r="H79" s="77"/>
      <c r="I79" s="77"/>
      <c r="J79" s="77"/>
      <c r="K79" s="77"/>
    </row>
    <row r="80" ht="18.75" customHeight="1">
      <c r="A80" s="77"/>
      <c r="B80" s="87"/>
      <c r="C80" s="77"/>
      <c r="D80" s="60"/>
      <c r="E80" s="77"/>
      <c r="F80" s="77"/>
      <c r="G80" s="77"/>
      <c r="H80" s="77"/>
      <c r="I80" s="77"/>
      <c r="J80" s="77"/>
      <c r="K80" s="77"/>
    </row>
    <row r="81" ht="18.75" customHeight="1">
      <c r="A81" s="77"/>
      <c r="B81" s="87"/>
      <c r="C81" s="77"/>
      <c r="D81" s="60"/>
      <c r="E81" s="77"/>
      <c r="F81" s="77"/>
      <c r="G81" s="77"/>
      <c r="H81" s="77"/>
      <c r="I81" s="77"/>
      <c r="J81" s="77"/>
      <c r="K81" s="77"/>
    </row>
    <row r="82" ht="18.75" customHeight="1">
      <c r="A82" s="77"/>
      <c r="B82" s="87"/>
      <c r="C82" s="77"/>
      <c r="D82" s="60"/>
      <c r="E82" s="77"/>
      <c r="F82" s="77"/>
      <c r="G82" s="77"/>
      <c r="H82" s="77"/>
      <c r="I82" s="77"/>
      <c r="J82" s="77"/>
      <c r="K82" s="77"/>
    </row>
    <row r="83" ht="18.75" customHeight="1">
      <c r="A83" s="77"/>
      <c r="B83" s="87"/>
      <c r="C83" s="77"/>
      <c r="D83" s="60"/>
      <c r="E83" s="77"/>
      <c r="F83" s="77"/>
      <c r="G83" s="77"/>
      <c r="H83" s="77"/>
      <c r="I83" s="77"/>
      <c r="J83" s="77"/>
      <c r="K83" s="77"/>
    </row>
    <row r="84" ht="18.75" customHeight="1">
      <c r="A84" s="77"/>
      <c r="B84" s="87"/>
      <c r="C84" s="77"/>
      <c r="D84" s="60"/>
      <c r="E84" s="77"/>
      <c r="F84" s="77"/>
      <c r="G84" s="77"/>
      <c r="H84" s="77"/>
      <c r="I84" s="77"/>
      <c r="J84" s="77"/>
      <c r="K84" s="77"/>
    </row>
    <row r="85" ht="18.75" customHeight="1">
      <c r="A85" s="77"/>
      <c r="B85" s="87"/>
      <c r="C85" s="77"/>
      <c r="D85" s="60"/>
      <c r="E85" s="77"/>
      <c r="F85" s="77"/>
      <c r="G85" s="77"/>
      <c r="H85" s="77"/>
      <c r="I85" s="77"/>
      <c r="J85" s="77"/>
      <c r="K85" s="77"/>
    </row>
    <row r="86" ht="18.75" customHeight="1">
      <c r="A86" s="77"/>
      <c r="B86" s="87"/>
      <c r="C86" s="77"/>
      <c r="D86" s="60"/>
      <c r="E86" s="77"/>
      <c r="F86" s="77"/>
      <c r="G86" s="77"/>
      <c r="H86" s="77"/>
      <c r="I86" s="77"/>
      <c r="J86" s="77"/>
      <c r="K86" s="77"/>
    </row>
    <row r="87" ht="18.75" customHeight="1">
      <c r="A87" s="77"/>
      <c r="B87" s="87"/>
      <c r="C87" s="77"/>
      <c r="D87" s="60"/>
      <c r="E87" s="77"/>
      <c r="F87" s="77"/>
      <c r="G87" s="77"/>
      <c r="H87" s="77"/>
      <c r="I87" s="77"/>
      <c r="J87" s="77"/>
      <c r="K87" s="77"/>
    </row>
    <row r="88" ht="18.75" customHeight="1">
      <c r="A88" s="77"/>
      <c r="B88" s="87"/>
      <c r="C88" s="77"/>
      <c r="D88" s="60"/>
      <c r="E88" s="77"/>
      <c r="F88" s="77"/>
      <c r="G88" s="77"/>
      <c r="H88" s="77"/>
      <c r="I88" s="77"/>
      <c r="J88" s="77"/>
      <c r="K88" s="77"/>
    </row>
    <row r="89" ht="18.75" customHeight="1">
      <c r="A89" s="77"/>
      <c r="B89" s="87"/>
      <c r="C89" s="77"/>
      <c r="D89" s="60"/>
      <c r="E89" s="77"/>
      <c r="F89" s="77"/>
      <c r="G89" s="77"/>
      <c r="H89" s="77"/>
      <c r="I89" s="77"/>
      <c r="J89" s="77"/>
      <c r="K89" s="77"/>
    </row>
    <row r="90" ht="18.75" customHeight="1">
      <c r="A90" s="77"/>
      <c r="B90" s="87"/>
      <c r="C90" s="77"/>
      <c r="D90" s="60"/>
      <c r="E90" s="77"/>
      <c r="F90" s="77"/>
      <c r="G90" s="77"/>
      <c r="H90" s="77"/>
      <c r="I90" s="77"/>
      <c r="J90" s="77"/>
      <c r="K90" s="77"/>
    </row>
    <row r="91" ht="18.75" customHeight="1">
      <c r="A91" s="77"/>
      <c r="B91" s="87"/>
      <c r="C91" s="77"/>
      <c r="D91" s="60"/>
      <c r="E91" s="77"/>
      <c r="F91" s="77"/>
      <c r="G91" s="77"/>
      <c r="H91" s="77"/>
      <c r="I91" s="77"/>
      <c r="J91" s="77"/>
      <c r="K91" s="77"/>
    </row>
    <row r="92" ht="18.75" customHeight="1">
      <c r="A92" s="77"/>
      <c r="B92" s="87"/>
      <c r="C92" s="77"/>
      <c r="D92" s="60"/>
      <c r="E92" s="77"/>
      <c r="F92" s="77"/>
      <c r="G92" s="77"/>
      <c r="H92" s="77"/>
      <c r="I92" s="77"/>
      <c r="J92" s="77"/>
      <c r="K92" s="77"/>
    </row>
    <row r="93" ht="18.75" customHeight="1">
      <c r="A93" s="77"/>
      <c r="B93" s="87"/>
      <c r="C93" s="77"/>
      <c r="D93" s="60"/>
      <c r="E93" s="77"/>
      <c r="F93" s="77"/>
      <c r="G93" s="77"/>
      <c r="H93" s="77"/>
      <c r="I93" s="77"/>
      <c r="J93" s="77"/>
      <c r="K93" s="77"/>
    </row>
    <row r="94" ht="18.75" customHeight="1">
      <c r="A94" s="77"/>
      <c r="B94" s="87"/>
      <c r="C94" s="77"/>
      <c r="D94" s="60"/>
      <c r="E94" s="77"/>
      <c r="F94" s="77"/>
      <c r="G94" s="77"/>
      <c r="H94" s="77"/>
      <c r="I94" s="77"/>
      <c r="J94" s="77"/>
      <c r="K94" s="77"/>
    </row>
    <row r="95" ht="18.75" customHeight="1">
      <c r="A95" s="77"/>
      <c r="B95" s="87"/>
      <c r="C95" s="77"/>
      <c r="D95" s="60"/>
      <c r="E95" s="77"/>
      <c r="F95" s="77"/>
      <c r="G95" s="77"/>
      <c r="H95" s="77"/>
      <c r="I95" s="77"/>
      <c r="J95" s="77"/>
      <c r="K95" s="77"/>
    </row>
    <row r="96" ht="18.75" customHeight="1">
      <c r="A96" s="77"/>
      <c r="B96" s="87"/>
      <c r="C96" s="77"/>
      <c r="D96" s="77"/>
      <c r="E96" s="77"/>
      <c r="F96" s="77"/>
      <c r="G96" s="77"/>
      <c r="H96" s="77"/>
      <c r="I96" s="77"/>
      <c r="J96" s="77"/>
      <c r="K96" s="77"/>
    </row>
    <row r="97" ht="18.75" customHeight="1">
      <c r="A97" s="77"/>
      <c r="B97" s="87"/>
      <c r="C97" s="77"/>
      <c r="D97" s="77"/>
      <c r="E97" s="77"/>
      <c r="F97" s="77"/>
      <c r="G97" s="77"/>
      <c r="H97" s="77"/>
      <c r="I97" s="77"/>
      <c r="J97" s="77"/>
      <c r="K97" s="77"/>
    </row>
    <row r="98" ht="18.75" customHeight="1">
      <c r="A98" s="77"/>
      <c r="B98" s="87"/>
      <c r="C98" s="77"/>
      <c r="D98" s="77"/>
      <c r="E98" s="77"/>
      <c r="F98" s="77"/>
      <c r="G98" s="77"/>
      <c r="H98" s="77"/>
      <c r="I98" s="77"/>
      <c r="J98" s="77"/>
      <c r="K98" s="77"/>
    </row>
    <row r="99" ht="18.75" customHeight="1">
      <c r="A99" s="77"/>
      <c r="B99" s="87"/>
      <c r="C99" s="77"/>
      <c r="D99" s="77"/>
      <c r="E99" s="77"/>
      <c r="F99" s="77"/>
      <c r="G99" s="77"/>
      <c r="H99" s="77"/>
      <c r="I99" s="77"/>
      <c r="J99" s="77"/>
      <c r="K99" s="77"/>
    </row>
    <row r="100" ht="18.75" customHeight="1">
      <c r="A100" s="77"/>
      <c r="B100" s="87"/>
      <c r="C100" s="77"/>
      <c r="D100" s="77"/>
      <c r="E100" s="77"/>
      <c r="F100" s="77"/>
      <c r="G100" s="77"/>
      <c r="H100" s="77"/>
      <c r="I100" s="77"/>
      <c r="J100" s="77"/>
      <c r="K100" s="77"/>
    </row>
    <row r="101" ht="18.75" customHeight="1">
      <c r="A101" s="77"/>
      <c r="B101" s="87"/>
      <c r="C101" s="77"/>
      <c r="D101" s="77"/>
      <c r="E101" s="77"/>
      <c r="F101" s="77"/>
      <c r="G101" s="77"/>
      <c r="H101" s="77"/>
      <c r="I101" s="77"/>
      <c r="J101" s="77"/>
      <c r="K101" s="77"/>
    </row>
    <row r="102" ht="18.75" customHeight="1">
      <c r="A102" s="77"/>
      <c r="B102" s="87"/>
      <c r="C102" s="77"/>
      <c r="D102" s="77"/>
      <c r="E102" s="77"/>
      <c r="F102" s="77"/>
      <c r="G102" s="77"/>
      <c r="H102" s="77"/>
      <c r="I102" s="77"/>
      <c r="J102" s="77"/>
      <c r="K102" s="77"/>
    </row>
    <row r="103" ht="18.75" customHeight="1">
      <c r="A103" s="77"/>
      <c r="B103" s="87"/>
      <c r="C103" s="77"/>
      <c r="D103" s="77"/>
      <c r="E103" s="77"/>
      <c r="F103" s="77"/>
      <c r="G103" s="77"/>
      <c r="H103" s="77"/>
      <c r="I103" s="77"/>
      <c r="J103" s="77"/>
      <c r="K103" s="77"/>
    </row>
    <row r="104" ht="18.75" customHeight="1">
      <c r="A104" s="77"/>
      <c r="B104" s="87"/>
      <c r="C104" s="77"/>
      <c r="D104" s="77"/>
      <c r="E104" s="77"/>
      <c r="F104" s="77"/>
      <c r="G104" s="77"/>
      <c r="H104" s="77"/>
      <c r="I104" s="77"/>
      <c r="J104" s="77"/>
      <c r="K104" s="77"/>
    </row>
    <row r="105" ht="18.75" customHeight="1">
      <c r="A105" s="77"/>
      <c r="B105" s="87"/>
      <c r="C105" s="77"/>
      <c r="D105" s="77"/>
      <c r="E105" s="77"/>
      <c r="F105" s="77"/>
      <c r="G105" s="77"/>
      <c r="H105" s="77"/>
      <c r="I105" s="77"/>
      <c r="J105" s="77"/>
      <c r="K105" s="77"/>
    </row>
    <row r="106" ht="18.75" customHeight="1">
      <c r="A106" s="77"/>
      <c r="B106" s="87"/>
      <c r="C106" s="77"/>
      <c r="D106" s="77"/>
      <c r="E106" s="77"/>
      <c r="F106" s="77"/>
      <c r="G106" s="77"/>
      <c r="H106" s="77"/>
      <c r="I106" s="77"/>
      <c r="J106" s="77"/>
      <c r="K106" s="77"/>
    </row>
    <row r="107" ht="18.75" customHeight="1">
      <c r="A107" s="77"/>
      <c r="B107" s="87"/>
      <c r="C107" s="77"/>
      <c r="D107" s="77"/>
      <c r="E107" s="77"/>
      <c r="F107" s="77"/>
      <c r="G107" s="77"/>
      <c r="H107" s="77"/>
      <c r="I107" s="77"/>
      <c r="J107" s="77"/>
      <c r="K107" s="77"/>
    </row>
    <row r="108" ht="18.75" customHeight="1">
      <c r="A108" s="77"/>
      <c r="B108" s="87"/>
      <c r="C108" s="77"/>
      <c r="D108" s="77"/>
      <c r="E108" s="77"/>
      <c r="F108" s="77"/>
      <c r="G108" s="77"/>
      <c r="H108" s="77"/>
      <c r="I108" s="77"/>
      <c r="J108" s="77"/>
      <c r="K108" s="77"/>
    </row>
    <row r="109" ht="18.75" customHeight="1">
      <c r="A109" s="77"/>
      <c r="B109" s="87"/>
      <c r="C109" s="77"/>
      <c r="D109" s="77"/>
      <c r="E109" s="77"/>
      <c r="F109" s="77"/>
      <c r="G109" s="77"/>
      <c r="H109" s="77"/>
      <c r="I109" s="77"/>
      <c r="J109" s="77"/>
      <c r="K109" s="77"/>
    </row>
    <row r="110" ht="18.75" customHeight="1">
      <c r="A110" s="77"/>
      <c r="B110" s="87"/>
      <c r="C110" s="77"/>
      <c r="D110" s="77"/>
      <c r="E110" s="77"/>
      <c r="F110" s="77"/>
      <c r="G110" s="77"/>
      <c r="H110" s="77"/>
      <c r="I110" s="77"/>
      <c r="J110" s="77"/>
      <c r="K110" s="77"/>
    </row>
    <row r="111" ht="18.75" customHeight="1">
      <c r="A111" s="77"/>
      <c r="B111" s="87"/>
      <c r="C111" s="77"/>
      <c r="D111" s="77"/>
      <c r="E111" s="77"/>
      <c r="F111" s="77"/>
      <c r="G111" s="77"/>
      <c r="H111" s="77"/>
      <c r="I111" s="77"/>
      <c r="J111" s="77"/>
      <c r="K111" s="77"/>
    </row>
    <row r="112" ht="18.75" customHeight="1">
      <c r="A112" s="77"/>
      <c r="B112" s="87"/>
      <c r="C112" s="77"/>
      <c r="D112" s="77"/>
      <c r="E112" s="77"/>
      <c r="F112" s="77"/>
      <c r="G112" s="77"/>
      <c r="H112" s="77"/>
      <c r="I112" s="77"/>
      <c r="J112" s="77"/>
      <c r="K112" s="77"/>
    </row>
    <row r="113" ht="18.75" customHeight="1">
      <c r="A113" s="77"/>
      <c r="B113" s="87"/>
      <c r="C113" s="77"/>
      <c r="D113" s="77"/>
      <c r="E113" s="77"/>
      <c r="F113" s="77"/>
      <c r="G113" s="77"/>
      <c r="H113" s="77"/>
      <c r="I113" s="77"/>
      <c r="J113" s="77"/>
      <c r="K113" s="77"/>
    </row>
    <row r="114" ht="18.75" customHeight="1">
      <c r="A114" s="77"/>
      <c r="B114" s="87"/>
      <c r="C114" s="77"/>
      <c r="D114" s="77"/>
      <c r="E114" s="77"/>
      <c r="F114" s="77"/>
      <c r="G114" s="77"/>
      <c r="H114" s="77"/>
      <c r="I114" s="77"/>
      <c r="J114" s="77"/>
      <c r="K114" s="77"/>
    </row>
    <row r="115" ht="18.75" customHeight="1">
      <c r="A115" s="77"/>
      <c r="B115" s="87"/>
      <c r="C115" s="77"/>
      <c r="D115" s="77"/>
      <c r="E115" s="77"/>
      <c r="F115" s="77"/>
      <c r="G115" s="77"/>
      <c r="H115" s="77"/>
      <c r="I115" s="77"/>
      <c r="J115" s="77"/>
      <c r="K115" s="77"/>
    </row>
    <row r="116" ht="18.75" customHeight="1">
      <c r="A116" s="77"/>
      <c r="B116" s="87"/>
      <c r="C116" s="77"/>
      <c r="D116" s="77"/>
      <c r="E116" s="77"/>
      <c r="F116" s="77"/>
      <c r="G116" s="77"/>
      <c r="H116" s="77"/>
      <c r="I116" s="77"/>
      <c r="J116" s="77"/>
      <c r="K116" s="77"/>
    </row>
    <row r="117" ht="18.75" customHeight="1">
      <c r="A117" s="77"/>
      <c r="B117" s="87"/>
      <c r="C117" s="77"/>
      <c r="D117" s="77"/>
      <c r="E117" s="77"/>
      <c r="F117" s="77"/>
      <c r="G117" s="77"/>
      <c r="H117" s="77"/>
      <c r="I117" s="77"/>
      <c r="J117" s="77"/>
      <c r="K117" s="77"/>
    </row>
    <row r="118" ht="18.75" customHeight="1">
      <c r="A118" s="77"/>
      <c r="B118" s="87"/>
      <c r="C118" s="77"/>
      <c r="D118" s="77"/>
      <c r="E118" s="77"/>
      <c r="F118" s="77"/>
      <c r="G118" s="77"/>
      <c r="H118" s="77"/>
      <c r="I118" s="77"/>
      <c r="J118" s="77"/>
      <c r="K118" s="77"/>
    </row>
    <row r="119" ht="18.75" customHeight="1">
      <c r="A119" s="77"/>
      <c r="B119" s="87"/>
      <c r="C119" s="77"/>
      <c r="D119" s="77"/>
      <c r="E119" s="77"/>
      <c r="F119" s="77"/>
      <c r="G119" s="77"/>
      <c r="H119" s="77"/>
      <c r="I119" s="77"/>
      <c r="J119" s="77"/>
      <c r="K119" s="77"/>
    </row>
    <row r="120" ht="18.75" customHeight="1">
      <c r="A120" s="77"/>
      <c r="B120" s="87"/>
      <c r="C120" s="77"/>
      <c r="D120" s="77"/>
      <c r="E120" s="77"/>
      <c r="F120" s="77"/>
      <c r="G120" s="77"/>
      <c r="H120" s="77"/>
      <c r="I120" s="77"/>
      <c r="J120" s="77"/>
      <c r="K120" s="77"/>
    </row>
    <row r="121" ht="18.75" customHeight="1">
      <c r="A121" s="77"/>
      <c r="B121" s="87"/>
      <c r="C121" s="77"/>
      <c r="D121" s="77"/>
      <c r="E121" s="77"/>
      <c r="F121" s="77"/>
      <c r="G121" s="77"/>
      <c r="H121" s="77"/>
      <c r="I121" s="77"/>
      <c r="J121" s="77"/>
      <c r="K121" s="77"/>
    </row>
    <row r="122" ht="18.75" customHeight="1">
      <c r="A122" s="77"/>
      <c r="B122" s="87"/>
      <c r="C122" s="77"/>
      <c r="D122" s="77"/>
      <c r="E122" s="77"/>
      <c r="F122" s="77"/>
      <c r="G122" s="77"/>
      <c r="H122" s="77"/>
      <c r="I122" s="77"/>
      <c r="J122" s="77"/>
      <c r="K122" s="77"/>
    </row>
    <row r="123" ht="18.75" customHeight="1">
      <c r="A123" s="77"/>
      <c r="B123" s="87"/>
      <c r="C123" s="77"/>
      <c r="D123" s="77"/>
      <c r="E123" s="77"/>
      <c r="F123" s="77"/>
      <c r="G123" s="77"/>
      <c r="H123" s="77"/>
      <c r="I123" s="77"/>
      <c r="J123" s="77"/>
      <c r="K123" s="77"/>
    </row>
    <row r="124" ht="18.75" customHeight="1">
      <c r="A124" s="77"/>
      <c r="B124" s="87"/>
      <c r="C124" s="77"/>
      <c r="D124" s="77"/>
      <c r="E124" s="77"/>
      <c r="F124" s="77"/>
      <c r="G124" s="77"/>
      <c r="H124" s="77"/>
      <c r="I124" s="77"/>
      <c r="J124" s="77"/>
      <c r="K124" s="77"/>
    </row>
    <row r="125" ht="18.75" customHeight="1">
      <c r="A125" s="77"/>
      <c r="B125" s="87"/>
      <c r="C125" s="77"/>
      <c r="D125" s="77"/>
      <c r="E125" s="77"/>
      <c r="F125" s="77"/>
      <c r="G125" s="77"/>
      <c r="H125" s="77"/>
      <c r="I125" s="77"/>
      <c r="J125" s="77"/>
      <c r="K125" s="77"/>
    </row>
    <row r="126" ht="18.75" customHeight="1">
      <c r="A126" s="77"/>
      <c r="B126" s="87"/>
      <c r="C126" s="77"/>
      <c r="D126" s="77"/>
      <c r="E126" s="77"/>
      <c r="F126" s="77"/>
      <c r="G126" s="77"/>
      <c r="H126" s="77"/>
      <c r="I126" s="77"/>
      <c r="J126" s="77"/>
      <c r="K126" s="77"/>
    </row>
    <row r="127" ht="18.75" customHeight="1">
      <c r="A127" s="77"/>
      <c r="B127" s="87"/>
      <c r="C127" s="77"/>
      <c r="D127" s="77"/>
      <c r="E127" s="77"/>
      <c r="F127" s="77"/>
      <c r="G127" s="77"/>
      <c r="H127" s="77"/>
      <c r="I127" s="77"/>
      <c r="J127" s="77"/>
      <c r="K127" s="77"/>
    </row>
    <row r="128" ht="18.75" customHeight="1">
      <c r="A128" s="77"/>
      <c r="B128" s="87"/>
      <c r="C128" s="77"/>
      <c r="D128" s="77"/>
      <c r="E128" s="77"/>
      <c r="F128" s="77"/>
      <c r="G128" s="77"/>
      <c r="H128" s="77"/>
      <c r="I128" s="77"/>
      <c r="J128" s="77"/>
      <c r="K128" s="77"/>
    </row>
    <row r="129" ht="18.75" customHeight="1">
      <c r="A129" s="77"/>
      <c r="B129" s="87"/>
      <c r="C129" s="77"/>
      <c r="D129" s="77"/>
      <c r="E129" s="77"/>
      <c r="F129" s="77"/>
      <c r="G129" s="77"/>
      <c r="H129" s="77"/>
      <c r="I129" s="77"/>
      <c r="J129" s="77"/>
      <c r="K129" s="77"/>
    </row>
    <row r="130" ht="18.75" customHeight="1">
      <c r="A130" s="77"/>
      <c r="B130" s="87"/>
      <c r="C130" s="77"/>
      <c r="D130" s="77"/>
      <c r="E130" s="77"/>
      <c r="F130" s="77"/>
      <c r="G130" s="77"/>
      <c r="H130" s="77"/>
      <c r="I130" s="77"/>
      <c r="J130" s="77"/>
      <c r="K130" s="77"/>
    </row>
    <row r="131" ht="18.75" customHeight="1">
      <c r="A131" s="77"/>
      <c r="B131" s="87"/>
      <c r="C131" s="77"/>
      <c r="D131" s="77"/>
      <c r="E131" s="77"/>
      <c r="F131" s="77"/>
      <c r="G131" s="77"/>
      <c r="H131" s="77"/>
      <c r="I131" s="77"/>
      <c r="J131" s="77"/>
      <c r="K131" s="77"/>
    </row>
    <row r="132" ht="18.75" customHeight="1">
      <c r="A132" s="77"/>
      <c r="B132" s="87"/>
      <c r="C132" s="77"/>
      <c r="D132" s="77"/>
      <c r="E132" s="77"/>
      <c r="F132" s="77"/>
      <c r="G132" s="77"/>
      <c r="H132" s="77"/>
      <c r="I132" s="77"/>
      <c r="J132" s="77"/>
      <c r="K132" s="77"/>
    </row>
    <row r="133" ht="18.75" customHeight="1">
      <c r="A133" s="77"/>
      <c r="B133" s="87"/>
      <c r="C133" s="77"/>
      <c r="D133" s="77"/>
      <c r="E133" s="77"/>
      <c r="F133" s="77"/>
      <c r="G133" s="77"/>
      <c r="H133" s="77"/>
      <c r="I133" s="77"/>
      <c r="J133" s="77"/>
      <c r="K133" s="77"/>
    </row>
    <row r="134" ht="18.75" customHeight="1">
      <c r="A134" s="77"/>
      <c r="B134" s="87"/>
      <c r="C134" s="77"/>
      <c r="D134" s="77"/>
      <c r="E134" s="77"/>
      <c r="F134" s="77"/>
      <c r="G134" s="77"/>
      <c r="H134" s="77"/>
      <c r="I134" s="77"/>
      <c r="J134" s="77"/>
      <c r="K134" s="77"/>
    </row>
    <row r="135" ht="18.75" customHeight="1">
      <c r="A135" s="77"/>
      <c r="B135" s="87"/>
      <c r="C135" s="77"/>
      <c r="D135" s="77"/>
      <c r="E135" s="77"/>
      <c r="F135" s="77"/>
      <c r="G135" s="77"/>
      <c r="H135" s="77"/>
      <c r="I135" s="77"/>
      <c r="J135" s="77"/>
      <c r="K135" s="77"/>
    </row>
    <row r="136" ht="18.75" customHeight="1">
      <c r="A136" s="77"/>
      <c r="B136" s="87"/>
      <c r="C136" s="77"/>
      <c r="D136" s="77"/>
      <c r="E136" s="77"/>
      <c r="F136" s="77"/>
      <c r="G136" s="77"/>
      <c r="H136" s="77"/>
      <c r="I136" s="77"/>
      <c r="J136" s="77"/>
      <c r="K136" s="77"/>
    </row>
    <row r="137" ht="18.75" customHeight="1">
      <c r="A137" s="77"/>
      <c r="B137" s="87"/>
      <c r="C137" s="77"/>
      <c r="D137" s="77"/>
      <c r="E137" s="77"/>
      <c r="F137" s="77"/>
      <c r="G137" s="77"/>
      <c r="H137" s="77"/>
      <c r="I137" s="77"/>
      <c r="J137" s="77"/>
      <c r="K137" s="77"/>
    </row>
    <row r="138" ht="18.75" customHeight="1">
      <c r="A138" s="77"/>
      <c r="B138" s="87"/>
      <c r="C138" s="77"/>
      <c r="D138" s="77"/>
      <c r="E138" s="77"/>
      <c r="F138" s="77"/>
      <c r="G138" s="77"/>
      <c r="H138" s="77"/>
      <c r="I138" s="77"/>
      <c r="J138" s="77"/>
      <c r="K138" s="77"/>
    </row>
    <row r="139" ht="18.75" customHeight="1">
      <c r="A139" s="77"/>
      <c r="B139" s="87"/>
      <c r="C139" s="77"/>
      <c r="D139" s="77"/>
      <c r="E139" s="77"/>
      <c r="F139" s="77"/>
      <c r="G139" s="77"/>
      <c r="H139" s="77"/>
      <c r="I139" s="77"/>
      <c r="J139" s="77"/>
      <c r="K139" s="77"/>
    </row>
    <row r="140" ht="18.75" customHeight="1">
      <c r="A140" s="77"/>
      <c r="B140" s="87"/>
      <c r="C140" s="77"/>
      <c r="D140" s="77"/>
      <c r="E140" s="77"/>
      <c r="F140" s="77"/>
      <c r="G140" s="77"/>
      <c r="H140" s="77"/>
      <c r="I140" s="77"/>
      <c r="J140" s="77"/>
      <c r="K140" s="77"/>
    </row>
    <row r="141" ht="18.75" customHeight="1">
      <c r="A141" s="77"/>
      <c r="B141" s="87"/>
      <c r="C141" s="77"/>
      <c r="D141" s="77"/>
      <c r="E141" s="77"/>
      <c r="F141" s="77"/>
      <c r="G141" s="77"/>
      <c r="H141" s="77"/>
      <c r="I141" s="77"/>
      <c r="J141" s="77"/>
      <c r="K141" s="77"/>
    </row>
    <row r="142" ht="18.75" customHeight="1">
      <c r="A142" s="77"/>
      <c r="B142" s="87"/>
      <c r="C142" s="77"/>
      <c r="D142" s="77"/>
      <c r="E142" s="77"/>
      <c r="F142" s="77"/>
      <c r="G142" s="77"/>
      <c r="H142" s="77"/>
      <c r="I142" s="77"/>
      <c r="J142" s="77"/>
      <c r="K142" s="77"/>
    </row>
    <row r="143" ht="18.75" customHeight="1">
      <c r="A143" s="77"/>
      <c r="B143" s="87"/>
      <c r="C143" s="77"/>
      <c r="D143" s="77"/>
      <c r="E143" s="77"/>
      <c r="F143" s="77"/>
      <c r="G143" s="77"/>
      <c r="H143" s="77"/>
      <c r="I143" s="77"/>
      <c r="J143" s="77"/>
      <c r="K143" s="77"/>
    </row>
    <row r="144" ht="18.75" customHeight="1">
      <c r="A144" s="77"/>
      <c r="B144" s="87"/>
      <c r="C144" s="77"/>
      <c r="D144" s="77"/>
      <c r="E144" s="77"/>
      <c r="F144" s="77"/>
      <c r="G144" s="77"/>
      <c r="H144" s="77"/>
      <c r="I144" s="77"/>
      <c r="J144" s="77"/>
      <c r="K144" s="77"/>
    </row>
    <row r="145" ht="18.75" customHeight="1">
      <c r="A145" s="77"/>
      <c r="B145" s="87"/>
      <c r="C145" s="77"/>
      <c r="D145" s="77"/>
      <c r="E145" s="77"/>
      <c r="F145" s="77"/>
      <c r="G145" s="77"/>
      <c r="H145" s="77"/>
      <c r="I145" s="77"/>
      <c r="J145" s="77"/>
      <c r="K145" s="77"/>
    </row>
    <row r="146" ht="18.75" customHeight="1">
      <c r="A146" s="77"/>
      <c r="B146" s="87"/>
      <c r="C146" s="77"/>
      <c r="D146" s="77"/>
      <c r="E146" s="77"/>
      <c r="F146" s="77"/>
      <c r="G146" s="77"/>
      <c r="H146" s="77"/>
      <c r="I146" s="77"/>
      <c r="J146" s="77"/>
      <c r="K146" s="77"/>
    </row>
    <row r="147" ht="18.75" customHeight="1">
      <c r="A147" s="77"/>
      <c r="B147" s="87"/>
      <c r="C147" s="77"/>
      <c r="D147" s="77"/>
      <c r="E147" s="77"/>
      <c r="F147" s="77"/>
      <c r="G147" s="77"/>
      <c r="H147" s="77"/>
      <c r="I147" s="77"/>
      <c r="J147" s="77"/>
      <c r="K147" s="77"/>
    </row>
    <row r="148" ht="18.75" customHeight="1">
      <c r="A148" s="77"/>
      <c r="B148" s="87"/>
      <c r="C148" s="77"/>
      <c r="D148" s="77"/>
      <c r="E148" s="77"/>
      <c r="F148" s="77"/>
      <c r="G148" s="77"/>
      <c r="H148" s="77"/>
      <c r="I148" s="77"/>
      <c r="J148" s="77"/>
      <c r="K148" s="77"/>
    </row>
    <row r="149" ht="18.75" customHeight="1">
      <c r="A149" s="77"/>
      <c r="B149" s="87"/>
      <c r="C149" s="77"/>
      <c r="D149" s="77"/>
      <c r="E149" s="77"/>
      <c r="F149" s="77"/>
      <c r="G149" s="77"/>
      <c r="H149" s="77"/>
      <c r="I149" s="77"/>
      <c r="J149" s="77"/>
      <c r="K149" s="77"/>
    </row>
    <row r="150" ht="18.75" customHeight="1">
      <c r="A150" s="77"/>
      <c r="B150" s="87"/>
      <c r="C150" s="77"/>
      <c r="D150" s="77"/>
      <c r="E150" s="77"/>
      <c r="F150" s="77"/>
      <c r="G150" s="77"/>
      <c r="H150" s="77"/>
      <c r="I150" s="77"/>
      <c r="J150" s="77"/>
      <c r="K150" s="77"/>
    </row>
    <row r="151" ht="18.75" customHeight="1">
      <c r="A151" s="77"/>
      <c r="B151" s="87"/>
      <c r="C151" s="77"/>
      <c r="D151" s="77"/>
      <c r="E151" s="77"/>
      <c r="F151" s="77"/>
      <c r="G151" s="77"/>
      <c r="H151" s="77"/>
      <c r="I151" s="77"/>
      <c r="J151" s="77"/>
      <c r="K151" s="77"/>
    </row>
    <row r="152" ht="18.75" customHeight="1">
      <c r="A152" s="77"/>
      <c r="B152" s="87"/>
      <c r="C152" s="77"/>
      <c r="D152" s="77"/>
      <c r="E152" s="77"/>
      <c r="F152" s="77"/>
      <c r="G152" s="77"/>
      <c r="H152" s="77"/>
      <c r="I152" s="77"/>
      <c r="J152" s="77"/>
      <c r="K152" s="77"/>
    </row>
    <row r="153" ht="18.75" customHeight="1">
      <c r="A153" s="77"/>
      <c r="B153" s="87"/>
      <c r="C153" s="77"/>
      <c r="D153" s="77"/>
      <c r="E153" s="77"/>
      <c r="F153" s="77"/>
      <c r="G153" s="77"/>
      <c r="H153" s="77"/>
      <c r="I153" s="77"/>
      <c r="J153" s="77"/>
      <c r="K153" s="77"/>
    </row>
    <row r="154" ht="18.75" customHeight="1">
      <c r="A154" s="77"/>
      <c r="B154" s="87"/>
      <c r="C154" s="77"/>
      <c r="D154" s="77"/>
      <c r="E154" s="77"/>
      <c r="F154" s="77"/>
      <c r="G154" s="77"/>
      <c r="H154" s="77"/>
      <c r="I154" s="77"/>
      <c r="J154" s="77"/>
      <c r="K154" s="77"/>
    </row>
    <row r="155" ht="18.75" customHeight="1">
      <c r="A155" s="77"/>
      <c r="B155" s="87"/>
      <c r="C155" s="77"/>
      <c r="D155" s="77"/>
      <c r="E155" s="77"/>
      <c r="F155" s="77"/>
      <c r="G155" s="77"/>
      <c r="H155" s="77"/>
      <c r="I155" s="77"/>
      <c r="J155" s="77"/>
      <c r="K155" s="77"/>
    </row>
    <row r="156" ht="18.75" customHeight="1">
      <c r="A156" s="77"/>
      <c r="B156" s="87"/>
      <c r="C156" s="77"/>
      <c r="D156" s="77"/>
      <c r="E156" s="77"/>
      <c r="F156" s="77"/>
      <c r="G156" s="77"/>
      <c r="H156" s="77"/>
      <c r="I156" s="77"/>
      <c r="J156" s="77"/>
      <c r="K156" s="77"/>
    </row>
    <row r="157" ht="18.75" customHeight="1">
      <c r="A157" s="77"/>
      <c r="B157" s="87"/>
      <c r="C157" s="77"/>
      <c r="D157" s="77"/>
      <c r="E157" s="77"/>
      <c r="F157" s="77"/>
      <c r="G157" s="77"/>
      <c r="H157" s="77"/>
      <c r="I157" s="77"/>
      <c r="J157" s="77"/>
      <c r="K157" s="77"/>
    </row>
    <row r="158" ht="18.75" customHeight="1">
      <c r="A158" s="77"/>
      <c r="B158" s="87"/>
      <c r="C158" s="77"/>
      <c r="D158" s="77"/>
      <c r="E158" s="77"/>
      <c r="F158" s="77"/>
      <c r="G158" s="77"/>
      <c r="H158" s="77"/>
      <c r="I158" s="77"/>
      <c r="J158" s="77"/>
      <c r="K158" s="77"/>
    </row>
    <row r="159" ht="18.75" customHeight="1">
      <c r="A159" s="77"/>
      <c r="B159" s="87"/>
      <c r="C159" s="77"/>
      <c r="D159" s="77"/>
      <c r="E159" s="77"/>
      <c r="F159" s="77"/>
      <c r="G159" s="77"/>
      <c r="H159" s="77"/>
      <c r="I159" s="77"/>
      <c r="J159" s="77"/>
      <c r="K159" s="77"/>
    </row>
    <row r="160" ht="18.75" customHeight="1">
      <c r="A160" s="77"/>
      <c r="B160" s="87"/>
      <c r="C160" s="77"/>
      <c r="D160" s="77"/>
      <c r="E160" s="77"/>
      <c r="F160" s="77"/>
      <c r="G160" s="77"/>
      <c r="H160" s="77"/>
      <c r="I160" s="77"/>
      <c r="J160" s="77"/>
      <c r="K160" s="77"/>
    </row>
    <row r="161" ht="18.75" customHeight="1">
      <c r="A161" s="77"/>
      <c r="B161" s="87"/>
      <c r="C161" s="77"/>
      <c r="D161" s="77"/>
      <c r="E161" s="77"/>
      <c r="F161" s="77"/>
      <c r="G161" s="77"/>
      <c r="H161" s="77"/>
      <c r="I161" s="77"/>
      <c r="J161" s="77"/>
      <c r="K161" s="77"/>
    </row>
    <row r="162" ht="18.75" customHeight="1">
      <c r="A162" s="77"/>
      <c r="B162" s="87"/>
      <c r="C162" s="77"/>
      <c r="D162" s="77"/>
      <c r="E162" s="77"/>
      <c r="F162" s="77"/>
      <c r="G162" s="77"/>
      <c r="H162" s="77"/>
      <c r="I162" s="77"/>
      <c r="J162" s="77"/>
      <c r="K162" s="77"/>
    </row>
    <row r="163" ht="18.75" customHeight="1">
      <c r="A163" s="77"/>
      <c r="B163" s="87"/>
      <c r="C163" s="77"/>
      <c r="D163" s="77"/>
      <c r="E163" s="77"/>
      <c r="F163" s="77"/>
      <c r="G163" s="77"/>
      <c r="H163" s="77"/>
      <c r="I163" s="77"/>
      <c r="J163" s="77"/>
      <c r="K163" s="77"/>
    </row>
    <row r="164" ht="18.75" customHeight="1">
      <c r="A164" s="77"/>
      <c r="B164" s="87"/>
      <c r="C164" s="77"/>
      <c r="D164" s="77"/>
      <c r="E164" s="77"/>
      <c r="F164" s="77"/>
      <c r="G164" s="77"/>
      <c r="H164" s="77"/>
      <c r="I164" s="77"/>
      <c r="J164" s="77"/>
      <c r="K164" s="77"/>
    </row>
    <row r="165" ht="18.75" customHeight="1">
      <c r="A165" s="77"/>
      <c r="B165" s="87"/>
      <c r="C165" s="77"/>
      <c r="D165" s="77"/>
      <c r="E165" s="77"/>
      <c r="F165" s="77"/>
      <c r="G165" s="77"/>
      <c r="H165" s="77"/>
      <c r="I165" s="77"/>
      <c r="J165" s="77"/>
      <c r="K165" s="77"/>
    </row>
    <row r="166" ht="18.75" customHeight="1">
      <c r="A166" s="77"/>
      <c r="B166" s="87"/>
      <c r="C166" s="77"/>
      <c r="D166" s="77"/>
      <c r="E166" s="77"/>
      <c r="F166" s="77"/>
      <c r="G166" s="77"/>
      <c r="H166" s="77"/>
      <c r="I166" s="77"/>
      <c r="J166" s="77"/>
      <c r="K166" s="77"/>
    </row>
    <row r="167" ht="18.75" customHeight="1">
      <c r="A167" s="77"/>
      <c r="B167" s="87"/>
      <c r="C167" s="77"/>
      <c r="D167" s="77"/>
      <c r="E167" s="77"/>
      <c r="F167" s="77"/>
      <c r="G167" s="77"/>
      <c r="H167" s="77"/>
      <c r="I167" s="77"/>
      <c r="J167" s="77"/>
      <c r="K167" s="77"/>
    </row>
    <row r="168" ht="18.75" customHeight="1">
      <c r="A168" s="77"/>
      <c r="B168" s="87"/>
      <c r="C168" s="77"/>
      <c r="D168" s="77"/>
      <c r="E168" s="77"/>
      <c r="F168" s="77"/>
      <c r="G168" s="77"/>
      <c r="H168" s="77"/>
      <c r="I168" s="77"/>
      <c r="J168" s="77"/>
      <c r="K168" s="77"/>
    </row>
    <row r="169" ht="18.75" customHeight="1">
      <c r="A169" s="77"/>
      <c r="B169" s="87"/>
      <c r="C169" s="77"/>
      <c r="D169" s="77"/>
      <c r="E169" s="77"/>
      <c r="F169" s="77"/>
      <c r="G169" s="77"/>
      <c r="H169" s="77"/>
      <c r="I169" s="77"/>
      <c r="J169" s="77"/>
      <c r="K169" s="77"/>
    </row>
    <row r="170" ht="18.75" customHeight="1">
      <c r="A170" s="77"/>
      <c r="B170" s="87"/>
      <c r="C170" s="77"/>
      <c r="D170" s="77"/>
      <c r="E170" s="77"/>
      <c r="F170" s="77"/>
      <c r="G170" s="77"/>
      <c r="H170" s="77"/>
      <c r="I170" s="77"/>
      <c r="J170" s="77"/>
      <c r="K170" s="77"/>
    </row>
    <row r="171" ht="18.75" customHeight="1">
      <c r="A171" s="77"/>
      <c r="B171" s="87"/>
      <c r="C171" s="77"/>
      <c r="D171" s="77"/>
      <c r="E171" s="77"/>
      <c r="F171" s="77"/>
      <c r="G171" s="77"/>
      <c r="H171" s="77"/>
      <c r="I171" s="77"/>
      <c r="J171" s="77"/>
      <c r="K171" s="77"/>
    </row>
    <row r="172" ht="18.75" customHeight="1">
      <c r="A172" s="77"/>
      <c r="B172" s="87"/>
      <c r="C172" s="77"/>
      <c r="D172" s="77"/>
      <c r="E172" s="77"/>
      <c r="F172" s="77"/>
      <c r="G172" s="77"/>
      <c r="H172" s="77"/>
      <c r="I172" s="77"/>
      <c r="J172" s="77"/>
      <c r="K172" s="77"/>
    </row>
    <row r="173" ht="18.75" customHeight="1">
      <c r="A173" s="77"/>
      <c r="B173" s="87"/>
      <c r="C173" s="77"/>
      <c r="D173" s="77"/>
      <c r="E173" s="77"/>
      <c r="F173" s="77"/>
      <c r="G173" s="77"/>
      <c r="H173" s="77"/>
      <c r="I173" s="77"/>
      <c r="J173" s="77"/>
      <c r="K173" s="77"/>
    </row>
    <row r="174" ht="18.75" customHeight="1">
      <c r="A174" s="77"/>
      <c r="B174" s="87"/>
      <c r="C174" s="77"/>
      <c r="D174" s="77"/>
      <c r="E174" s="77"/>
      <c r="F174" s="77"/>
      <c r="G174" s="77"/>
      <c r="H174" s="77"/>
      <c r="I174" s="77"/>
      <c r="J174" s="77"/>
      <c r="K174" s="77"/>
    </row>
    <row r="175" ht="18.75" customHeight="1">
      <c r="A175" s="77"/>
      <c r="B175" s="87"/>
      <c r="C175" s="77"/>
      <c r="D175" s="77"/>
      <c r="E175" s="77"/>
      <c r="F175" s="77"/>
      <c r="G175" s="77"/>
      <c r="H175" s="77"/>
      <c r="I175" s="77"/>
      <c r="J175" s="77"/>
      <c r="K175" s="77"/>
    </row>
    <row r="176" ht="18.75" customHeight="1">
      <c r="A176" s="77"/>
      <c r="B176" s="87"/>
      <c r="C176" s="77"/>
      <c r="D176" s="77"/>
      <c r="E176" s="77"/>
      <c r="F176" s="77"/>
      <c r="G176" s="77"/>
      <c r="H176" s="77"/>
      <c r="I176" s="77"/>
      <c r="J176" s="77"/>
      <c r="K176" s="77"/>
    </row>
    <row r="177" ht="18.75" customHeight="1">
      <c r="A177" s="77"/>
      <c r="B177" s="87"/>
      <c r="C177" s="77"/>
      <c r="D177" s="77"/>
      <c r="E177" s="77"/>
      <c r="F177" s="77"/>
      <c r="G177" s="77"/>
      <c r="H177" s="77"/>
      <c r="I177" s="77"/>
      <c r="J177" s="77"/>
      <c r="K177" s="77"/>
    </row>
    <row r="178" ht="18.75" customHeight="1">
      <c r="A178" s="77"/>
      <c r="B178" s="87"/>
      <c r="C178" s="77"/>
      <c r="D178" s="77"/>
      <c r="E178" s="77"/>
      <c r="F178" s="77"/>
      <c r="G178" s="77"/>
      <c r="H178" s="77"/>
      <c r="I178" s="77"/>
      <c r="J178" s="77"/>
      <c r="K178" s="77"/>
    </row>
    <row r="179" ht="18.75" customHeight="1">
      <c r="A179" s="77"/>
      <c r="B179" s="87"/>
      <c r="C179" s="77"/>
      <c r="D179" s="77"/>
      <c r="E179" s="77"/>
      <c r="F179" s="77"/>
      <c r="G179" s="77"/>
      <c r="H179" s="77"/>
      <c r="I179" s="77"/>
      <c r="J179" s="77"/>
      <c r="K179" s="77"/>
    </row>
    <row r="180" ht="18.75" customHeight="1">
      <c r="A180" s="77"/>
      <c r="B180" s="87"/>
      <c r="C180" s="77"/>
      <c r="D180" s="77"/>
      <c r="E180" s="77"/>
      <c r="F180" s="77"/>
      <c r="G180" s="77"/>
      <c r="H180" s="77"/>
      <c r="I180" s="77"/>
      <c r="J180" s="77"/>
      <c r="K180" s="77"/>
    </row>
    <row r="181" ht="18.75" customHeight="1">
      <c r="A181" s="77"/>
      <c r="B181" s="87"/>
      <c r="C181" s="77"/>
      <c r="D181" s="77"/>
      <c r="E181" s="77"/>
      <c r="F181" s="77"/>
      <c r="G181" s="77"/>
      <c r="H181" s="77"/>
      <c r="I181" s="77"/>
      <c r="J181" s="77"/>
      <c r="K181" s="77"/>
    </row>
    <row r="182" ht="18.75" customHeight="1">
      <c r="A182" s="77"/>
      <c r="B182" s="87"/>
      <c r="C182" s="77"/>
      <c r="D182" s="77"/>
      <c r="E182" s="77"/>
      <c r="F182" s="77"/>
      <c r="G182" s="77"/>
      <c r="H182" s="77"/>
      <c r="I182" s="77"/>
      <c r="J182" s="77"/>
      <c r="K182" s="77"/>
    </row>
    <row r="183" ht="18.75" customHeight="1">
      <c r="A183" s="77"/>
      <c r="B183" s="87"/>
      <c r="C183" s="77"/>
      <c r="D183" s="77"/>
      <c r="E183" s="77"/>
      <c r="F183" s="77"/>
      <c r="G183" s="77"/>
      <c r="H183" s="77"/>
      <c r="I183" s="77"/>
      <c r="J183" s="77"/>
      <c r="K183" s="77"/>
    </row>
    <row r="184" ht="18.75" customHeight="1">
      <c r="A184" s="77"/>
      <c r="B184" s="87"/>
      <c r="C184" s="77"/>
      <c r="D184" s="77"/>
      <c r="E184" s="77"/>
      <c r="F184" s="77"/>
      <c r="G184" s="77"/>
      <c r="H184" s="77"/>
      <c r="I184" s="77"/>
      <c r="J184" s="77"/>
      <c r="K184" s="77"/>
    </row>
    <row r="185" ht="18.75" customHeight="1">
      <c r="A185" s="77"/>
      <c r="B185" s="87"/>
      <c r="C185" s="77"/>
      <c r="D185" s="77"/>
      <c r="E185" s="77"/>
      <c r="F185" s="77"/>
      <c r="G185" s="77"/>
      <c r="H185" s="77"/>
      <c r="I185" s="77"/>
      <c r="J185" s="77"/>
      <c r="K185" s="77"/>
    </row>
    <row r="186" ht="18.75" customHeight="1">
      <c r="A186" s="77"/>
      <c r="B186" s="87"/>
      <c r="C186" s="77"/>
      <c r="D186" s="77"/>
      <c r="E186" s="77"/>
      <c r="F186" s="77"/>
      <c r="G186" s="77"/>
      <c r="H186" s="77"/>
      <c r="I186" s="77"/>
      <c r="J186" s="77"/>
      <c r="K186" s="77"/>
    </row>
    <row r="187" ht="18.75" customHeight="1">
      <c r="A187" s="77"/>
      <c r="B187" s="87"/>
      <c r="C187" s="77"/>
      <c r="D187" s="77"/>
      <c r="E187" s="77"/>
      <c r="F187" s="77"/>
      <c r="G187" s="77"/>
      <c r="H187" s="77"/>
      <c r="I187" s="77"/>
      <c r="J187" s="77"/>
      <c r="K187" s="77"/>
    </row>
    <row r="188" ht="18.75" customHeight="1">
      <c r="A188" s="77"/>
      <c r="B188" s="87"/>
      <c r="C188" s="77"/>
      <c r="D188" s="77"/>
      <c r="E188" s="77"/>
      <c r="F188" s="77"/>
      <c r="G188" s="77"/>
      <c r="H188" s="77"/>
      <c r="I188" s="77"/>
      <c r="J188" s="77"/>
      <c r="K188" s="77"/>
    </row>
    <row r="189" ht="18.75" customHeight="1">
      <c r="A189" s="77"/>
      <c r="B189" s="87"/>
      <c r="C189" s="77"/>
      <c r="D189" s="77"/>
      <c r="E189" s="77"/>
      <c r="F189" s="77"/>
      <c r="G189" s="77"/>
      <c r="H189" s="77"/>
      <c r="I189" s="77"/>
      <c r="J189" s="77"/>
      <c r="K189" s="77"/>
    </row>
    <row r="190" ht="18.75" customHeight="1">
      <c r="A190" s="77"/>
      <c r="B190" s="87"/>
      <c r="C190" s="77"/>
      <c r="D190" s="77"/>
      <c r="E190" s="77"/>
      <c r="F190" s="77"/>
      <c r="G190" s="77"/>
      <c r="H190" s="77"/>
      <c r="I190" s="77"/>
      <c r="J190" s="77"/>
      <c r="K190" s="77"/>
    </row>
    <row r="191" ht="18.75" customHeight="1">
      <c r="A191" s="77"/>
      <c r="B191" s="87"/>
      <c r="C191" s="77"/>
      <c r="D191" s="77"/>
      <c r="E191" s="77"/>
      <c r="F191" s="77"/>
      <c r="G191" s="77"/>
      <c r="H191" s="77"/>
      <c r="I191" s="77"/>
      <c r="J191" s="77"/>
      <c r="K191" s="77"/>
    </row>
    <row r="192" ht="18.75" customHeight="1">
      <c r="A192" s="77"/>
      <c r="B192" s="87"/>
      <c r="C192" s="77"/>
      <c r="D192" s="77"/>
      <c r="E192" s="77"/>
      <c r="F192" s="77"/>
      <c r="G192" s="77"/>
      <c r="H192" s="77"/>
      <c r="I192" s="77"/>
      <c r="J192" s="77"/>
      <c r="K192" s="77"/>
    </row>
    <row r="193" ht="18.75" customHeight="1">
      <c r="A193" s="77"/>
      <c r="B193" s="87"/>
      <c r="C193" s="77"/>
      <c r="D193" s="77"/>
      <c r="E193" s="77"/>
      <c r="F193" s="77"/>
      <c r="G193" s="77"/>
      <c r="H193" s="77"/>
      <c r="I193" s="77"/>
      <c r="J193" s="77"/>
      <c r="K193" s="77"/>
    </row>
    <row r="194" ht="18.75" customHeight="1">
      <c r="A194" s="77"/>
      <c r="B194" s="87"/>
      <c r="C194" s="77"/>
      <c r="D194" s="77"/>
      <c r="E194" s="77"/>
      <c r="F194" s="77"/>
      <c r="G194" s="77"/>
      <c r="H194" s="77"/>
      <c r="I194" s="77"/>
      <c r="J194" s="77"/>
      <c r="K194" s="77"/>
    </row>
    <row r="195" ht="18.75" customHeight="1">
      <c r="A195" s="77"/>
      <c r="B195" s="87"/>
      <c r="C195" s="77"/>
      <c r="D195" s="77"/>
      <c r="E195" s="77"/>
      <c r="F195" s="77"/>
      <c r="G195" s="77"/>
      <c r="H195" s="77"/>
      <c r="I195" s="77"/>
      <c r="J195" s="77"/>
      <c r="K195" s="77"/>
    </row>
    <row r="196" ht="18.75" customHeight="1">
      <c r="A196" s="77"/>
      <c r="B196" s="87"/>
      <c r="C196" s="77"/>
      <c r="D196" s="77"/>
      <c r="E196" s="77"/>
      <c r="F196" s="77"/>
      <c r="G196" s="77"/>
      <c r="H196" s="77"/>
      <c r="I196" s="77"/>
      <c r="J196" s="77"/>
      <c r="K196" s="77"/>
    </row>
    <row r="197" ht="18.75" customHeight="1">
      <c r="A197" s="77"/>
      <c r="B197" s="87"/>
      <c r="C197" s="77"/>
      <c r="D197" s="77"/>
      <c r="E197" s="77"/>
      <c r="F197" s="77"/>
      <c r="G197" s="77"/>
      <c r="H197" s="77"/>
      <c r="I197" s="77"/>
      <c r="J197" s="77"/>
      <c r="K197" s="77"/>
    </row>
    <row r="198" ht="18.75" customHeight="1">
      <c r="A198" s="77"/>
      <c r="B198" s="87"/>
      <c r="C198" s="77"/>
      <c r="D198" s="77"/>
      <c r="E198" s="77"/>
      <c r="F198" s="77"/>
      <c r="G198" s="77"/>
      <c r="H198" s="77"/>
      <c r="I198" s="77"/>
      <c r="J198" s="77"/>
      <c r="K198" s="77"/>
    </row>
    <row r="199" ht="18.75" customHeight="1">
      <c r="A199" s="77"/>
      <c r="B199" s="87"/>
      <c r="C199" s="77"/>
      <c r="D199" s="77"/>
      <c r="E199" s="77"/>
      <c r="F199" s="77"/>
      <c r="G199" s="77"/>
      <c r="H199" s="77"/>
      <c r="I199" s="77"/>
      <c r="J199" s="77"/>
      <c r="K199" s="77"/>
    </row>
    <row r="200" ht="18.75" customHeight="1">
      <c r="A200" s="77"/>
      <c r="B200" s="87"/>
      <c r="C200" s="77"/>
      <c r="D200" s="77"/>
      <c r="E200" s="77"/>
      <c r="F200" s="77"/>
      <c r="G200" s="77"/>
      <c r="H200" s="77"/>
      <c r="I200" s="77"/>
      <c r="J200" s="77"/>
      <c r="K200" s="77"/>
    </row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mergeCells count="12">
    <mergeCell ref="C3:D3"/>
    <mergeCell ref="C4:C5"/>
    <mergeCell ref="D4:D5"/>
    <mergeCell ref="H22:J22"/>
    <mergeCell ref="H44:K44"/>
    <mergeCell ref="A1:F1"/>
    <mergeCell ref="H1:J1"/>
    <mergeCell ref="A2:F2"/>
    <mergeCell ref="A3:A6"/>
    <mergeCell ref="B3:B6"/>
    <mergeCell ref="E3:E6"/>
    <mergeCell ref="F3:F6"/>
  </mergeCells>
  <dataValidations>
    <dataValidation type="list" allowBlank="1" showErrorMessage="1" sqref="H4:H6 H9:H19 H30:H41 E19:E200">
      <formula1>"1.1,1.2,1.3,2.1,2.2,2.3,2.4,2.5,2.6,2.7,2.8,2.9,2.11,2.12"</formula1>
    </dataValidation>
    <dataValidation type="list" allowBlank="1" showErrorMessage="1" sqref="E8:E18">
      <formula1>"1,1,1,2,2,1,2,11,2,12,2,2,2,3,2,5,2,6,2,7,2,8,2,9,2,4,1,3"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6.0"/>
    <col customWidth="1" min="2" max="2" width="15.0"/>
    <col customWidth="1" min="3" max="4" width="17.0"/>
    <col customWidth="1" min="5" max="5" width="13.0"/>
    <col customWidth="1" min="6" max="6" width="47.0"/>
    <col customWidth="1" min="7" max="7" width="7.0"/>
    <col customWidth="1" min="8" max="8" width="14.0"/>
    <col customWidth="1" min="9" max="9" width="46.0"/>
    <col customWidth="1" min="10" max="10" width="16.0"/>
    <col customWidth="1" min="11" max="26" width="14.0"/>
  </cols>
  <sheetData>
    <row r="1" ht="18.75" customHeight="1">
      <c r="A1" s="11" t="s">
        <v>22</v>
      </c>
      <c r="F1" s="12"/>
      <c r="G1" s="13"/>
      <c r="H1" s="14" t="s">
        <v>23</v>
      </c>
      <c r="I1" s="15"/>
      <c r="J1" s="16"/>
      <c r="K1" s="13"/>
    </row>
    <row r="2" ht="18.75" customHeight="1">
      <c r="A2" s="36" t="s">
        <v>139</v>
      </c>
      <c r="G2" s="13"/>
      <c r="H2" s="49" t="s">
        <v>25</v>
      </c>
      <c r="I2" s="19" t="s">
        <v>26</v>
      </c>
      <c r="J2" s="20" t="s">
        <v>27</v>
      </c>
      <c r="K2" s="13"/>
    </row>
    <row r="3" ht="18.75" customHeight="1">
      <c r="A3" s="21" t="s">
        <v>28</v>
      </c>
      <c r="B3" s="21" t="s">
        <v>29</v>
      </c>
      <c r="C3" s="23" t="s">
        <v>30</v>
      </c>
      <c r="D3" s="24"/>
      <c r="E3" s="25" t="s">
        <v>25</v>
      </c>
      <c r="F3" s="21" t="s">
        <v>26</v>
      </c>
      <c r="G3" s="13"/>
      <c r="H3" s="26">
        <v>1.0</v>
      </c>
      <c r="I3" s="27" t="s">
        <v>31</v>
      </c>
      <c r="J3" s="28">
        <f>SUM(J4:J6)</f>
        <v>30000000</v>
      </c>
      <c r="K3" s="13"/>
    </row>
    <row r="4" ht="18.75" customHeight="1">
      <c r="A4" s="29"/>
      <c r="B4" s="29"/>
      <c r="C4" s="21" t="s">
        <v>32</v>
      </c>
      <c r="D4" s="21" t="s">
        <v>33</v>
      </c>
      <c r="E4" s="30"/>
      <c r="F4" s="29"/>
      <c r="G4" s="13"/>
      <c r="H4" s="31">
        <v>1.1</v>
      </c>
      <c r="I4" s="32" t="s">
        <v>34</v>
      </c>
      <c r="J4" s="28">
        <f>SUMIF($E$8:$E$54,1.1,$C$8:$C$45)</f>
        <v>30000000</v>
      </c>
      <c r="K4" s="13"/>
    </row>
    <row r="5" ht="18.75" customHeight="1">
      <c r="A5" s="29"/>
      <c r="B5" s="29"/>
      <c r="C5" s="33"/>
      <c r="D5" s="33"/>
      <c r="E5" s="30"/>
      <c r="F5" s="29"/>
      <c r="G5" s="13"/>
      <c r="H5" s="31">
        <v>1.2</v>
      </c>
      <c r="I5" s="32" t="s">
        <v>35</v>
      </c>
      <c r="J5" s="28">
        <f>SUMIF($E$8:$E$54,1.2,$C$8:$C$45)</f>
        <v>0</v>
      </c>
      <c r="K5" s="13"/>
    </row>
    <row r="6" ht="18.75" customHeight="1">
      <c r="A6" s="33"/>
      <c r="B6" s="33"/>
      <c r="C6" s="34"/>
      <c r="D6" s="34"/>
      <c r="E6" s="35"/>
      <c r="F6" s="33"/>
      <c r="G6" s="13"/>
      <c r="H6" s="31">
        <v>1.3</v>
      </c>
      <c r="I6" s="32" t="s">
        <v>36</v>
      </c>
      <c r="J6" s="28">
        <f>SUMIF($E$8:$E$54,1.3,$C$8:$C$45)</f>
        <v>0</v>
      </c>
      <c r="K6" s="13"/>
    </row>
    <row r="7" ht="21.75" customHeight="1">
      <c r="A7" s="36"/>
      <c r="B7" s="37"/>
      <c r="C7" s="42">
        <f t="shared" ref="C7:D7" si="1">SUM(C8:C100)</f>
        <v>30000000</v>
      </c>
      <c r="D7" s="42">
        <f t="shared" si="1"/>
        <v>147431580</v>
      </c>
      <c r="E7" s="39"/>
      <c r="F7" s="40"/>
      <c r="G7" s="40" t="s">
        <v>37</v>
      </c>
      <c r="H7" s="41"/>
      <c r="I7" s="40"/>
      <c r="J7" s="42"/>
      <c r="K7" s="40"/>
    </row>
    <row r="8" ht="18.75" customHeight="1">
      <c r="A8" s="43">
        <v>1.0</v>
      </c>
      <c r="B8" s="76">
        <v>45815.0</v>
      </c>
      <c r="C8" s="60"/>
      <c r="D8" s="60">
        <v>1.36E7</v>
      </c>
      <c r="E8" s="47" t="s">
        <v>60</v>
      </c>
      <c r="F8" s="86" t="s">
        <v>132</v>
      </c>
      <c r="G8" s="13"/>
      <c r="H8" s="26">
        <v>2.0</v>
      </c>
      <c r="I8" s="49" t="s">
        <v>40</v>
      </c>
      <c r="J8" s="28">
        <f>SUM(J9:J19)</f>
        <v>147431580</v>
      </c>
      <c r="K8" s="13"/>
    </row>
    <row r="9" ht="18.75" customHeight="1">
      <c r="A9" s="50">
        <v>2.0</v>
      </c>
      <c r="B9" s="76">
        <v>45824.0</v>
      </c>
      <c r="C9" s="60"/>
      <c r="D9" s="93">
        <v>900000.0</v>
      </c>
      <c r="E9" s="84">
        <v>2.5</v>
      </c>
      <c r="F9" s="94" t="s">
        <v>140</v>
      </c>
      <c r="G9" s="52"/>
      <c r="H9" s="53">
        <v>2.1</v>
      </c>
      <c r="I9" s="54" t="s">
        <v>42</v>
      </c>
      <c r="J9" s="55">
        <f>SUMIF($E$8:$E$54,2.1,$D$8:$D$45)</f>
        <v>0</v>
      </c>
      <c r="K9" s="13"/>
    </row>
    <row r="10" ht="18.75" customHeight="1">
      <c r="A10" s="50">
        <v>3.0</v>
      </c>
      <c r="B10" s="76">
        <v>45813.0</v>
      </c>
      <c r="C10" s="60"/>
      <c r="D10" s="60">
        <v>6.409508E7</v>
      </c>
      <c r="E10" s="84">
        <v>2.2</v>
      </c>
      <c r="F10" s="86" t="s">
        <v>141</v>
      </c>
      <c r="G10" s="52"/>
      <c r="H10" s="53">
        <v>2.2</v>
      </c>
      <c r="I10" s="54" t="s">
        <v>45</v>
      </c>
      <c r="J10" s="28">
        <f>SUMIF($E$8:$E$54,2.2,$D$8:$D$45)</f>
        <v>79095080</v>
      </c>
      <c r="K10" s="13"/>
    </row>
    <row r="11" ht="18.75" customHeight="1">
      <c r="A11" s="50">
        <v>4.0</v>
      </c>
      <c r="B11" s="76">
        <v>45820.0</v>
      </c>
      <c r="C11" s="60"/>
      <c r="D11" s="60">
        <v>1.54E7</v>
      </c>
      <c r="E11" s="84">
        <v>2.6</v>
      </c>
      <c r="F11" s="86" t="s">
        <v>142</v>
      </c>
      <c r="G11" s="52"/>
      <c r="H11" s="53">
        <v>2.3</v>
      </c>
      <c r="I11" s="54" t="s">
        <v>48</v>
      </c>
      <c r="J11" s="28">
        <f>SUMIF($E$8:$E$54,2.3,$D$8:$D$45)</f>
        <v>22536500</v>
      </c>
      <c r="K11" s="13"/>
    </row>
    <row r="12" ht="18.75" customHeight="1">
      <c r="A12" s="50">
        <v>5.0</v>
      </c>
      <c r="B12" s="76">
        <v>45825.0</v>
      </c>
      <c r="C12" s="60"/>
      <c r="D12" s="60">
        <v>1.35E7</v>
      </c>
      <c r="E12" s="84">
        <v>2.5</v>
      </c>
      <c r="F12" s="61" t="s">
        <v>143</v>
      </c>
      <c r="G12" s="52"/>
      <c r="H12" s="53">
        <v>2.4</v>
      </c>
      <c r="I12" s="54" t="s">
        <v>51</v>
      </c>
      <c r="J12" s="28">
        <f>SUMIF($E$8:$E$54,2.4,$D$8:$D$45)</f>
        <v>0</v>
      </c>
      <c r="K12" s="13"/>
    </row>
    <row r="13" ht="18.75" customHeight="1">
      <c r="A13" s="50">
        <v>6.0</v>
      </c>
      <c r="B13" s="76">
        <v>45825.0</v>
      </c>
      <c r="C13" s="60"/>
      <c r="D13" s="60">
        <v>300000.0</v>
      </c>
      <c r="E13" s="84">
        <v>2.3</v>
      </c>
      <c r="F13" s="86" t="s">
        <v>144</v>
      </c>
      <c r="G13" s="52"/>
      <c r="H13" s="53">
        <v>2.5</v>
      </c>
      <c r="I13" s="54" t="s">
        <v>53</v>
      </c>
      <c r="J13" s="28">
        <f>SUMIF($E$8:$E$54,2.5,$D$8:$D$45)</f>
        <v>15300000</v>
      </c>
      <c r="K13" s="13"/>
    </row>
    <row r="14" ht="18.75" customHeight="1">
      <c r="A14" s="50">
        <v>7.0</v>
      </c>
      <c r="B14" s="76">
        <v>45814.0</v>
      </c>
      <c r="C14" s="60"/>
      <c r="D14" s="60">
        <v>1500000.0</v>
      </c>
      <c r="E14" s="84">
        <v>2.7</v>
      </c>
      <c r="F14" s="86" t="s">
        <v>145</v>
      </c>
      <c r="G14" s="52"/>
      <c r="H14" s="53">
        <v>2.6</v>
      </c>
      <c r="I14" s="54" t="s">
        <v>55</v>
      </c>
      <c r="J14" s="28">
        <f>SUMIF($E$8:$E$54,2.6,$D$8:$D$45)</f>
        <v>15400000</v>
      </c>
      <c r="K14" s="13"/>
    </row>
    <row r="15" ht="18.75" customHeight="1">
      <c r="A15" s="50">
        <v>8.0</v>
      </c>
      <c r="B15" s="76">
        <v>45825.0</v>
      </c>
      <c r="C15" s="60"/>
      <c r="D15" s="60">
        <v>1.5E7</v>
      </c>
      <c r="E15" s="84">
        <v>2.2</v>
      </c>
      <c r="F15" s="86" t="s">
        <v>146</v>
      </c>
      <c r="G15" s="52"/>
      <c r="H15" s="53">
        <v>2.7</v>
      </c>
      <c r="I15" s="54" t="s">
        <v>57</v>
      </c>
      <c r="J15" s="28">
        <f>SUMIF($E$8:$E$54,2.7,$D$8:$D$45)</f>
        <v>1500000</v>
      </c>
      <c r="K15" s="13"/>
    </row>
    <row r="16" ht="18.75" customHeight="1">
      <c r="A16" s="50">
        <v>9.0</v>
      </c>
      <c r="B16" s="76">
        <v>45834.0</v>
      </c>
      <c r="C16" s="60"/>
      <c r="D16" s="60">
        <v>900000.0</v>
      </c>
      <c r="E16" s="84">
        <v>2.5</v>
      </c>
      <c r="F16" s="86" t="s">
        <v>140</v>
      </c>
      <c r="G16" s="52"/>
      <c r="H16" s="53">
        <v>2.8</v>
      </c>
      <c r="I16" s="54" t="s">
        <v>59</v>
      </c>
      <c r="J16" s="28">
        <f>SUMIF($E$8:$E$54,2.8,$D$8:$D$45)</f>
        <v>13600000</v>
      </c>
      <c r="K16" s="13"/>
    </row>
    <row r="17" ht="18.75" customHeight="1">
      <c r="A17" s="50">
        <v>10.0</v>
      </c>
      <c r="B17" s="76">
        <v>45831.0</v>
      </c>
      <c r="C17" s="60"/>
      <c r="D17" s="60">
        <v>9945000.0</v>
      </c>
      <c r="E17" s="84">
        <v>2.3</v>
      </c>
      <c r="F17" s="86" t="s">
        <v>147</v>
      </c>
      <c r="G17" s="52"/>
      <c r="H17" s="53">
        <v>2.9</v>
      </c>
      <c r="I17" s="54" t="s">
        <v>62</v>
      </c>
      <c r="J17" s="28">
        <f>SUMIF($E$8:$E$54,2.9,$D$8:$D$45)</f>
        <v>0</v>
      </c>
      <c r="K17" s="13"/>
    </row>
    <row r="18" ht="18.75" customHeight="1">
      <c r="A18" s="50">
        <v>11.0</v>
      </c>
      <c r="B18" s="76">
        <v>45833.0</v>
      </c>
      <c r="C18" s="60"/>
      <c r="D18" s="60">
        <v>1.0E7</v>
      </c>
      <c r="E18" s="84">
        <v>2.3</v>
      </c>
      <c r="F18" s="86" t="s">
        <v>148</v>
      </c>
      <c r="G18" s="52"/>
      <c r="H18" s="53">
        <v>2.11</v>
      </c>
      <c r="I18" s="54" t="s">
        <v>64</v>
      </c>
      <c r="J18" s="28">
        <f>SUMIF($E$8:$E$54,2.11,$D$8:$D$45)</f>
        <v>0</v>
      </c>
      <c r="K18" s="13"/>
    </row>
    <row r="19" ht="18.75" customHeight="1">
      <c r="A19" s="50">
        <v>12.0</v>
      </c>
      <c r="B19" s="76">
        <v>45833.0</v>
      </c>
      <c r="C19" s="60"/>
      <c r="D19" s="60">
        <v>291500.0</v>
      </c>
      <c r="E19" s="84">
        <v>2.3</v>
      </c>
      <c r="F19" s="86" t="s">
        <v>149</v>
      </c>
      <c r="G19" s="52"/>
      <c r="H19" s="53">
        <v>2.12</v>
      </c>
      <c r="I19" s="54" t="s">
        <v>67</v>
      </c>
      <c r="J19" s="28">
        <f>SUMIF($E$8:$E$54,2.12,$D$8:$D$45)</f>
        <v>0</v>
      </c>
      <c r="K19" s="13"/>
    </row>
    <row r="20" ht="18.75" customHeight="1">
      <c r="A20" s="50">
        <v>13.0</v>
      </c>
      <c r="B20" s="76">
        <v>45833.0</v>
      </c>
      <c r="C20" s="60"/>
      <c r="D20" s="60">
        <v>2000000.0</v>
      </c>
      <c r="E20" s="84">
        <v>2.3</v>
      </c>
      <c r="F20" s="95" t="s">
        <v>150</v>
      </c>
      <c r="G20" s="52"/>
      <c r="H20" s="63">
        <v>3.0</v>
      </c>
      <c r="I20" s="64" t="s">
        <v>70</v>
      </c>
      <c r="J20" s="65">
        <f>J3-J8</f>
        <v>-117431580</v>
      </c>
      <c r="K20" s="13"/>
    </row>
    <row r="21" ht="18.75" customHeight="1">
      <c r="A21" s="50">
        <v>14.0</v>
      </c>
      <c r="B21" s="76">
        <v>45825.0</v>
      </c>
      <c r="C21" s="60">
        <v>3.0E7</v>
      </c>
      <c r="D21" s="60"/>
      <c r="E21" s="84">
        <v>1.1</v>
      </c>
      <c r="F21" s="54" t="s">
        <v>151</v>
      </c>
      <c r="G21" s="13"/>
      <c r="H21" s="13"/>
      <c r="I21" s="13"/>
      <c r="J21" s="13"/>
      <c r="K21" s="13"/>
    </row>
    <row r="22" ht="18.75" customHeight="1">
      <c r="A22" s="50">
        <v>15.0</v>
      </c>
      <c r="B22" s="76"/>
      <c r="C22" s="60"/>
      <c r="D22" s="60"/>
      <c r="E22" s="84"/>
      <c r="F22" s="54"/>
      <c r="G22" s="13"/>
      <c r="H22" s="14" t="s">
        <v>73</v>
      </c>
      <c r="I22" s="15"/>
      <c r="J22" s="16"/>
      <c r="K22" s="13"/>
    </row>
    <row r="23" ht="18.75" customHeight="1">
      <c r="A23" s="50">
        <v>16.0</v>
      </c>
      <c r="B23" s="76"/>
      <c r="C23" s="60"/>
      <c r="D23" s="60"/>
      <c r="E23" s="84"/>
      <c r="F23" s="54"/>
      <c r="G23" s="52"/>
      <c r="H23" s="54"/>
      <c r="I23" s="64" t="s">
        <v>26</v>
      </c>
      <c r="J23" s="53" t="s">
        <v>27</v>
      </c>
      <c r="K23" s="13"/>
    </row>
    <row r="24" ht="18.75" customHeight="1">
      <c r="A24" s="50">
        <v>17.0</v>
      </c>
      <c r="B24" s="76"/>
      <c r="C24" s="60"/>
      <c r="D24" s="60"/>
      <c r="E24" s="84"/>
      <c r="F24" s="54"/>
      <c r="G24" s="52"/>
      <c r="H24" s="64" t="s">
        <v>76</v>
      </c>
      <c r="I24" s="64" t="s">
        <v>77</v>
      </c>
      <c r="J24" s="67">
        <v>0.0</v>
      </c>
      <c r="K24" s="13"/>
    </row>
    <row r="25" ht="18.75" customHeight="1">
      <c r="A25" s="50">
        <v>18.0</v>
      </c>
      <c r="B25" s="76"/>
      <c r="C25" s="60"/>
      <c r="D25" s="60"/>
      <c r="E25" s="84"/>
      <c r="F25" s="54"/>
      <c r="G25" s="52"/>
      <c r="H25" s="64" t="s">
        <v>78</v>
      </c>
      <c r="I25" s="64" t="s">
        <v>79</v>
      </c>
      <c r="J25" s="69">
        <f>SUM(J26:J28)</f>
        <v>30000000</v>
      </c>
      <c r="K25" s="13"/>
    </row>
    <row r="26" ht="18.75" customHeight="1">
      <c r="A26" s="50">
        <v>19.0</v>
      </c>
      <c r="B26" s="76"/>
      <c r="C26" s="60"/>
      <c r="D26" s="60"/>
      <c r="E26" s="84"/>
      <c r="F26" s="54"/>
      <c r="G26" s="52"/>
      <c r="H26" s="54"/>
      <c r="I26" s="54" t="s">
        <v>80</v>
      </c>
      <c r="J26" s="69">
        <f>J3</f>
        <v>30000000</v>
      </c>
      <c r="K26" s="13"/>
    </row>
    <row r="27" ht="18.75" customHeight="1">
      <c r="A27" s="50">
        <v>20.0</v>
      </c>
      <c r="B27" s="76"/>
      <c r="C27" s="60"/>
      <c r="D27" s="60"/>
      <c r="E27" s="84"/>
      <c r="F27" s="54"/>
      <c r="G27" s="52"/>
      <c r="H27" s="54"/>
      <c r="I27" s="54" t="s">
        <v>81</v>
      </c>
      <c r="J27" s="64"/>
      <c r="K27" s="13"/>
    </row>
    <row r="28" ht="18.75" customHeight="1">
      <c r="A28" s="50">
        <v>21.0</v>
      </c>
      <c r="B28" s="76"/>
      <c r="C28" s="60"/>
      <c r="D28" s="60"/>
      <c r="E28" s="84"/>
      <c r="F28" s="54"/>
      <c r="G28" s="52"/>
      <c r="H28" s="54"/>
      <c r="I28" s="54" t="s">
        <v>82</v>
      </c>
      <c r="J28" s="64"/>
      <c r="K28" s="13"/>
    </row>
    <row r="29" ht="18.75" customHeight="1">
      <c r="A29" s="50">
        <v>22.0</v>
      </c>
      <c r="B29" s="76"/>
      <c r="C29" s="60"/>
      <c r="D29" s="60"/>
      <c r="E29" s="84"/>
      <c r="F29" s="54"/>
      <c r="G29" s="52"/>
      <c r="H29" s="64" t="s">
        <v>83</v>
      </c>
      <c r="I29" s="64" t="s">
        <v>84</v>
      </c>
      <c r="J29" s="69">
        <f>SUM(J30:J41)</f>
        <v>147431580</v>
      </c>
      <c r="K29" s="13"/>
    </row>
    <row r="30" ht="18.75" customHeight="1">
      <c r="A30" s="50">
        <v>23.0</v>
      </c>
      <c r="B30" s="76"/>
      <c r="C30" s="60"/>
      <c r="D30" s="60"/>
      <c r="E30" s="84"/>
      <c r="F30" s="54"/>
      <c r="G30" s="52"/>
      <c r="H30" s="53">
        <v>2.1</v>
      </c>
      <c r="I30" s="54" t="s">
        <v>42</v>
      </c>
      <c r="J30" s="69">
        <f>J9</f>
        <v>0</v>
      </c>
      <c r="K30" s="13"/>
    </row>
    <row r="31" ht="18.75" customHeight="1">
      <c r="A31" s="50">
        <v>24.0</v>
      </c>
      <c r="B31" s="76"/>
      <c r="C31" s="60"/>
      <c r="D31" s="60"/>
      <c r="E31" s="84"/>
      <c r="F31" s="54"/>
      <c r="G31" s="52"/>
      <c r="H31" s="31">
        <v>1.3</v>
      </c>
      <c r="I31" s="54" t="s">
        <v>85</v>
      </c>
      <c r="J31" s="67"/>
      <c r="K31" s="13"/>
    </row>
    <row r="32" ht="18.75" customHeight="1">
      <c r="A32" s="50">
        <v>25.0</v>
      </c>
      <c r="B32" s="76"/>
      <c r="C32" s="60"/>
      <c r="D32" s="60"/>
      <c r="E32" s="47"/>
      <c r="F32" s="54"/>
      <c r="G32" s="52"/>
      <c r="H32" s="53">
        <v>2.2</v>
      </c>
      <c r="I32" s="54" t="s">
        <v>45</v>
      </c>
      <c r="J32" s="69">
        <f t="shared" ref="J32:J41" si="2">J10</f>
        <v>79095080</v>
      </c>
      <c r="K32" s="13"/>
    </row>
    <row r="33" ht="18.75" customHeight="1">
      <c r="A33" s="50">
        <v>26.0</v>
      </c>
      <c r="B33" s="76"/>
      <c r="C33" s="60"/>
      <c r="D33" s="60"/>
      <c r="E33" s="47"/>
      <c r="F33" s="54"/>
      <c r="G33" s="52"/>
      <c r="H33" s="53">
        <v>2.3</v>
      </c>
      <c r="I33" s="54" t="s">
        <v>48</v>
      </c>
      <c r="J33" s="69">
        <f t="shared" si="2"/>
        <v>22536500</v>
      </c>
      <c r="K33" s="13"/>
    </row>
    <row r="34" ht="18.75" customHeight="1">
      <c r="A34" s="50">
        <v>27.0</v>
      </c>
      <c r="B34" s="76"/>
      <c r="C34" s="60"/>
      <c r="D34" s="60"/>
      <c r="E34" s="47"/>
      <c r="F34" s="54"/>
      <c r="G34" s="52"/>
      <c r="H34" s="53">
        <v>2.4</v>
      </c>
      <c r="I34" s="54" t="s">
        <v>51</v>
      </c>
      <c r="J34" s="69">
        <f t="shared" si="2"/>
        <v>0</v>
      </c>
      <c r="K34" s="13"/>
    </row>
    <row r="35" ht="18.75" customHeight="1">
      <c r="A35" s="50">
        <v>28.0</v>
      </c>
      <c r="B35" s="76"/>
      <c r="C35" s="60"/>
      <c r="D35" s="60"/>
      <c r="E35" s="47"/>
      <c r="F35" s="54"/>
      <c r="G35" s="52"/>
      <c r="H35" s="53">
        <v>2.5</v>
      </c>
      <c r="I35" s="54" t="s">
        <v>53</v>
      </c>
      <c r="J35" s="69">
        <f t="shared" si="2"/>
        <v>15300000</v>
      </c>
      <c r="K35" s="13"/>
    </row>
    <row r="36" ht="18.75" customHeight="1">
      <c r="A36" s="50">
        <v>29.0</v>
      </c>
      <c r="B36" s="76"/>
      <c r="C36" s="60"/>
      <c r="D36" s="60"/>
      <c r="E36" s="47"/>
      <c r="F36" s="54"/>
      <c r="G36" s="52"/>
      <c r="H36" s="53">
        <v>2.6</v>
      </c>
      <c r="I36" s="54" t="s">
        <v>55</v>
      </c>
      <c r="J36" s="69">
        <f t="shared" si="2"/>
        <v>15400000</v>
      </c>
      <c r="K36" s="13"/>
    </row>
    <row r="37" ht="18.75" customHeight="1">
      <c r="A37" s="50">
        <v>30.0</v>
      </c>
      <c r="B37" s="76"/>
      <c r="C37" s="60"/>
      <c r="D37" s="60"/>
      <c r="E37" s="47"/>
      <c r="F37" s="54"/>
      <c r="G37" s="52"/>
      <c r="H37" s="53">
        <v>2.7</v>
      </c>
      <c r="I37" s="54" t="s">
        <v>57</v>
      </c>
      <c r="J37" s="69">
        <f t="shared" si="2"/>
        <v>1500000</v>
      </c>
      <c r="K37" s="13"/>
    </row>
    <row r="38" ht="18.75" customHeight="1">
      <c r="A38" s="50">
        <v>31.0</v>
      </c>
      <c r="B38" s="76"/>
      <c r="C38" s="60"/>
      <c r="D38" s="60"/>
      <c r="E38" s="47"/>
      <c r="F38" s="54"/>
      <c r="G38" s="52"/>
      <c r="H38" s="53">
        <v>2.8</v>
      </c>
      <c r="I38" s="54" t="s">
        <v>59</v>
      </c>
      <c r="J38" s="69">
        <f t="shared" si="2"/>
        <v>13600000</v>
      </c>
      <c r="K38" s="13"/>
    </row>
    <row r="39" ht="18.75" customHeight="1">
      <c r="A39" s="50">
        <v>32.0</v>
      </c>
      <c r="B39" s="76"/>
      <c r="C39" s="60"/>
      <c r="D39" s="60"/>
      <c r="E39" s="47"/>
      <c r="F39" s="54"/>
      <c r="G39" s="52"/>
      <c r="H39" s="53">
        <v>2.9</v>
      </c>
      <c r="I39" s="54" t="s">
        <v>62</v>
      </c>
      <c r="J39" s="69">
        <f t="shared" si="2"/>
        <v>0</v>
      </c>
      <c r="K39" s="13"/>
    </row>
    <row r="40" ht="18.75" customHeight="1">
      <c r="A40" s="50">
        <v>33.0</v>
      </c>
      <c r="B40" s="76"/>
      <c r="C40" s="60"/>
      <c r="D40" s="60"/>
      <c r="E40" s="47"/>
      <c r="F40" s="54"/>
      <c r="G40" s="52"/>
      <c r="H40" s="53">
        <v>2.11</v>
      </c>
      <c r="I40" s="54" t="s">
        <v>64</v>
      </c>
      <c r="J40" s="69">
        <f t="shared" si="2"/>
        <v>0</v>
      </c>
      <c r="K40" s="13"/>
    </row>
    <row r="41" ht="18.75" customHeight="1">
      <c r="A41" s="50">
        <v>34.0</v>
      </c>
      <c r="B41" s="76"/>
      <c r="C41" s="60"/>
      <c r="D41" s="60"/>
      <c r="E41" s="47"/>
      <c r="F41" s="54"/>
      <c r="G41" s="52"/>
      <c r="H41" s="53">
        <v>2.12</v>
      </c>
      <c r="I41" s="54" t="s">
        <v>86</v>
      </c>
      <c r="J41" s="69">
        <f t="shared" si="2"/>
        <v>0</v>
      </c>
      <c r="K41" s="13"/>
    </row>
    <row r="42" ht="18.75" customHeight="1">
      <c r="A42" s="50">
        <v>35.0</v>
      </c>
      <c r="B42" s="76"/>
      <c r="C42" s="60"/>
      <c r="D42" s="60"/>
      <c r="E42" s="47"/>
      <c r="F42" s="54"/>
      <c r="G42" s="52"/>
      <c r="H42" s="64" t="s">
        <v>87</v>
      </c>
      <c r="I42" s="64" t="s">
        <v>5</v>
      </c>
      <c r="J42" s="28">
        <f>J24+J25-J29</f>
        <v>-117431580</v>
      </c>
      <c r="K42" s="13"/>
    </row>
    <row r="43" ht="18.75" customHeight="1">
      <c r="A43" s="50">
        <v>36.0</v>
      </c>
      <c r="B43" s="76"/>
      <c r="C43" s="60"/>
      <c r="D43" s="60"/>
      <c r="E43" s="47"/>
      <c r="F43" s="54"/>
      <c r="G43" s="13"/>
      <c r="H43" s="13"/>
      <c r="I43" s="13"/>
      <c r="J43" s="13"/>
      <c r="K43" s="13"/>
    </row>
    <row r="44" ht="18.75" customHeight="1">
      <c r="A44" s="50">
        <v>37.0</v>
      </c>
      <c r="B44" s="76"/>
      <c r="C44" s="60"/>
      <c r="D44" s="60"/>
      <c r="E44" s="47"/>
      <c r="F44" s="54"/>
      <c r="G44" s="13"/>
      <c r="H44" s="70" t="s">
        <v>88</v>
      </c>
      <c r="I44" s="71"/>
      <c r="J44" s="71"/>
      <c r="K44" s="24"/>
    </row>
    <row r="45" ht="18.75" customHeight="1">
      <c r="A45" s="50">
        <v>38.0</v>
      </c>
      <c r="B45" s="76"/>
      <c r="C45" s="60"/>
      <c r="D45" s="60"/>
      <c r="E45" s="47"/>
      <c r="F45" s="54"/>
      <c r="G45" s="52"/>
      <c r="H45" s="64" t="s">
        <v>25</v>
      </c>
      <c r="I45" s="64" t="s">
        <v>26</v>
      </c>
      <c r="J45" s="53" t="s">
        <v>27</v>
      </c>
      <c r="K45" s="72" t="s">
        <v>89</v>
      </c>
    </row>
    <row r="46" ht="18.75" customHeight="1">
      <c r="A46" s="50">
        <v>39.0</v>
      </c>
      <c r="B46" s="76"/>
      <c r="C46" s="60"/>
      <c r="D46" s="60"/>
      <c r="E46" s="47"/>
      <c r="F46" s="54"/>
      <c r="G46" s="52"/>
      <c r="H46" s="64" t="s">
        <v>76</v>
      </c>
      <c r="I46" s="64" t="s">
        <v>77</v>
      </c>
      <c r="J46" s="69">
        <f>J42</f>
        <v>-117431580</v>
      </c>
      <c r="K46" s="73"/>
    </row>
    <row r="47" ht="18.75" customHeight="1">
      <c r="A47" s="50">
        <v>40.0</v>
      </c>
      <c r="B47" s="76"/>
      <c r="C47" s="60"/>
      <c r="D47" s="60"/>
      <c r="E47" s="47"/>
      <c r="F47" s="54"/>
      <c r="G47" s="52"/>
      <c r="H47" s="64" t="s">
        <v>78</v>
      </c>
      <c r="I47" s="64" t="s">
        <v>79</v>
      </c>
      <c r="J47" s="69">
        <f>SUM(J48:J54)</f>
        <v>247357258</v>
      </c>
      <c r="K47" s="73"/>
    </row>
    <row r="48" ht="18.75" customHeight="1">
      <c r="A48" s="50">
        <v>41.0</v>
      </c>
      <c r="B48" s="76"/>
      <c r="C48" s="54"/>
      <c r="D48" s="60"/>
      <c r="E48" s="47"/>
      <c r="F48" s="54"/>
      <c r="G48" s="52"/>
      <c r="H48" s="54"/>
      <c r="I48" s="54" t="s">
        <v>90</v>
      </c>
      <c r="J48" s="74">
        <v>8.0957397E7</v>
      </c>
      <c r="K48" s="73">
        <v>45869.0</v>
      </c>
    </row>
    <row r="49" ht="18.75" customHeight="1">
      <c r="A49" s="50">
        <v>42.0</v>
      </c>
      <c r="B49" s="76"/>
      <c r="C49" s="54"/>
      <c r="D49" s="60"/>
      <c r="E49" s="84"/>
      <c r="F49" s="54"/>
      <c r="G49" s="52"/>
      <c r="H49" s="54"/>
      <c r="I49" s="54" t="s">
        <v>91</v>
      </c>
      <c r="J49" s="74">
        <v>7.5442464E7</v>
      </c>
      <c r="K49" s="73">
        <v>45869.0</v>
      </c>
    </row>
    <row r="50" ht="18.75" customHeight="1">
      <c r="A50" s="50">
        <v>43.0</v>
      </c>
      <c r="B50" s="76"/>
      <c r="C50" s="54"/>
      <c r="D50" s="60"/>
      <c r="E50" s="84"/>
      <c r="F50" s="54"/>
      <c r="G50" s="52"/>
      <c r="H50" s="54"/>
      <c r="I50" s="54" t="s">
        <v>92</v>
      </c>
      <c r="J50" s="74">
        <v>7.5957397E7</v>
      </c>
      <c r="K50" s="73">
        <v>45869.0</v>
      </c>
    </row>
    <row r="51" ht="18.75" customHeight="1">
      <c r="A51" s="50">
        <v>44.0</v>
      </c>
      <c r="B51" s="76"/>
      <c r="C51" s="54"/>
      <c r="D51" s="60"/>
      <c r="E51" s="84"/>
      <c r="F51" s="54"/>
      <c r="G51" s="52"/>
      <c r="H51" s="54"/>
      <c r="I51" s="54" t="s">
        <v>93</v>
      </c>
      <c r="J51" s="74">
        <v>1.5E7</v>
      </c>
      <c r="K51" s="73">
        <v>45869.0</v>
      </c>
    </row>
    <row r="52" ht="18.75" customHeight="1">
      <c r="A52" s="50">
        <v>45.0</v>
      </c>
      <c r="B52" s="76"/>
      <c r="C52" s="54"/>
      <c r="D52" s="60"/>
      <c r="E52" s="84"/>
      <c r="F52" s="54"/>
      <c r="G52" s="52"/>
      <c r="H52" s="54"/>
      <c r="I52" s="54"/>
      <c r="J52" s="64"/>
      <c r="K52" s="73"/>
    </row>
    <row r="53" ht="18.75" customHeight="1">
      <c r="A53" s="50">
        <v>46.0</v>
      </c>
      <c r="B53" s="76"/>
      <c r="C53" s="54"/>
      <c r="D53" s="60"/>
      <c r="E53" s="84"/>
      <c r="F53" s="54"/>
      <c r="G53" s="52"/>
      <c r="H53" s="54"/>
      <c r="I53" s="54"/>
      <c r="J53" s="64"/>
      <c r="K53" s="73"/>
    </row>
    <row r="54" ht="18.75" customHeight="1">
      <c r="A54" s="50">
        <v>47.0</v>
      </c>
      <c r="B54" s="76"/>
      <c r="C54" s="54"/>
      <c r="D54" s="60"/>
      <c r="E54" s="84"/>
      <c r="F54" s="54"/>
      <c r="G54" s="52"/>
      <c r="H54" s="54"/>
      <c r="I54" s="54"/>
      <c r="J54" s="64"/>
      <c r="K54" s="73"/>
    </row>
    <row r="55" ht="18.75" customHeight="1">
      <c r="A55" s="50">
        <v>48.0</v>
      </c>
      <c r="B55" s="76"/>
      <c r="C55" s="54"/>
      <c r="D55" s="60"/>
      <c r="E55" s="84"/>
      <c r="F55" s="54"/>
      <c r="G55" s="52"/>
      <c r="H55" s="64" t="s">
        <v>83</v>
      </c>
      <c r="I55" s="64" t="s">
        <v>84</v>
      </c>
      <c r="J55" s="74">
        <f>SUM(J56:J65)</f>
        <v>232522117</v>
      </c>
      <c r="K55" s="73"/>
    </row>
    <row r="56" ht="18.75" customHeight="1">
      <c r="A56" s="50">
        <v>49.0</v>
      </c>
      <c r="B56" s="76"/>
      <c r="C56" s="75"/>
      <c r="D56" s="60"/>
      <c r="E56" s="84"/>
      <c r="F56" s="54"/>
      <c r="G56" s="52"/>
      <c r="H56" s="54"/>
      <c r="I56" s="54" t="s">
        <v>94</v>
      </c>
      <c r="J56" s="74">
        <v>8.8398E7</v>
      </c>
      <c r="K56" s="76"/>
    </row>
    <row r="57" ht="18.75" customHeight="1">
      <c r="A57" s="50">
        <v>50.0</v>
      </c>
      <c r="B57" s="76"/>
      <c r="C57" s="54"/>
      <c r="D57" s="60"/>
      <c r="E57" s="84"/>
      <c r="F57" s="54"/>
      <c r="G57" s="52"/>
      <c r="H57" s="54"/>
      <c r="I57" s="54" t="s">
        <v>93</v>
      </c>
      <c r="J57" s="74">
        <v>1.35E7</v>
      </c>
      <c r="K57" s="76"/>
    </row>
    <row r="58" ht="18.75" customHeight="1">
      <c r="A58" s="50">
        <v>51.0</v>
      </c>
      <c r="B58" s="76"/>
      <c r="C58" s="54"/>
      <c r="D58" s="60"/>
      <c r="E58" s="84"/>
      <c r="F58" s="54"/>
      <c r="G58" s="52"/>
      <c r="H58" s="54"/>
      <c r="I58" s="54" t="s">
        <v>95</v>
      </c>
      <c r="J58" s="74">
        <v>6.2276077E7</v>
      </c>
      <c r="K58" s="76"/>
    </row>
    <row r="59" ht="18.75" customHeight="1">
      <c r="A59" s="50">
        <v>52.0</v>
      </c>
      <c r="B59" s="76"/>
      <c r="C59" s="75"/>
      <c r="D59" s="60"/>
      <c r="E59" s="84"/>
      <c r="F59" s="54"/>
      <c r="G59" s="52"/>
      <c r="H59" s="54"/>
      <c r="I59" s="54" t="s">
        <v>96</v>
      </c>
      <c r="J59" s="74">
        <v>5.094804E7</v>
      </c>
      <c r="K59" s="76"/>
    </row>
    <row r="60" ht="18.75" customHeight="1">
      <c r="A60" s="50">
        <v>53.0</v>
      </c>
      <c r="B60" s="76"/>
      <c r="C60" s="54"/>
      <c r="D60" s="60"/>
      <c r="E60" s="84"/>
      <c r="F60" s="54"/>
      <c r="G60" s="52"/>
      <c r="H60" s="54"/>
      <c r="I60" s="54" t="s">
        <v>97</v>
      </c>
      <c r="J60" s="74">
        <v>1.54E7</v>
      </c>
      <c r="K60" s="73"/>
    </row>
    <row r="61" ht="18.75" customHeight="1">
      <c r="A61" s="50">
        <v>54.0</v>
      </c>
      <c r="B61" s="76"/>
      <c r="C61" s="54"/>
      <c r="D61" s="60"/>
      <c r="E61" s="84"/>
      <c r="F61" s="54"/>
      <c r="G61" s="52"/>
      <c r="H61" s="54"/>
      <c r="I61" s="54" t="s">
        <v>98</v>
      </c>
      <c r="J61" s="74">
        <v>2000000.0</v>
      </c>
      <c r="K61" s="73"/>
    </row>
    <row r="62" ht="18.75" customHeight="1">
      <c r="A62" s="50">
        <v>55.0</v>
      </c>
      <c r="B62" s="76"/>
      <c r="C62" s="54"/>
      <c r="D62" s="60"/>
      <c r="E62" s="84"/>
      <c r="F62" s="54"/>
      <c r="G62" s="52"/>
      <c r="H62" s="54"/>
      <c r="I62" s="54"/>
      <c r="J62" s="74"/>
      <c r="K62" s="73"/>
    </row>
    <row r="63" ht="18.75" customHeight="1">
      <c r="A63" s="50">
        <v>56.0</v>
      </c>
      <c r="B63" s="76"/>
      <c r="C63" s="54"/>
      <c r="D63" s="60"/>
      <c r="E63" s="84"/>
      <c r="F63" s="54"/>
      <c r="G63" s="52"/>
      <c r="H63" s="54"/>
      <c r="I63" s="54"/>
      <c r="J63" s="74"/>
      <c r="K63" s="73"/>
    </row>
    <row r="64" ht="18.75" customHeight="1">
      <c r="A64" s="50">
        <v>57.0</v>
      </c>
      <c r="B64" s="76"/>
      <c r="C64" s="54"/>
      <c r="D64" s="60"/>
      <c r="E64" s="84"/>
      <c r="F64" s="54"/>
      <c r="G64" s="52"/>
      <c r="H64" s="54"/>
      <c r="I64" s="54"/>
      <c r="J64" s="74"/>
      <c r="K64" s="73"/>
    </row>
    <row r="65" ht="18.75" customHeight="1">
      <c r="A65" s="50">
        <v>58.0</v>
      </c>
      <c r="B65" s="76"/>
      <c r="C65" s="54"/>
      <c r="D65" s="60"/>
      <c r="E65" s="84"/>
      <c r="F65" s="54"/>
      <c r="G65" s="52"/>
      <c r="H65" s="54"/>
      <c r="I65" s="54"/>
      <c r="J65" s="74"/>
      <c r="K65" s="73"/>
    </row>
    <row r="66" ht="18.75" customHeight="1">
      <c r="A66" s="50">
        <v>59.0</v>
      </c>
      <c r="B66" s="76"/>
      <c r="C66" s="75"/>
      <c r="D66" s="60"/>
      <c r="E66" s="84"/>
      <c r="F66" s="54"/>
      <c r="G66" s="52"/>
      <c r="H66" s="64" t="s">
        <v>87</v>
      </c>
      <c r="I66" s="64" t="s">
        <v>5</v>
      </c>
      <c r="J66" s="28">
        <f>J46+J47-J55</f>
        <v>-102596439</v>
      </c>
      <c r="K66" s="73"/>
    </row>
    <row r="67" ht="18.75" customHeight="1">
      <c r="A67" s="77"/>
      <c r="B67" s="87"/>
      <c r="C67" s="77"/>
      <c r="D67" s="60"/>
      <c r="E67" s="84"/>
      <c r="F67" s="77"/>
      <c r="G67" s="77"/>
      <c r="H67" s="77"/>
      <c r="I67" s="77"/>
      <c r="J67" s="77"/>
      <c r="K67" s="77"/>
    </row>
    <row r="68" ht="18.75" customHeight="1">
      <c r="A68" s="77"/>
      <c r="B68" s="87"/>
      <c r="C68" s="77"/>
      <c r="D68" s="60"/>
      <c r="E68" s="84"/>
      <c r="F68" s="77"/>
      <c r="G68" s="77"/>
      <c r="H68" s="77"/>
      <c r="I68" s="77"/>
      <c r="J68" s="77"/>
      <c r="K68" s="77"/>
    </row>
    <row r="69" ht="18.75" customHeight="1">
      <c r="A69" s="77"/>
      <c r="B69" s="87"/>
      <c r="C69" s="77"/>
      <c r="D69" s="60"/>
      <c r="E69" s="84"/>
      <c r="F69" s="77"/>
      <c r="G69" s="77"/>
      <c r="H69" s="77"/>
      <c r="I69" s="77"/>
      <c r="J69" s="77"/>
      <c r="K69" s="77"/>
    </row>
    <row r="70" ht="18.75" customHeight="1">
      <c r="A70" s="77"/>
      <c r="B70" s="87"/>
      <c r="C70" s="77"/>
      <c r="D70" s="60"/>
      <c r="E70" s="84"/>
      <c r="F70" s="77"/>
      <c r="G70" s="77"/>
      <c r="H70" s="77"/>
      <c r="I70" s="77"/>
      <c r="J70" s="77"/>
      <c r="K70" s="77"/>
    </row>
    <row r="71" ht="18.75" customHeight="1">
      <c r="A71" s="77"/>
      <c r="B71" s="87"/>
      <c r="C71" s="77"/>
      <c r="D71" s="60"/>
      <c r="E71" s="77"/>
      <c r="F71" s="77"/>
      <c r="G71" s="77"/>
      <c r="H71" s="77"/>
      <c r="I71" s="77"/>
      <c r="J71" s="77"/>
      <c r="K71" s="77"/>
    </row>
    <row r="72" ht="18.75" customHeight="1">
      <c r="A72" s="77"/>
      <c r="B72" s="87"/>
      <c r="C72" s="77"/>
      <c r="D72" s="60"/>
      <c r="E72" s="77"/>
      <c r="F72" s="77"/>
      <c r="G72" s="77"/>
      <c r="H72" s="77"/>
      <c r="I72" s="77"/>
      <c r="J72" s="77"/>
      <c r="K72" s="77"/>
    </row>
    <row r="73" ht="18.75" customHeight="1">
      <c r="A73" s="77"/>
      <c r="B73" s="87"/>
      <c r="C73" s="77"/>
      <c r="D73" s="60"/>
      <c r="E73" s="77"/>
      <c r="F73" s="77"/>
      <c r="G73" s="77"/>
      <c r="H73" s="77"/>
      <c r="I73" s="77"/>
      <c r="J73" s="77"/>
      <c r="K73" s="77"/>
    </row>
    <row r="74" ht="18.75" customHeight="1">
      <c r="A74" s="77"/>
      <c r="B74" s="87"/>
      <c r="C74" s="77"/>
      <c r="D74" s="60"/>
      <c r="E74" s="77"/>
      <c r="F74" s="77"/>
      <c r="G74" s="77"/>
      <c r="H74" s="77"/>
      <c r="I74" s="77"/>
      <c r="J74" s="77"/>
      <c r="K74" s="77"/>
    </row>
    <row r="75" ht="18.75" customHeight="1">
      <c r="A75" s="77"/>
      <c r="B75" s="87"/>
      <c r="C75" s="77"/>
      <c r="D75" s="60"/>
      <c r="E75" s="77"/>
      <c r="F75" s="77"/>
      <c r="G75" s="77"/>
      <c r="H75" s="77"/>
      <c r="I75" s="77"/>
      <c r="J75" s="77"/>
      <c r="K75" s="77"/>
    </row>
    <row r="76" ht="18.75" customHeight="1">
      <c r="A76" s="77"/>
      <c r="B76" s="87"/>
      <c r="C76" s="77"/>
      <c r="D76" s="60"/>
      <c r="E76" s="77"/>
      <c r="F76" s="77"/>
      <c r="G76" s="77"/>
      <c r="H76" s="77"/>
      <c r="I76" s="77"/>
      <c r="J76" s="77"/>
      <c r="K76" s="77"/>
    </row>
    <row r="77" ht="18.75" customHeight="1">
      <c r="A77" s="77"/>
      <c r="B77" s="87"/>
      <c r="C77" s="77"/>
      <c r="D77" s="60"/>
      <c r="E77" s="77"/>
      <c r="F77" s="77"/>
      <c r="G77" s="77"/>
      <c r="H77" s="77"/>
      <c r="I77" s="77"/>
      <c r="J77" s="77"/>
      <c r="K77" s="77"/>
    </row>
    <row r="78" ht="18.75" customHeight="1">
      <c r="A78" s="77"/>
      <c r="B78" s="87"/>
      <c r="C78" s="77"/>
      <c r="D78" s="60"/>
      <c r="E78" s="77"/>
      <c r="F78" s="77"/>
      <c r="G78" s="77"/>
      <c r="H78" s="77"/>
      <c r="I78" s="77"/>
      <c r="J78" s="77"/>
      <c r="K78" s="77"/>
    </row>
    <row r="79" ht="18.75" customHeight="1">
      <c r="A79" s="77"/>
      <c r="B79" s="87"/>
      <c r="C79" s="77"/>
      <c r="D79" s="60"/>
      <c r="E79" s="77"/>
      <c r="F79" s="77"/>
      <c r="G79" s="77"/>
      <c r="H79" s="77"/>
      <c r="I79" s="77"/>
      <c r="J79" s="77"/>
      <c r="K79" s="77"/>
    </row>
    <row r="80" ht="18.75" customHeight="1">
      <c r="A80" s="77"/>
      <c r="B80" s="87"/>
      <c r="C80" s="77"/>
      <c r="D80" s="60"/>
      <c r="E80" s="77"/>
      <c r="F80" s="77"/>
      <c r="G80" s="77"/>
      <c r="H80" s="77"/>
      <c r="I80" s="77"/>
      <c r="J80" s="77"/>
      <c r="K80" s="77"/>
    </row>
    <row r="81" ht="18.75" customHeight="1">
      <c r="A81" s="77"/>
      <c r="B81" s="87"/>
      <c r="C81" s="77"/>
      <c r="D81" s="60"/>
      <c r="E81" s="77"/>
      <c r="F81" s="77"/>
      <c r="G81" s="77"/>
      <c r="H81" s="77"/>
      <c r="I81" s="77"/>
      <c r="J81" s="77"/>
      <c r="K81" s="77"/>
    </row>
    <row r="82" ht="18.75" customHeight="1">
      <c r="A82" s="77"/>
      <c r="B82" s="87"/>
      <c r="C82" s="77"/>
      <c r="D82" s="60"/>
      <c r="E82" s="77"/>
      <c r="F82" s="77"/>
      <c r="G82" s="77"/>
      <c r="H82" s="77"/>
      <c r="I82" s="77"/>
      <c r="J82" s="77"/>
      <c r="K82" s="77"/>
    </row>
    <row r="83" ht="18.75" customHeight="1">
      <c r="A83" s="77"/>
      <c r="B83" s="87"/>
      <c r="C83" s="77"/>
      <c r="D83" s="60"/>
      <c r="E83" s="77"/>
      <c r="F83" s="77"/>
      <c r="G83" s="77"/>
      <c r="H83" s="77"/>
      <c r="I83" s="77"/>
      <c r="J83" s="77"/>
      <c r="K83" s="77"/>
    </row>
    <row r="84" ht="18.75" customHeight="1">
      <c r="A84" s="77"/>
      <c r="B84" s="87"/>
      <c r="C84" s="77"/>
      <c r="D84" s="60"/>
      <c r="E84" s="77"/>
      <c r="F84" s="77"/>
      <c r="G84" s="77"/>
      <c r="H84" s="77"/>
      <c r="I84" s="77"/>
      <c r="J84" s="77"/>
      <c r="K84" s="77"/>
    </row>
    <row r="85" ht="18.75" customHeight="1">
      <c r="A85" s="77"/>
      <c r="B85" s="87"/>
      <c r="C85" s="77"/>
      <c r="D85" s="60"/>
      <c r="E85" s="77"/>
      <c r="F85" s="77"/>
      <c r="G85" s="77"/>
      <c r="H85" s="77"/>
      <c r="I85" s="77"/>
      <c r="J85" s="77"/>
      <c r="K85" s="77"/>
    </row>
    <row r="86" ht="18.75" customHeight="1">
      <c r="A86" s="77"/>
      <c r="B86" s="87"/>
      <c r="C86" s="77"/>
      <c r="D86" s="60"/>
      <c r="E86" s="77"/>
      <c r="F86" s="77"/>
      <c r="G86" s="77"/>
      <c r="H86" s="77"/>
      <c r="I86" s="77"/>
      <c r="J86" s="77"/>
      <c r="K86" s="77"/>
    </row>
    <row r="87" ht="18.75" customHeight="1">
      <c r="A87" s="77"/>
      <c r="B87" s="87"/>
      <c r="C87" s="77"/>
      <c r="D87" s="60"/>
      <c r="E87" s="77"/>
      <c r="F87" s="77"/>
      <c r="G87" s="77"/>
      <c r="H87" s="77"/>
      <c r="I87" s="77"/>
      <c r="J87" s="77"/>
      <c r="K87" s="77"/>
    </row>
    <row r="88" ht="18.75" customHeight="1">
      <c r="A88" s="77"/>
      <c r="B88" s="87"/>
      <c r="C88" s="77"/>
      <c r="D88" s="60"/>
      <c r="E88" s="77"/>
      <c r="F88" s="77"/>
      <c r="G88" s="77"/>
      <c r="H88" s="77"/>
      <c r="I88" s="77"/>
      <c r="J88" s="77"/>
      <c r="K88" s="77"/>
    </row>
    <row r="89" ht="18.75" customHeight="1">
      <c r="A89" s="77"/>
      <c r="B89" s="87"/>
      <c r="C89" s="77"/>
      <c r="D89" s="60"/>
      <c r="E89" s="77"/>
      <c r="F89" s="77"/>
      <c r="G89" s="77"/>
      <c r="H89" s="77"/>
      <c r="I89" s="77"/>
      <c r="J89" s="77"/>
      <c r="K89" s="77"/>
    </row>
    <row r="90" ht="18.75" customHeight="1">
      <c r="A90" s="77"/>
      <c r="B90" s="87"/>
      <c r="C90" s="77"/>
      <c r="D90" s="60"/>
      <c r="E90" s="77"/>
      <c r="F90" s="77"/>
      <c r="G90" s="77"/>
      <c r="H90" s="77"/>
      <c r="I90" s="77"/>
      <c r="J90" s="77"/>
      <c r="K90" s="77"/>
    </row>
    <row r="91" ht="18.75" customHeight="1">
      <c r="A91" s="77"/>
      <c r="B91" s="87"/>
      <c r="C91" s="77"/>
      <c r="D91" s="60"/>
      <c r="E91" s="77"/>
      <c r="F91" s="77"/>
      <c r="G91" s="77"/>
      <c r="H91" s="77"/>
      <c r="I91" s="77"/>
      <c r="J91" s="77"/>
      <c r="K91" s="77"/>
    </row>
    <row r="92" ht="18.75" customHeight="1">
      <c r="A92" s="77"/>
      <c r="B92" s="87"/>
      <c r="C92" s="77"/>
      <c r="D92" s="60"/>
      <c r="E92" s="77"/>
      <c r="F92" s="77"/>
      <c r="G92" s="77"/>
      <c r="H92" s="77"/>
      <c r="I92" s="77"/>
      <c r="J92" s="77"/>
      <c r="K92" s="77"/>
    </row>
    <row r="93" ht="18.75" customHeight="1">
      <c r="A93" s="77"/>
      <c r="B93" s="87"/>
      <c r="C93" s="77"/>
      <c r="D93" s="60"/>
      <c r="E93" s="77"/>
      <c r="F93" s="77"/>
      <c r="G93" s="77"/>
      <c r="H93" s="77"/>
      <c r="I93" s="77"/>
      <c r="J93" s="77"/>
      <c r="K93" s="77"/>
    </row>
    <row r="94" ht="18.75" customHeight="1">
      <c r="A94" s="77"/>
      <c r="B94" s="87"/>
      <c r="C94" s="77"/>
      <c r="D94" s="60"/>
      <c r="E94" s="77"/>
      <c r="F94" s="77"/>
      <c r="G94" s="77"/>
      <c r="H94" s="77"/>
      <c r="I94" s="77"/>
      <c r="J94" s="77"/>
      <c r="K94" s="77"/>
    </row>
    <row r="95" ht="18.75" customHeight="1">
      <c r="A95" s="77"/>
      <c r="B95" s="87"/>
      <c r="C95" s="77"/>
      <c r="D95" s="60"/>
      <c r="E95" s="77"/>
      <c r="F95" s="77"/>
      <c r="G95" s="77"/>
      <c r="H95" s="77"/>
      <c r="I95" s="77"/>
      <c r="J95" s="77"/>
      <c r="K95" s="77"/>
    </row>
    <row r="96" ht="18.75" customHeight="1">
      <c r="A96" s="77"/>
      <c r="B96" s="87"/>
      <c r="C96" s="77"/>
      <c r="D96" s="77"/>
      <c r="E96" s="77"/>
      <c r="F96" s="77"/>
      <c r="G96" s="77"/>
      <c r="H96" s="77"/>
      <c r="I96" s="77"/>
      <c r="J96" s="77"/>
      <c r="K96" s="77"/>
    </row>
    <row r="97" ht="18.75" customHeight="1">
      <c r="A97" s="77"/>
      <c r="B97" s="87"/>
      <c r="C97" s="77"/>
      <c r="D97" s="77"/>
      <c r="E97" s="77"/>
      <c r="F97" s="77"/>
      <c r="G97" s="77"/>
      <c r="H97" s="77"/>
      <c r="I97" s="77"/>
      <c r="J97" s="77"/>
      <c r="K97" s="77"/>
    </row>
    <row r="98" ht="18.75" customHeight="1">
      <c r="A98" s="77"/>
      <c r="B98" s="87"/>
      <c r="C98" s="77"/>
      <c r="D98" s="77"/>
      <c r="E98" s="77"/>
      <c r="F98" s="77"/>
      <c r="G98" s="77"/>
      <c r="H98" s="77"/>
      <c r="I98" s="77"/>
      <c r="J98" s="77"/>
      <c r="K98" s="77"/>
    </row>
    <row r="99" ht="18.75" customHeight="1">
      <c r="A99" s="77"/>
      <c r="B99" s="87"/>
      <c r="C99" s="77"/>
      <c r="D99" s="77"/>
      <c r="E99" s="77"/>
      <c r="F99" s="77"/>
      <c r="G99" s="77"/>
      <c r="H99" s="77"/>
      <c r="I99" s="77"/>
      <c r="J99" s="77"/>
      <c r="K99" s="77"/>
    </row>
    <row r="100" ht="18.75" customHeight="1">
      <c r="A100" s="77"/>
      <c r="B100" s="87"/>
      <c r="C100" s="77"/>
      <c r="D100" s="77"/>
      <c r="E100" s="77"/>
      <c r="F100" s="77"/>
      <c r="G100" s="77"/>
      <c r="H100" s="77"/>
      <c r="I100" s="77"/>
      <c r="J100" s="77"/>
      <c r="K100" s="77"/>
    </row>
    <row r="101" ht="18.75" customHeight="1">
      <c r="A101" s="77"/>
      <c r="B101" s="87"/>
      <c r="C101" s="77"/>
      <c r="D101" s="77"/>
      <c r="E101" s="77"/>
      <c r="F101" s="77"/>
      <c r="G101" s="77"/>
      <c r="H101" s="77"/>
      <c r="I101" s="77"/>
      <c r="J101" s="77"/>
      <c r="K101" s="77"/>
    </row>
    <row r="102" ht="18.75" customHeight="1">
      <c r="A102" s="77"/>
      <c r="B102" s="87"/>
      <c r="C102" s="77"/>
      <c r="D102" s="77"/>
      <c r="E102" s="77"/>
      <c r="F102" s="77"/>
      <c r="G102" s="77"/>
      <c r="H102" s="77"/>
      <c r="I102" s="77"/>
      <c r="J102" s="77"/>
      <c r="K102" s="77"/>
    </row>
    <row r="103" ht="18.75" customHeight="1">
      <c r="A103" s="77"/>
      <c r="B103" s="87"/>
      <c r="C103" s="77"/>
      <c r="D103" s="77"/>
      <c r="E103" s="77"/>
      <c r="F103" s="77"/>
      <c r="G103" s="77"/>
      <c r="H103" s="77"/>
      <c r="I103" s="77"/>
      <c r="J103" s="77"/>
      <c r="K103" s="77"/>
    </row>
    <row r="104" ht="18.75" customHeight="1">
      <c r="A104" s="77"/>
      <c r="B104" s="87"/>
      <c r="C104" s="77"/>
      <c r="D104" s="77"/>
      <c r="E104" s="77"/>
      <c r="F104" s="77"/>
      <c r="G104" s="77"/>
      <c r="H104" s="77"/>
      <c r="I104" s="77"/>
      <c r="J104" s="77"/>
      <c r="K104" s="77"/>
    </row>
    <row r="105" ht="18.75" customHeight="1">
      <c r="A105" s="77"/>
      <c r="B105" s="87"/>
      <c r="C105" s="77"/>
      <c r="D105" s="77"/>
      <c r="E105" s="77"/>
      <c r="F105" s="77"/>
      <c r="G105" s="77"/>
      <c r="H105" s="77"/>
      <c r="I105" s="77"/>
      <c r="J105" s="77"/>
      <c r="K105" s="77"/>
    </row>
    <row r="106" ht="18.75" customHeight="1">
      <c r="A106" s="77"/>
      <c r="B106" s="87"/>
      <c r="C106" s="77"/>
      <c r="D106" s="77"/>
      <c r="E106" s="77"/>
      <c r="F106" s="77"/>
      <c r="G106" s="77"/>
      <c r="H106" s="77"/>
      <c r="I106" s="77"/>
      <c r="J106" s="77"/>
      <c r="K106" s="77"/>
    </row>
    <row r="107" ht="18.75" customHeight="1">
      <c r="A107" s="77"/>
      <c r="B107" s="87"/>
      <c r="C107" s="77"/>
      <c r="D107" s="77"/>
      <c r="E107" s="77"/>
      <c r="F107" s="77"/>
      <c r="G107" s="77"/>
      <c r="H107" s="77"/>
      <c r="I107" s="77"/>
      <c r="J107" s="77"/>
      <c r="K107" s="77"/>
    </row>
    <row r="108" ht="18.75" customHeight="1">
      <c r="A108" s="77"/>
      <c r="B108" s="87"/>
      <c r="C108" s="77"/>
      <c r="D108" s="77"/>
      <c r="E108" s="77"/>
      <c r="F108" s="77"/>
      <c r="G108" s="77"/>
      <c r="H108" s="77"/>
      <c r="I108" s="77"/>
      <c r="J108" s="77"/>
      <c r="K108" s="77"/>
    </row>
    <row r="109" ht="18.75" customHeight="1">
      <c r="A109" s="77"/>
      <c r="B109" s="87"/>
      <c r="C109" s="77"/>
      <c r="D109" s="77"/>
      <c r="E109" s="77"/>
      <c r="F109" s="77"/>
      <c r="G109" s="77"/>
      <c r="H109" s="77"/>
      <c r="I109" s="77"/>
      <c r="J109" s="77"/>
      <c r="K109" s="77"/>
    </row>
    <row r="110" ht="18.75" customHeight="1">
      <c r="A110" s="77"/>
      <c r="B110" s="87"/>
      <c r="C110" s="77"/>
      <c r="D110" s="77"/>
      <c r="E110" s="77"/>
      <c r="F110" s="77"/>
      <c r="G110" s="77"/>
      <c r="H110" s="77"/>
      <c r="I110" s="77"/>
      <c r="J110" s="77"/>
      <c r="K110" s="77"/>
    </row>
    <row r="111" ht="18.75" customHeight="1">
      <c r="A111" s="77"/>
      <c r="B111" s="87"/>
      <c r="C111" s="77"/>
      <c r="D111" s="77"/>
      <c r="E111" s="77"/>
      <c r="F111" s="77"/>
      <c r="G111" s="77"/>
      <c r="H111" s="77"/>
      <c r="I111" s="77"/>
      <c r="J111" s="77"/>
      <c r="K111" s="77"/>
    </row>
    <row r="112" ht="18.75" customHeight="1">
      <c r="A112" s="77"/>
      <c r="B112" s="87"/>
      <c r="C112" s="77"/>
      <c r="D112" s="77"/>
      <c r="E112" s="77"/>
      <c r="F112" s="77"/>
      <c r="G112" s="77"/>
      <c r="H112" s="77"/>
      <c r="I112" s="77"/>
      <c r="J112" s="77"/>
      <c r="K112" s="77"/>
    </row>
    <row r="113" ht="18.75" customHeight="1">
      <c r="A113" s="77"/>
      <c r="B113" s="87"/>
      <c r="C113" s="77"/>
      <c r="D113" s="77"/>
      <c r="E113" s="77"/>
      <c r="F113" s="77"/>
      <c r="G113" s="77"/>
      <c r="H113" s="77"/>
      <c r="I113" s="77"/>
      <c r="J113" s="77"/>
      <c r="K113" s="77"/>
    </row>
    <row r="114" ht="18.75" customHeight="1">
      <c r="A114" s="77"/>
      <c r="B114" s="87"/>
      <c r="C114" s="77"/>
      <c r="D114" s="77"/>
      <c r="E114" s="77"/>
      <c r="F114" s="77"/>
      <c r="G114" s="77"/>
      <c r="H114" s="77"/>
      <c r="I114" s="77"/>
      <c r="J114" s="77"/>
      <c r="K114" s="77"/>
    </row>
    <row r="115" ht="18.75" customHeight="1">
      <c r="A115" s="77"/>
      <c r="B115" s="87"/>
      <c r="C115" s="77"/>
      <c r="D115" s="77"/>
      <c r="E115" s="77"/>
      <c r="F115" s="77"/>
      <c r="G115" s="77"/>
      <c r="H115" s="77"/>
      <c r="I115" s="77"/>
      <c r="J115" s="77"/>
      <c r="K115" s="77"/>
    </row>
    <row r="116" ht="18.75" customHeight="1">
      <c r="A116" s="77"/>
      <c r="B116" s="87"/>
      <c r="C116" s="77"/>
      <c r="D116" s="77"/>
      <c r="E116" s="77"/>
      <c r="F116" s="77"/>
      <c r="G116" s="77"/>
      <c r="H116" s="77"/>
      <c r="I116" s="77"/>
      <c r="J116" s="77"/>
      <c r="K116" s="77"/>
    </row>
    <row r="117" ht="18.75" customHeight="1">
      <c r="A117" s="77"/>
      <c r="B117" s="87"/>
      <c r="C117" s="77"/>
      <c r="D117" s="77"/>
      <c r="E117" s="77"/>
      <c r="F117" s="77"/>
      <c r="G117" s="77"/>
      <c r="H117" s="77"/>
      <c r="I117" s="77"/>
      <c r="J117" s="77"/>
      <c r="K117" s="77"/>
    </row>
    <row r="118" ht="18.75" customHeight="1">
      <c r="A118" s="77"/>
      <c r="B118" s="87"/>
      <c r="C118" s="77"/>
      <c r="D118" s="77"/>
      <c r="E118" s="77"/>
      <c r="F118" s="77"/>
      <c r="G118" s="77"/>
      <c r="H118" s="77"/>
      <c r="I118" s="77"/>
      <c r="J118" s="77"/>
      <c r="K118" s="77"/>
    </row>
    <row r="119" ht="18.75" customHeight="1">
      <c r="A119" s="77"/>
      <c r="B119" s="87"/>
      <c r="C119" s="77"/>
      <c r="D119" s="77"/>
      <c r="E119" s="77"/>
      <c r="F119" s="77"/>
      <c r="G119" s="77"/>
      <c r="H119" s="77"/>
      <c r="I119" s="77"/>
      <c r="J119" s="77"/>
      <c r="K119" s="77"/>
    </row>
    <row r="120" ht="18.75" customHeight="1">
      <c r="A120" s="77"/>
      <c r="B120" s="87"/>
      <c r="C120" s="77"/>
      <c r="D120" s="77"/>
      <c r="E120" s="77"/>
      <c r="F120" s="77"/>
      <c r="G120" s="77"/>
      <c r="H120" s="77"/>
      <c r="I120" s="77"/>
      <c r="J120" s="77"/>
      <c r="K120" s="77"/>
    </row>
    <row r="121" ht="18.75" customHeight="1">
      <c r="A121" s="77"/>
      <c r="B121" s="87"/>
      <c r="C121" s="77"/>
      <c r="D121" s="77"/>
      <c r="E121" s="77"/>
      <c r="F121" s="77"/>
      <c r="G121" s="77"/>
      <c r="H121" s="77"/>
      <c r="I121" s="77"/>
      <c r="J121" s="77"/>
      <c r="K121" s="77"/>
    </row>
    <row r="122" ht="18.75" customHeight="1">
      <c r="A122" s="77"/>
      <c r="B122" s="87"/>
      <c r="C122" s="77"/>
      <c r="D122" s="77"/>
      <c r="E122" s="77"/>
      <c r="F122" s="77"/>
      <c r="G122" s="77"/>
      <c r="H122" s="77"/>
      <c r="I122" s="77"/>
      <c r="J122" s="77"/>
      <c r="K122" s="77"/>
    </row>
    <row r="123" ht="18.75" customHeight="1">
      <c r="A123" s="77"/>
      <c r="B123" s="87"/>
      <c r="C123" s="77"/>
      <c r="D123" s="77"/>
      <c r="E123" s="77"/>
      <c r="F123" s="77"/>
      <c r="G123" s="77"/>
      <c r="H123" s="77"/>
      <c r="I123" s="77"/>
      <c r="J123" s="77"/>
      <c r="K123" s="77"/>
    </row>
    <row r="124" ht="18.75" customHeight="1">
      <c r="A124" s="77"/>
      <c r="B124" s="87"/>
      <c r="C124" s="77"/>
      <c r="D124" s="77"/>
      <c r="E124" s="77"/>
      <c r="F124" s="77"/>
      <c r="G124" s="77"/>
      <c r="H124" s="77"/>
      <c r="I124" s="77"/>
      <c r="J124" s="77"/>
      <c r="K124" s="77"/>
    </row>
    <row r="125" ht="18.75" customHeight="1">
      <c r="A125" s="77"/>
      <c r="B125" s="87"/>
      <c r="C125" s="77"/>
      <c r="D125" s="77"/>
      <c r="E125" s="77"/>
      <c r="F125" s="77"/>
      <c r="G125" s="77"/>
      <c r="H125" s="77"/>
      <c r="I125" s="77"/>
      <c r="J125" s="77"/>
      <c r="K125" s="77"/>
    </row>
    <row r="126" ht="18.75" customHeight="1">
      <c r="A126" s="77"/>
      <c r="B126" s="87"/>
      <c r="C126" s="77"/>
      <c r="D126" s="77"/>
      <c r="E126" s="77"/>
      <c r="F126" s="77"/>
      <c r="G126" s="77"/>
      <c r="H126" s="77"/>
      <c r="I126" s="77"/>
      <c r="J126" s="77"/>
      <c r="K126" s="77"/>
    </row>
    <row r="127" ht="18.75" customHeight="1">
      <c r="A127" s="77"/>
      <c r="B127" s="87"/>
      <c r="C127" s="77"/>
      <c r="D127" s="77"/>
      <c r="E127" s="77"/>
      <c r="F127" s="77"/>
      <c r="G127" s="77"/>
      <c r="H127" s="77"/>
      <c r="I127" s="77"/>
      <c r="J127" s="77"/>
      <c r="K127" s="77"/>
    </row>
    <row r="128" ht="18.75" customHeight="1">
      <c r="A128" s="77"/>
      <c r="B128" s="87"/>
      <c r="C128" s="77"/>
      <c r="D128" s="77"/>
      <c r="E128" s="77"/>
      <c r="F128" s="77"/>
      <c r="G128" s="77"/>
      <c r="H128" s="77"/>
      <c r="I128" s="77"/>
      <c r="J128" s="77"/>
      <c r="K128" s="77"/>
    </row>
    <row r="129" ht="18.75" customHeight="1">
      <c r="A129" s="77"/>
      <c r="B129" s="87"/>
      <c r="C129" s="77"/>
      <c r="D129" s="77"/>
      <c r="E129" s="77"/>
      <c r="F129" s="77"/>
      <c r="G129" s="77"/>
      <c r="H129" s="77"/>
      <c r="I129" s="77"/>
      <c r="J129" s="77"/>
      <c r="K129" s="77"/>
    </row>
    <row r="130" ht="18.75" customHeight="1">
      <c r="A130" s="77"/>
      <c r="B130" s="87"/>
      <c r="C130" s="77"/>
      <c r="D130" s="77"/>
      <c r="E130" s="77"/>
      <c r="F130" s="77"/>
      <c r="G130" s="77"/>
      <c r="H130" s="77"/>
      <c r="I130" s="77"/>
      <c r="J130" s="77"/>
      <c r="K130" s="77"/>
    </row>
    <row r="131" ht="18.75" customHeight="1">
      <c r="A131" s="77"/>
      <c r="B131" s="87"/>
      <c r="C131" s="77"/>
      <c r="D131" s="77"/>
      <c r="E131" s="77"/>
      <c r="F131" s="77"/>
      <c r="G131" s="77"/>
      <c r="H131" s="77"/>
      <c r="I131" s="77"/>
      <c r="J131" s="77"/>
      <c r="K131" s="77"/>
    </row>
    <row r="132" ht="18.75" customHeight="1">
      <c r="A132" s="77"/>
      <c r="B132" s="87"/>
      <c r="C132" s="77"/>
      <c r="D132" s="77"/>
      <c r="E132" s="77"/>
      <c r="F132" s="77"/>
      <c r="G132" s="77"/>
      <c r="H132" s="77"/>
      <c r="I132" s="77"/>
      <c r="J132" s="77"/>
      <c r="K132" s="77"/>
    </row>
    <row r="133" ht="18.75" customHeight="1">
      <c r="A133" s="77"/>
      <c r="B133" s="87"/>
      <c r="C133" s="77"/>
      <c r="D133" s="77"/>
      <c r="E133" s="77"/>
      <c r="F133" s="77"/>
      <c r="G133" s="77"/>
      <c r="H133" s="77"/>
      <c r="I133" s="77"/>
      <c r="J133" s="77"/>
      <c r="K133" s="77"/>
    </row>
    <row r="134" ht="18.75" customHeight="1">
      <c r="A134" s="77"/>
      <c r="B134" s="87"/>
      <c r="C134" s="77"/>
      <c r="D134" s="77"/>
      <c r="E134" s="77"/>
      <c r="F134" s="77"/>
      <c r="G134" s="77"/>
      <c r="H134" s="77"/>
      <c r="I134" s="77"/>
      <c r="J134" s="77"/>
      <c r="K134" s="77"/>
    </row>
    <row r="135" ht="18.75" customHeight="1">
      <c r="A135" s="77"/>
      <c r="B135" s="87"/>
      <c r="C135" s="77"/>
      <c r="D135" s="77"/>
      <c r="E135" s="77"/>
      <c r="F135" s="77"/>
      <c r="G135" s="77"/>
      <c r="H135" s="77"/>
      <c r="I135" s="77"/>
      <c r="J135" s="77"/>
      <c r="K135" s="77"/>
    </row>
    <row r="136" ht="18.75" customHeight="1">
      <c r="A136" s="77"/>
      <c r="B136" s="87"/>
      <c r="C136" s="77"/>
      <c r="D136" s="77"/>
      <c r="E136" s="77"/>
      <c r="F136" s="77"/>
      <c r="G136" s="77"/>
      <c r="H136" s="77"/>
      <c r="I136" s="77"/>
      <c r="J136" s="77"/>
      <c r="K136" s="77"/>
    </row>
    <row r="137" ht="18.75" customHeight="1">
      <c r="A137" s="77"/>
      <c r="B137" s="87"/>
      <c r="C137" s="77"/>
      <c r="D137" s="77"/>
      <c r="E137" s="77"/>
      <c r="F137" s="77"/>
      <c r="G137" s="77"/>
      <c r="H137" s="77"/>
      <c r="I137" s="77"/>
      <c r="J137" s="77"/>
      <c r="K137" s="77"/>
    </row>
    <row r="138" ht="18.75" customHeight="1">
      <c r="A138" s="77"/>
      <c r="B138" s="87"/>
      <c r="C138" s="77"/>
      <c r="D138" s="77"/>
      <c r="E138" s="77"/>
      <c r="F138" s="77"/>
      <c r="G138" s="77"/>
      <c r="H138" s="77"/>
      <c r="I138" s="77"/>
      <c r="J138" s="77"/>
      <c r="K138" s="77"/>
    </row>
    <row r="139" ht="18.75" customHeight="1">
      <c r="A139" s="77"/>
      <c r="B139" s="87"/>
      <c r="C139" s="77"/>
      <c r="D139" s="77"/>
      <c r="E139" s="77"/>
      <c r="F139" s="77"/>
      <c r="G139" s="77"/>
      <c r="H139" s="77"/>
      <c r="I139" s="77"/>
      <c r="J139" s="77"/>
      <c r="K139" s="77"/>
    </row>
    <row r="140" ht="18.75" customHeight="1">
      <c r="A140" s="77"/>
      <c r="B140" s="87"/>
      <c r="C140" s="77"/>
      <c r="D140" s="77"/>
      <c r="E140" s="77"/>
      <c r="F140" s="77"/>
      <c r="G140" s="77"/>
      <c r="H140" s="77"/>
      <c r="I140" s="77"/>
      <c r="J140" s="77"/>
      <c r="K140" s="77"/>
    </row>
    <row r="141" ht="18.75" customHeight="1">
      <c r="A141" s="77"/>
      <c r="B141" s="87"/>
      <c r="C141" s="77"/>
      <c r="D141" s="77"/>
      <c r="E141" s="77"/>
      <c r="F141" s="77"/>
      <c r="G141" s="77"/>
      <c r="H141" s="77"/>
      <c r="I141" s="77"/>
      <c r="J141" s="77"/>
      <c r="K141" s="77"/>
    </row>
    <row r="142" ht="18.75" customHeight="1">
      <c r="A142" s="77"/>
      <c r="B142" s="87"/>
      <c r="C142" s="77"/>
      <c r="D142" s="77"/>
      <c r="E142" s="77"/>
      <c r="F142" s="77"/>
      <c r="G142" s="77"/>
      <c r="H142" s="77"/>
      <c r="I142" s="77"/>
      <c r="J142" s="77"/>
      <c r="K142" s="77"/>
    </row>
    <row r="143" ht="18.75" customHeight="1">
      <c r="A143" s="77"/>
      <c r="B143" s="87"/>
      <c r="C143" s="77"/>
      <c r="D143" s="77"/>
      <c r="E143" s="77"/>
      <c r="F143" s="77"/>
      <c r="G143" s="77"/>
      <c r="H143" s="77"/>
      <c r="I143" s="77"/>
      <c r="J143" s="77"/>
      <c r="K143" s="77"/>
    </row>
    <row r="144" ht="18.75" customHeight="1">
      <c r="A144" s="77"/>
      <c r="B144" s="87"/>
      <c r="C144" s="77"/>
      <c r="D144" s="77"/>
      <c r="E144" s="77"/>
      <c r="F144" s="77"/>
      <c r="G144" s="77"/>
      <c r="H144" s="77"/>
      <c r="I144" s="77"/>
      <c r="J144" s="77"/>
      <c r="K144" s="77"/>
    </row>
    <row r="145" ht="18.75" customHeight="1">
      <c r="A145" s="77"/>
      <c r="B145" s="87"/>
      <c r="C145" s="77"/>
      <c r="D145" s="77"/>
      <c r="E145" s="77"/>
      <c r="F145" s="77"/>
      <c r="G145" s="77"/>
      <c r="H145" s="77"/>
      <c r="I145" s="77"/>
      <c r="J145" s="77"/>
      <c r="K145" s="77"/>
    </row>
    <row r="146" ht="18.75" customHeight="1">
      <c r="A146" s="77"/>
      <c r="B146" s="87"/>
      <c r="C146" s="77"/>
      <c r="D146" s="77"/>
      <c r="E146" s="77"/>
      <c r="F146" s="77"/>
      <c r="G146" s="77"/>
      <c r="H146" s="77"/>
      <c r="I146" s="77"/>
      <c r="J146" s="77"/>
      <c r="K146" s="77"/>
    </row>
    <row r="147" ht="18.75" customHeight="1">
      <c r="A147" s="77"/>
      <c r="B147" s="87"/>
      <c r="C147" s="77"/>
      <c r="D147" s="77"/>
      <c r="E147" s="77"/>
      <c r="F147" s="77"/>
      <c r="G147" s="77"/>
      <c r="H147" s="77"/>
      <c r="I147" s="77"/>
      <c r="J147" s="77"/>
      <c r="K147" s="77"/>
    </row>
    <row r="148" ht="18.75" customHeight="1">
      <c r="A148" s="77"/>
      <c r="B148" s="87"/>
      <c r="C148" s="77"/>
      <c r="D148" s="77"/>
      <c r="E148" s="77"/>
      <c r="F148" s="77"/>
      <c r="G148" s="77"/>
      <c r="H148" s="77"/>
      <c r="I148" s="77"/>
      <c r="J148" s="77"/>
      <c r="K148" s="77"/>
    </row>
    <row r="149" ht="18.75" customHeight="1">
      <c r="A149" s="77"/>
      <c r="B149" s="87"/>
      <c r="C149" s="77"/>
      <c r="D149" s="77"/>
      <c r="E149" s="77"/>
      <c r="F149" s="77"/>
      <c r="G149" s="77"/>
      <c r="H149" s="77"/>
      <c r="I149" s="77"/>
      <c r="J149" s="77"/>
      <c r="K149" s="77"/>
    </row>
    <row r="150" ht="18.75" customHeight="1">
      <c r="A150" s="77"/>
      <c r="B150" s="87"/>
      <c r="C150" s="77"/>
      <c r="D150" s="77"/>
      <c r="E150" s="77"/>
      <c r="F150" s="77"/>
      <c r="G150" s="77"/>
      <c r="H150" s="77"/>
      <c r="I150" s="77"/>
      <c r="J150" s="77"/>
      <c r="K150" s="77"/>
    </row>
    <row r="151" ht="18.75" customHeight="1">
      <c r="A151" s="77"/>
      <c r="B151" s="87"/>
      <c r="C151" s="77"/>
      <c r="D151" s="77"/>
      <c r="E151" s="77"/>
      <c r="F151" s="77"/>
      <c r="G151" s="77"/>
      <c r="H151" s="77"/>
      <c r="I151" s="77"/>
      <c r="J151" s="77"/>
      <c r="K151" s="77"/>
    </row>
    <row r="152" ht="18.75" customHeight="1">
      <c r="A152" s="77"/>
      <c r="B152" s="87"/>
      <c r="C152" s="77"/>
      <c r="D152" s="77"/>
      <c r="E152" s="77"/>
      <c r="F152" s="77"/>
      <c r="G152" s="77"/>
      <c r="H152" s="77"/>
      <c r="I152" s="77"/>
      <c r="J152" s="77"/>
      <c r="K152" s="77"/>
    </row>
    <row r="153" ht="18.75" customHeight="1">
      <c r="A153" s="77"/>
      <c r="B153" s="87"/>
      <c r="C153" s="77"/>
      <c r="D153" s="77"/>
      <c r="E153" s="77"/>
      <c r="F153" s="77"/>
      <c r="G153" s="77"/>
      <c r="H153" s="77"/>
      <c r="I153" s="77"/>
      <c r="J153" s="77"/>
      <c r="K153" s="77"/>
    </row>
    <row r="154" ht="18.75" customHeight="1">
      <c r="A154" s="77"/>
      <c r="B154" s="87"/>
      <c r="C154" s="77"/>
      <c r="D154" s="77"/>
      <c r="E154" s="77"/>
      <c r="F154" s="77"/>
      <c r="G154" s="77"/>
      <c r="H154" s="77"/>
      <c r="I154" s="77"/>
      <c r="J154" s="77"/>
      <c r="K154" s="77"/>
    </row>
    <row r="155" ht="18.75" customHeight="1">
      <c r="A155" s="77"/>
      <c r="B155" s="87"/>
      <c r="C155" s="77"/>
      <c r="D155" s="77"/>
      <c r="E155" s="77"/>
      <c r="F155" s="77"/>
      <c r="G155" s="77"/>
      <c r="H155" s="77"/>
      <c r="I155" s="77"/>
      <c r="J155" s="77"/>
      <c r="K155" s="77"/>
    </row>
    <row r="156" ht="18.75" customHeight="1">
      <c r="A156" s="77"/>
      <c r="B156" s="87"/>
      <c r="C156" s="77"/>
      <c r="D156" s="77"/>
      <c r="E156" s="77"/>
      <c r="F156" s="77"/>
      <c r="G156" s="77"/>
      <c r="H156" s="77"/>
      <c r="I156" s="77"/>
      <c r="J156" s="77"/>
      <c r="K156" s="77"/>
    </row>
    <row r="157" ht="18.75" customHeight="1">
      <c r="A157" s="77"/>
      <c r="B157" s="87"/>
      <c r="C157" s="77"/>
      <c r="D157" s="77"/>
      <c r="E157" s="77"/>
      <c r="F157" s="77"/>
      <c r="G157" s="77"/>
      <c r="H157" s="77"/>
      <c r="I157" s="77"/>
      <c r="J157" s="77"/>
      <c r="K157" s="77"/>
    </row>
    <row r="158" ht="18.75" customHeight="1">
      <c r="A158" s="77"/>
      <c r="B158" s="87"/>
      <c r="C158" s="77"/>
      <c r="D158" s="77"/>
      <c r="E158" s="77"/>
      <c r="F158" s="77"/>
      <c r="G158" s="77"/>
      <c r="H158" s="77"/>
      <c r="I158" s="77"/>
      <c r="J158" s="77"/>
      <c r="K158" s="77"/>
    </row>
    <row r="159" ht="18.75" customHeight="1">
      <c r="A159" s="77"/>
      <c r="B159" s="87"/>
      <c r="C159" s="77"/>
      <c r="D159" s="77"/>
      <c r="E159" s="77"/>
      <c r="F159" s="77"/>
      <c r="G159" s="77"/>
      <c r="H159" s="77"/>
      <c r="I159" s="77"/>
      <c r="J159" s="77"/>
      <c r="K159" s="77"/>
    </row>
    <row r="160" ht="18.75" customHeight="1">
      <c r="A160" s="77"/>
      <c r="B160" s="87"/>
      <c r="C160" s="77"/>
      <c r="D160" s="77"/>
      <c r="E160" s="77"/>
      <c r="F160" s="77"/>
      <c r="G160" s="77"/>
      <c r="H160" s="77"/>
      <c r="I160" s="77"/>
      <c r="J160" s="77"/>
      <c r="K160" s="77"/>
    </row>
    <row r="161" ht="18.75" customHeight="1">
      <c r="A161" s="77"/>
      <c r="B161" s="87"/>
      <c r="C161" s="77"/>
      <c r="D161" s="77"/>
      <c r="E161" s="77"/>
      <c r="F161" s="77"/>
      <c r="G161" s="77"/>
      <c r="H161" s="77"/>
      <c r="I161" s="77"/>
      <c r="J161" s="77"/>
      <c r="K161" s="77"/>
    </row>
    <row r="162" ht="18.75" customHeight="1">
      <c r="A162" s="77"/>
      <c r="B162" s="87"/>
      <c r="C162" s="77"/>
      <c r="D162" s="77"/>
      <c r="E162" s="77"/>
      <c r="F162" s="77"/>
      <c r="G162" s="77"/>
      <c r="H162" s="77"/>
      <c r="I162" s="77"/>
      <c r="J162" s="77"/>
      <c r="K162" s="77"/>
    </row>
    <row r="163" ht="18.75" customHeight="1">
      <c r="A163" s="77"/>
      <c r="B163" s="87"/>
      <c r="C163" s="77"/>
      <c r="D163" s="77"/>
      <c r="E163" s="77"/>
      <c r="F163" s="77"/>
      <c r="G163" s="77"/>
      <c r="H163" s="77"/>
      <c r="I163" s="77"/>
      <c r="J163" s="77"/>
      <c r="K163" s="77"/>
    </row>
    <row r="164" ht="18.75" customHeight="1">
      <c r="A164" s="77"/>
      <c r="B164" s="87"/>
      <c r="C164" s="77"/>
      <c r="D164" s="77"/>
      <c r="E164" s="77"/>
      <c r="F164" s="77"/>
      <c r="G164" s="77"/>
      <c r="H164" s="77"/>
      <c r="I164" s="77"/>
      <c r="J164" s="77"/>
      <c r="K164" s="77"/>
    </row>
    <row r="165" ht="18.75" customHeight="1">
      <c r="A165" s="77"/>
      <c r="B165" s="87"/>
      <c r="C165" s="77"/>
      <c r="D165" s="77"/>
      <c r="E165" s="77"/>
      <c r="F165" s="77"/>
      <c r="G165" s="77"/>
      <c r="H165" s="77"/>
      <c r="I165" s="77"/>
      <c r="J165" s="77"/>
      <c r="K165" s="77"/>
    </row>
    <row r="166" ht="18.75" customHeight="1">
      <c r="A166" s="77"/>
      <c r="B166" s="87"/>
      <c r="C166" s="77"/>
      <c r="D166" s="77"/>
      <c r="E166" s="77"/>
      <c r="F166" s="77"/>
      <c r="G166" s="77"/>
      <c r="H166" s="77"/>
      <c r="I166" s="77"/>
      <c r="J166" s="77"/>
      <c r="K166" s="77"/>
    </row>
    <row r="167" ht="18.75" customHeight="1">
      <c r="A167" s="77"/>
      <c r="B167" s="87"/>
      <c r="C167" s="77"/>
      <c r="D167" s="77"/>
      <c r="E167" s="77"/>
      <c r="F167" s="77"/>
      <c r="G167" s="77"/>
      <c r="H167" s="77"/>
      <c r="I167" s="77"/>
      <c r="J167" s="77"/>
      <c r="K167" s="77"/>
    </row>
    <row r="168" ht="18.75" customHeight="1">
      <c r="A168" s="77"/>
      <c r="B168" s="87"/>
      <c r="C168" s="77"/>
      <c r="D168" s="77"/>
      <c r="E168" s="77"/>
      <c r="F168" s="77"/>
      <c r="G168" s="77"/>
      <c r="H168" s="77"/>
      <c r="I168" s="77"/>
      <c r="J168" s="77"/>
      <c r="K168" s="77"/>
    </row>
    <row r="169" ht="18.75" customHeight="1">
      <c r="A169" s="77"/>
      <c r="B169" s="87"/>
      <c r="C169" s="77"/>
      <c r="D169" s="77"/>
      <c r="E169" s="77"/>
      <c r="F169" s="77"/>
      <c r="G169" s="77"/>
      <c r="H169" s="77"/>
      <c r="I169" s="77"/>
      <c r="J169" s="77"/>
      <c r="K169" s="77"/>
    </row>
    <row r="170" ht="18.75" customHeight="1">
      <c r="A170" s="77"/>
      <c r="B170" s="87"/>
      <c r="C170" s="77"/>
      <c r="D170" s="77"/>
      <c r="E170" s="77"/>
      <c r="F170" s="77"/>
      <c r="G170" s="77"/>
      <c r="H170" s="77"/>
      <c r="I170" s="77"/>
      <c r="J170" s="77"/>
      <c r="K170" s="77"/>
    </row>
    <row r="171" ht="18.75" customHeight="1">
      <c r="A171" s="77"/>
      <c r="B171" s="87"/>
      <c r="C171" s="77"/>
      <c r="D171" s="77"/>
      <c r="E171" s="77"/>
      <c r="F171" s="77"/>
      <c r="G171" s="77"/>
      <c r="H171" s="77"/>
      <c r="I171" s="77"/>
      <c r="J171" s="77"/>
      <c r="K171" s="77"/>
    </row>
    <row r="172" ht="18.75" customHeight="1">
      <c r="A172" s="77"/>
      <c r="B172" s="87"/>
      <c r="C172" s="77"/>
      <c r="D172" s="77"/>
      <c r="E172" s="77"/>
      <c r="F172" s="77"/>
      <c r="G172" s="77"/>
      <c r="H172" s="77"/>
      <c r="I172" s="77"/>
      <c r="J172" s="77"/>
      <c r="K172" s="77"/>
    </row>
    <row r="173" ht="18.75" customHeight="1">
      <c r="A173" s="77"/>
      <c r="B173" s="87"/>
      <c r="C173" s="77"/>
      <c r="D173" s="77"/>
      <c r="E173" s="77"/>
      <c r="F173" s="77"/>
      <c r="G173" s="77"/>
      <c r="H173" s="77"/>
      <c r="I173" s="77"/>
      <c r="J173" s="77"/>
      <c r="K173" s="77"/>
    </row>
    <row r="174" ht="18.75" customHeight="1">
      <c r="A174" s="77"/>
      <c r="B174" s="87"/>
      <c r="C174" s="77"/>
      <c r="D174" s="77"/>
      <c r="E174" s="77"/>
      <c r="F174" s="77"/>
      <c r="G174" s="77"/>
      <c r="H174" s="77"/>
      <c r="I174" s="77"/>
      <c r="J174" s="77"/>
      <c r="K174" s="77"/>
    </row>
    <row r="175" ht="18.75" customHeight="1">
      <c r="A175" s="77"/>
      <c r="B175" s="87"/>
      <c r="C175" s="77"/>
      <c r="D175" s="77"/>
      <c r="E175" s="77"/>
      <c r="F175" s="77"/>
      <c r="G175" s="77"/>
      <c r="H175" s="77"/>
      <c r="I175" s="77"/>
      <c r="J175" s="77"/>
      <c r="K175" s="77"/>
    </row>
    <row r="176" ht="18.75" customHeight="1">
      <c r="A176" s="77"/>
      <c r="B176" s="87"/>
      <c r="C176" s="77"/>
      <c r="D176" s="77"/>
      <c r="E176" s="77"/>
      <c r="F176" s="77"/>
      <c r="G176" s="77"/>
      <c r="H176" s="77"/>
      <c r="I176" s="77"/>
      <c r="J176" s="77"/>
      <c r="K176" s="77"/>
    </row>
    <row r="177" ht="18.75" customHeight="1">
      <c r="A177" s="77"/>
      <c r="B177" s="87"/>
      <c r="C177" s="77"/>
      <c r="D177" s="77"/>
      <c r="E177" s="77"/>
      <c r="F177" s="77"/>
      <c r="G177" s="77"/>
      <c r="H177" s="77"/>
      <c r="I177" s="77"/>
      <c r="J177" s="77"/>
      <c r="K177" s="77"/>
    </row>
    <row r="178" ht="18.75" customHeight="1">
      <c r="A178" s="77"/>
      <c r="B178" s="87"/>
      <c r="C178" s="77"/>
      <c r="D178" s="77"/>
      <c r="E178" s="77"/>
      <c r="F178" s="77"/>
      <c r="G178" s="77"/>
      <c r="H178" s="77"/>
      <c r="I178" s="77"/>
      <c r="J178" s="77"/>
      <c r="K178" s="77"/>
    </row>
    <row r="179" ht="18.75" customHeight="1">
      <c r="A179" s="77"/>
      <c r="B179" s="87"/>
      <c r="C179" s="77"/>
      <c r="D179" s="77"/>
      <c r="E179" s="77"/>
      <c r="F179" s="77"/>
      <c r="G179" s="77"/>
      <c r="H179" s="77"/>
      <c r="I179" s="77"/>
      <c r="J179" s="77"/>
      <c r="K179" s="77"/>
    </row>
    <row r="180" ht="18.75" customHeight="1">
      <c r="A180" s="77"/>
      <c r="B180" s="87"/>
      <c r="C180" s="77"/>
      <c r="D180" s="77"/>
      <c r="E180" s="77"/>
      <c r="F180" s="77"/>
      <c r="G180" s="77"/>
      <c r="H180" s="77"/>
      <c r="I180" s="77"/>
      <c r="J180" s="77"/>
      <c r="K180" s="77"/>
    </row>
    <row r="181" ht="18.75" customHeight="1">
      <c r="A181" s="77"/>
      <c r="B181" s="87"/>
      <c r="C181" s="77"/>
      <c r="D181" s="77"/>
      <c r="E181" s="77"/>
      <c r="F181" s="77"/>
      <c r="G181" s="77"/>
      <c r="H181" s="77"/>
      <c r="I181" s="77"/>
      <c r="J181" s="77"/>
      <c r="K181" s="77"/>
    </row>
    <row r="182" ht="18.75" customHeight="1">
      <c r="A182" s="77"/>
      <c r="B182" s="87"/>
      <c r="C182" s="77"/>
      <c r="D182" s="77"/>
      <c r="E182" s="77"/>
      <c r="F182" s="77"/>
      <c r="G182" s="77"/>
      <c r="H182" s="77"/>
      <c r="I182" s="77"/>
      <c r="J182" s="77"/>
      <c r="K182" s="77"/>
    </row>
    <row r="183" ht="18.75" customHeight="1">
      <c r="A183" s="77"/>
      <c r="B183" s="87"/>
      <c r="C183" s="77"/>
      <c r="D183" s="77"/>
      <c r="E183" s="77"/>
      <c r="F183" s="77"/>
      <c r="G183" s="77"/>
      <c r="H183" s="77"/>
      <c r="I183" s="77"/>
      <c r="J183" s="77"/>
      <c r="K183" s="77"/>
    </row>
    <row r="184" ht="18.75" customHeight="1">
      <c r="A184" s="77"/>
      <c r="B184" s="87"/>
      <c r="C184" s="77"/>
      <c r="D184" s="77"/>
      <c r="E184" s="77"/>
      <c r="F184" s="77"/>
      <c r="G184" s="77"/>
      <c r="H184" s="77"/>
      <c r="I184" s="77"/>
      <c r="J184" s="77"/>
      <c r="K184" s="77"/>
    </row>
    <row r="185" ht="18.75" customHeight="1">
      <c r="A185" s="77"/>
      <c r="B185" s="87"/>
      <c r="C185" s="77"/>
      <c r="D185" s="77"/>
      <c r="E185" s="77"/>
      <c r="F185" s="77"/>
      <c r="G185" s="77"/>
      <c r="H185" s="77"/>
      <c r="I185" s="77"/>
      <c r="J185" s="77"/>
      <c r="K185" s="77"/>
    </row>
    <row r="186" ht="18.75" customHeight="1">
      <c r="A186" s="77"/>
      <c r="B186" s="87"/>
      <c r="C186" s="77"/>
      <c r="D186" s="77"/>
      <c r="E186" s="77"/>
      <c r="F186" s="77"/>
      <c r="G186" s="77"/>
      <c r="H186" s="77"/>
      <c r="I186" s="77"/>
      <c r="J186" s="77"/>
      <c r="K186" s="77"/>
    </row>
    <row r="187" ht="18.75" customHeight="1">
      <c r="A187" s="77"/>
      <c r="B187" s="87"/>
      <c r="C187" s="77"/>
      <c r="D187" s="77"/>
      <c r="E187" s="77"/>
      <c r="F187" s="77"/>
      <c r="G187" s="77"/>
      <c r="H187" s="77"/>
      <c r="I187" s="77"/>
      <c r="J187" s="77"/>
      <c r="K187" s="77"/>
    </row>
    <row r="188" ht="18.75" customHeight="1">
      <c r="A188" s="77"/>
      <c r="B188" s="87"/>
      <c r="C188" s="77"/>
      <c r="D188" s="77"/>
      <c r="E188" s="77"/>
      <c r="F188" s="77"/>
      <c r="G188" s="77"/>
      <c r="H188" s="77"/>
      <c r="I188" s="77"/>
      <c r="J188" s="77"/>
      <c r="K188" s="77"/>
    </row>
    <row r="189" ht="18.75" customHeight="1">
      <c r="A189" s="77"/>
      <c r="B189" s="87"/>
      <c r="C189" s="77"/>
      <c r="D189" s="77"/>
      <c r="E189" s="77"/>
      <c r="F189" s="77"/>
      <c r="G189" s="77"/>
      <c r="H189" s="77"/>
      <c r="I189" s="77"/>
      <c r="J189" s="77"/>
      <c r="K189" s="77"/>
    </row>
    <row r="190" ht="18.75" customHeight="1">
      <c r="A190" s="77"/>
      <c r="B190" s="87"/>
      <c r="C190" s="77"/>
      <c r="D190" s="77"/>
      <c r="E190" s="77"/>
      <c r="F190" s="77"/>
      <c r="G190" s="77"/>
      <c r="H190" s="77"/>
      <c r="I190" s="77"/>
      <c r="J190" s="77"/>
      <c r="K190" s="77"/>
    </row>
    <row r="191" ht="18.75" customHeight="1">
      <c r="A191" s="77"/>
      <c r="B191" s="87"/>
      <c r="C191" s="77"/>
      <c r="D191" s="77"/>
      <c r="E191" s="77"/>
      <c r="F191" s="77"/>
      <c r="G191" s="77"/>
      <c r="H191" s="77"/>
      <c r="I191" s="77"/>
      <c r="J191" s="77"/>
      <c r="K191" s="77"/>
    </row>
    <row r="192" ht="18.75" customHeight="1">
      <c r="A192" s="77"/>
      <c r="B192" s="87"/>
      <c r="C192" s="77"/>
      <c r="D192" s="77"/>
      <c r="E192" s="77"/>
      <c r="F192" s="77"/>
      <c r="G192" s="77"/>
      <c r="H192" s="77"/>
      <c r="I192" s="77"/>
      <c r="J192" s="77"/>
      <c r="K192" s="77"/>
    </row>
    <row r="193" ht="18.75" customHeight="1">
      <c r="A193" s="77"/>
      <c r="B193" s="87"/>
      <c r="C193" s="77"/>
      <c r="D193" s="77"/>
      <c r="E193" s="77"/>
      <c r="F193" s="77"/>
      <c r="G193" s="77"/>
      <c r="H193" s="77"/>
      <c r="I193" s="77"/>
      <c r="J193" s="77"/>
      <c r="K193" s="77"/>
    </row>
    <row r="194" ht="18.75" customHeight="1">
      <c r="A194" s="77"/>
      <c r="B194" s="87"/>
      <c r="C194" s="77"/>
      <c r="D194" s="77"/>
      <c r="E194" s="77"/>
      <c r="F194" s="77"/>
      <c r="G194" s="77"/>
      <c r="H194" s="77"/>
      <c r="I194" s="77"/>
      <c r="J194" s="77"/>
      <c r="K194" s="77"/>
    </row>
    <row r="195" ht="18.75" customHeight="1">
      <c r="A195" s="77"/>
      <c r="B195" s="87"/>
      <c r="C195" s="77"/>
      <c r="D195" s="77"/>
      <c r="E195" s="77"/>
      <c r="F195" s="77"/>
      <c r="G195" s="77"/>
      <c r="H195" s="77"/>
      <c r="I195" s="77"/>
      <c r="J195" s="77"/>
      <c r="K195" s="77"/>
    </row>
    <row r="196" ht="18.75" customHeight="1">
      <c r="A196" s="77"/>
      <c r="B196" s="87"/>
      <c r="C196" s="77"/>
      <c r="D196" s="77"/>
      <c r="E196" s="77"/>
      <c r="F196" s="77"/>
      <c r="G196" s="77"/>
      <c r="H196" s="77"/>
      <c r="I196" s="77"/>
      <c r="J196" s="77"/>
      <c r="K196" s="77"/>
    </row>
    <row r="197" ht="18.75" customHeight="1">
      <c r="A197" s="77"/>
      <c r="B197" s="87"/>
      <c r="C197" s="77"/>
      <c r="D197" s="77"/>
      <c r="E197" s="77"/>
      <c r="F197" s="77"/>
      <c r="G197" s="77"/>
      <c r="H197" s="77"/>
      <c r="I197" s="77"/>
      <c r="J197" s="77"/>
      <c r="K197" s="77"/>
    </row>
    <row r="198" ht="18.75" customHeight="1">
      <c r="A198" s="77"/>
      <c r="B198" s="87"/>
      <c r="C198" s="77"/>
      <c r="D198" s="77"/>
      <c r="E198" s="77"/>
      <c r="F198" s="77"/>
      <c r="G198" s="77"/>
      <c r="H198" s="77"/>
      <c r="I198" s="77"/>
      <c r="J198" s="77"/>
      <c r="K198" s="77"/>
    </row>
    <row r="199" ht="18.75" customHeight="1">
      <c r="A199" s="77"/>
      <c r="B199" s="87"/>
      <c r="C199" s="77"/>
      <c r="D199" s="77"/>
      <c r="E199" s="77"/>
      <c r="F199" s="77"/>
      <c r="G199" s="77"/>
      <c r="H199" s="77"/>
      <c r="I199" s="77"/>
      <c r="J199" s="77"/>
      <c r="K199" s="77"/>
    </row>
    <row r="200" ht="18.75" customHeight="1">
      <c r="A200" s="77"/>
      <c r="B200" s="87"/>
      <c r="C200" s="77"/>
      <c r="D200" s="77"/>
      <c r="E200" s="77"/>
      <c r="F200" s="77"/>
      <c r="G200" s="77"/>
      <c r="H200" s="77"/>
      <c r="I200" s="77"/>
      <c r="J200" s="77"/>
      <c r="K200" s="77"/>
    </row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mergeCells count="12">
    <mergeCell ref="C3:D3"/>
    <mergeCell ref="C4:C5"/>
    <mergeCell ref="D4:D5"/>
    <mergeCell ref="H22:J22"/>
    <mergeCell ref="H44:K44"/>
    <mergeCell ref="A1:F1"/>
    <mergeCell ref="H1:J1"/>
    <mergeCell ref="A2:F2"/>
    <mergeCell ref="A3:A6"/>
    <mergeCell ref="B3:B6"/>
    <mergeCell ref="E3:E6"/>
    <mergeCell ref="F3:F6"/>
  </mergeCells>
  <dataValidations>
    <dataValidation type="list" allowBlank="1" showErrorMessage="1" sqref="H4:H6 H9:H19 H30:H41 E49:E200">
      <formula1>"1.1,1.2,1.3,2.1,2.2,2.3,2.4,2.5,2.6,2.7,2.8,2.9,2.11,2.12"</formula1>
    </dataValidation>
    <dataValidation type="list" allowBlank="1" showErrorMessage="1" sqref="E8:E48">
      <formula1>"1,1,1,2,2,1,2,11,2,12,2,2,2,3,2,5,2,6,2,7,2,8,2,9,2,4,1,3"</formula1>
    </dataValidation>
  </dataValidations>
  <hyperlinks>
    <hyperlink r:id="rId1" ref="F20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6.0"/>
    <col customWidth="1" min="2" max="2" width="15.0"/>
    <col customWidth="1" min="3" max="4" width="17.0"/>
    <col customWidth="1" min="5" max="5" width="13.0"/>
    <col customWidth="1" min="6" max="6" width="61.0"/>
    <col customWidth="1" min="7" max="7" width="7.0"/>
    <col customWidth="1" min="8" max="8" width="14.0"/>
    <col customWidth="1" min="9" max="9" width="46.0"/>
    <col customWidth="1" min="10" max="10" width="16.0"/>
    <col customWidth="1" min="11" max="26" width="14.0"/>
  </cols>
  <sheetData>
    <row r="1" ht="18.75" customHeight="1">
      <c r="A1" s="11" t="s">
        <v>22</v>
      </c>
      <c r="F1" s="12"/>
      <c r="G1" s="13"/>
      <c r="H1" s="14" t="s">
        <v>23</v>
      </c>
      <c r="I1" s="15"/>
      <c r="J1" s="16"/>
      <c r="K1" s="13"/>
    </row>
    <row r="2" ht="18.75" customHeight="1">
      <c r="A2" s="36" t="s">
        <v>152</v>
      </c>
      <c r="G2" s="13"/>
      <c r="H2" s="49" t="s">
        <v>25</v>
      </c>
      <c r="I2" s="19" t="s">
        <v>26</v>
      </c>
      <c r="J2" s="20" t="s">
        <v>27</v>
      </c>
      <c r="K2" s="13"/>
    </row>
    <row r="3" ht="18.75" customHeight="1">
      <c r="A3" s="21" t="s">
        <v>28</v>
      </c>
      <c r="B3" s="21" t="s">
        <v>29</v>
      </c>
      <c r="C3" s="23" t="s">
        <v>30</v>
      </c>
      <c r="D3" s="24"/>
      <c r="E3" s="25" t="s">
        <v>25</v>
      </c>
      <c r="F3" s="21" t="s">
        <v>26</v>
      </c>
      <c r="G3" s="13"/>
      <c r="H3" s="26">
        <v>1.0</v>
      </c>
      <c r="I3" s="27" t="s">
        <v>31</v>
      </c>
      <c r="J3" s="28">
        <f>SUM(J4:J6)</f>
        <v>418072941</v>
      </c>
      <c r="K3" s="13"/>
    </row>
    <row r="4" ht="18.75" customHeight="1">
      <c r="A4" s="29"/>
      <c r="B4" s="29"/>
      <c r="C4" s="21" t="s">
        <v>32</v>
      </c>
      <c r="D4" s="21" t="s">
        <v>33</v>
      </c>
      <c r="E4" s="30"/>
      <c r="F4" s="29"/>
      <c r="G4" s="13"/>
      <c r="H4" s="31">
        <v>1.1</v>
      </c>
      <c r="I4" s="32" t="s">
        <v>34</v>
      </c>
      <c r="J4" s="28">
        <f>SUMIF($E$8:$E$53,1.1,$C$8:$C$44)</f>
        <v>418072941</v>
      </c>
      <c r="K4" s="13"/>
    </row>
    <row r="5" ht="18.75" customHeight="1">
      <c r="A5" s="29"/>
      <c r="B5" s="29"/>
      <c r="C5" s="33"/>
      <c r="D5" s="33"/>
      <c r="E5" s="30"/>
      <c r="F5" s="29"/>
      <c r="G5" s="13"/>
      <c r="H5" s="31">
        <v>1.2</v>
      </c>
      <c r="I5" s="32" t="s">
        <v>35</v>
      </c>
      <c r="J5" s="28">
        <f>SUMIF($E$8:$E$53,1.2,$C$8:$C$44)</f>
        <v>0</v>
      </c>
      <c r="K5" s="13"/>
    </row>
    <row r="6" ht="18.75" customHeight="1">
      <c r="A6" s="33"/>
      <c r="B6" s="33"/>
      <c r="C6" s="34"/>
      <c r="D6" s="34"/>
      <c r="E6" s="35"/>
      <c r="F6" s="33"/>
      <c r="G6" s="13"/>
      <c r="H6" s="31">
        <v>1.3</v>
      </c>
      <c r="I6" s="32" t="s">
        <v>36</v>
      </c>
      <c r="J6" s="28">
        <f>SUMIF($E$8:$E$53,1.3,$C$8:$C$44)</f>
        <v>0</v>
      </c>
      <c r="K6" s="13"/>
    </row>
    <row r="7" ht="21.75" customHeight="1">
      <c r="A7" s="36"/>
      <c r="B7" s="37"/>
      <c r="C7" s="42">
        <f t="shared" ref="C7:D7" si="1">SUM(C8:C100)</f>
        <v>418072941</v>
      </c>
      <c r="D7" s="42">
        <f t="shared" si="1"/>
        <v>222170084</v>
      </c>
      <c r="E7" s="39"/>
      <c r="F7" s="40"/>
      <c r="G7" s="40" t="s">
        <v>37</v>
      </c>
      <c r="H7" s="41"/>
      <c r="I7" s="40"/>
      <c r="J7" s="42"/>
      <c r="K7" s="40"/>
    </row>
    <row r="8" ht="18.75" customHeight="1">
      <c r="A8" s="43"/>
      <c r="B8" s="76">
        <v>45840.0</v>
      </c>
      <c r="C8" s="60"/>
      <c r="D8" s="60">
        <v>1200000.0</v>
      </c>
      <c r="E8" s="84" t="s">
        <v>68</v>
      </c>
      <c r="F8" s="54" t="s">
        <v>153</v>
      </c>
      <c r="G8" s="13"/>
      <c r="H8" s="26">
        <v>2.0</v>
      </c>
      <c r="I8" s="49" t="s">
        <v>40</v>
      </c>
      <c r="J8" s="28">
        <f>SUM(J9:J19)</f>
        <v>222170084</v>
      </c>
      <c r="K8" s="13"/>
    </row>
    <row r="9" ht="18.75" customHeight="1">
      <c r="A9" s="50"/>
      <c r="B9" s="76">
        <v>45840.0</v>
      </c>
      <c r="C9" s="60"/>
      <c r="D9" s="60">
        <v>3.1138039E7</v>
      </c>
      <c r="E9" s="84">
        <v>2.5</v>
      </c>
      <c r="F9" s="54" t="s">
        <v>154</v>
      </c>
      <c r="G9" s="52"/>
      <c r="H9" s="53">
        <v>2.1</v>
      </c>
      <c r="I9" s="54" t="s">
        <v>42</v>
      </c>
      <c r="J9" s="55">
        <f>SUMIF($E$8:$E$53,2.1,$D$8:$D$44)</f>
        <v>0</v>
      </c>
      <c r="K9" s="13"/>
    </row>
    <row r="10" ht="18.75" customHeight="1">
      <c r="A10" s="50"/>
      <c r="B10" s="76">
        <v>45840.0</v>
      </c>
      <c r="C10" s="60"/>
      <c r="D10" s="60">
        <v>900000.0</v>
      </c>
      <c r="E10" s="84">
        <v>2.5</v>
      </c>
      <c r="F10" s="66" t="s">
        <v>155</v>
      </c>
      <c r="G10" s="52"/>
      <c r="H10" s="53">
        <v>2.2</v>
      </c>
      <c r="I10" s="54" t="s">
        <v>45</v>
      </c>
      <c r="J10" s="28">
        <f>SUMIF($E$8:$E$53,2.2,$D$8:$D$44)</f>
        <v>72898462</v>
      </c>
      <c r="K10" s="13"/>
    </row>
    <row r="11" ht="18.75" customHeight="1">
      <c r="A11" s="50"/>
      <c r="B11" s="76">
        <v>45839.0</v>
      </c>
      <c r="C11" s="60">
        <v>7.0035083E7</v>
      </c>
      <c r="D11" s="60"/>
      <c r="E11" s="84">
        <v>1.1</v>
      </c>
      <c r="F11" s="66" t="s">
        <v>156</v>
      </c>
      <c r="G11" s="52"/>
      <c r="H11" s="53">
        <v>2.3</v>
      </c>
      <c r="I11" s="54" t="s">
        <v>48</v>
      </c>
      <c r="J11" s="28">
        <f>SUMIF($E$8:$E$53,2.3,$D$8:$D$44)</f>
        <v>2400000</v>
      </c>
      <c r="K11" s="13"/>
    </row>
    <row r="12" ht="18.75" customHeight="1">
      <c r="A12" s="50"/>
      <c r="B12" s="76">
        <v>45841.0</v>
      </c>
      <c r="C12" s="60"/>
      <c r="D12" s="60">
        <v>3050000.0</v>
      </c>
      <c r="E12" s="84">
        <v>2.11</v>
      </c>
      <c r="F12" s="54" t="s">
        <v>157</v>
      </c>
      <c r="G12" s="52"/>
      <c r="H12" s="53">
        <v>2.4</v>
      </c>
      <c r="I12" s="54" t="s">
        <v>51</v>
      </c>
      <c r="J12" s="28">
        <f>SUMIF($E$8:$E$53,2.4,$D$8:$D$44)</f>
        <v>0</v>
      </c>
      <c r="K12" s="13"/>
    </row>
    <row r="13" ht="18.75" customHeight="1">
      <c r="A13" s="50"/>
      <c r="B13" s="76">
        <v>45841.0</v>
      </c>
      <c r="C13" s="60"/>
      <c r="D13" s="60">
        <v>1215000.0</v>
      </c>
      <c r="E13" s="84">
        <v>2.11</v>
      </c>
      <c r="F13" s="54" t="s">
        <v>157</v>
      </c>
      <c r="G13" s="52"/>
      <c r="H13" s="53">
        <v>2.5</v>
      </c>
      <c r="I13" s="54" t="s">
        <v>53</v>
      </c>
      <c r="J13" s="28">
        <f>SUMIF($E$8:$E$53,2.5,$D$8:$D$44)</f>
        <v>64076078</v>
      </c>
      <c r="K13" s="13"/>
    </row>
    <row r="14" ht="18.75" customHeight="1">
      <c r="A14" s="50"/>
      <c r="B14" s="76">
        <v>45840.0</v>
      </c>
      <c r="C14" s="60"/>
      <c r="D14" s="60">
        <v>1200000.0</v>
      </c>
      <c r="E14" s="84">
        <v>2.3</v>
      </c>
      <c r="F14" s="86" t="s">
        <v>153</v>
      </c>
      <c r="G14" s="52"/>
      <c r="H14" s="53">
        <v>2.6</v>
      </c>
      <c r="I14" s="54" t="s">
        <v>55</v>
      </c>
      <c r="J14" s="28">
        <f>SUMIF($E$8:$E$53,2.6,$D$8:$D$44)</f>
        <v>32188000</v>
      </c>
      <c r="K14" s="13"/>
    </row>
    <row r="15" ht="18.75" customHeight="1">
      <c r="A15" s="50"/>
      <c r="B15" s="76">
        <v>45843.0</v>
      </c>
      <c r="C15" s="60"/>
      <c r="D15" s="60">
        <v>7.2898462E7</v>
      </c>
      <c r="E15" s="84">
        <v>2.2</v>
      </c>
      <c r="F15" s="54" t="s">
        <v>158</v>
      </c>
      <c r="G15" s="52"/>
      <c r="H15" s="53">
        <v>2.7</v>
      </c>
      <c r="I15" s="54" t="s">
        <v>57</v>
      </c>
      <c r="J15" s="28">
        <f>SUMIF($E$8:$E$53,2.7,$D$8:$D$44)</f>
        <v>0</v>
      </c>
      <c r="K15" s="13"/>
    </row>
    <row r="16" ht="18.75" customHeight="1">
      <c r="A16" s="50"/>
      <c r="B16" s="76">
        <v>45844.0</v>
      </c>
      <c r="C16" s="60"/>
      <c r="D16" s="60">
        <v>9297000.0</v>
      </c>
      <c r="E16" s="84">
        <v>2.8</v>
      </c>
      <c r="F16" s="54" t="s">
        <v>159</v>
      </c>
      <c r="G16" s="52"/>
      <c r="H16" s="53">
        <v>2.8</v>
      </c>
      <c r="I16" s="54" t="s">
        <v>59</v>
      </c>
      <c r="J16" s="28">
        <f>SUMIF($E$8:$E$53,2.8,$D$8:$D$44)</f>
        <v>13300000</v>
      </c>
      <c r="K16" s="13"/>
    </row>
    <row r="17" ht="18.75" customHeight="1">
      <c r="A17" s="50"/>
      <c r="B17" s="76">
        <v>45844.0</v>
      </c>
      <c r="C17" s="60"/>
      <c r="D17" s="60">
        <v>4003000.0</v>
      </c>
      <c r="E17" s="84">
        <v>2.8</v>
      </c>
      <c r="F17" s="54" t="s">
        <v>160</v>
      </c>
      <c r="G17" s="52"/>
      <c r="H17" s="53">
        <v>2.9</v>
      </c>
      <c r="I17" s="54" t="s">
        <v>62</v>
      </c>
      <c r="J17" s="28">
        <f>SUMIF($E$8:$E$53,2.9,$D$8:$D$44)</f>
        <v>0</v>
      </c>
      <c r="K17" s="13"/>
    </row>
    <row r="18" ht="18.75" customHeight="1">
      <c r="A18" s="50"/>
      <c r="B18" s="76">
        <v>45847.0</v>
      </c>
      <c r="C18" s="60"/>
      <c r="D18" s="60">
        <v>3.1138039E7</v>
      </c>
      <c r="E18" s="84">
        <v>2.5</v>
      </c>
      <c r="F18" s="54" t="s">
        <v>161</v>
      </c>
      <c r="G18" s="52"/>
      <c r="H18" s="53">
        <v>2.11</v>
      </c>
      <c r="I18" s="54" t="s">
        <v>64</v>
      </c>
      <c r="J18" s="28">
        <f>SUMIF($E$8:$E$53,2.11,$D$8:$D$44)</f>
        <v>37307544</v>
      </c>
      <c r="K18" s="13"/>
    </row>
    <row r="19" ht="18.75" customHeight="1">
      <c r="A19" s="50"/>
      <c r="B19" s="76">
        <v>45847.0</v>
      </c>
      <c r="C19" s="60"/>
      <c r="D19" s="60">
        <v>1.8188E7</v>
      </c>
      <c r="E19" s="84">
        <v>2.6</v>
      </c>
      <c r="F19" s="54" t="s">
        <v>162</v>
      </c>
      <c r="G19" s="52"/>
      <c r="H19" s="53">
        <v>2.12</v>
      </c>
      <c r="I19" s="54" t="s">
        <v>67</v>
      </c>
      <c r="J19" s="28">
        <f>SUMIF($E$8:$E$53,2.12,$D$8:$D$44)</f>
        <v>0</v>
      </c>
      <c r="K19" s="13"/>
    </row>
    <row r="20" ht="18.75" customHeight="1">
      <c r="A20" s="50"/>
      <c r="B20" s="76">
        <v>45847.0</v>
      </c>
      <c r="C20" s="60"/>
      <c r="D20" s="60">
        <v>900000.0</v>
      </c>
      <c r="E20" s="84">
        <v>2.5</v>
      </c>
      <c r="F20" s="66" t="s">
        <v>163</v>
      </c>
      <c r="G20" s="52"/>
      <c r="H20" s="63">
        <v>3.0</v>
      </c>
      <c r="I20" s="64" t="s">
        <v>70</v>
      </c>
      <c r="J20" s="65">
        <f>J3-J8</f>
        <v>195902857</v>
      </c>
      <c r="K20" s="13"/>
    </row>
    <row r="21" ht="18.75" customHeight="1">
      <c r="A21" s="50"/>
      <c r="B21" s="76">
        <v>45866.0</v>
      </c>
      <c r="C21" s="60"/>
      <c r="D21" s="60">
        <v>9603951.0</v>
      </c>
      <c r="E21" s="84">
        <v>2.11</v>
      </c>
      <c r="F21" s="54" t="s">
        <v>164</v>
      </c>
      <c r="G21" s="13"/>
      <c r="H21" s="13"/>
      <c r="I21" s="13"/>
      <c r="J21" s="13"/>
      <c r="K21" s="13"/>
    </row>
    <row r="22" ht="18.75" customHeight="1">
      <c r="A22" s="50"/>
      <c r="B22" s="76">
        <v>45866.0</v>
      </c>
      <c r="C22" s="60"/>
      <c r="D22" s="60">
        <v>3809472.0</v>
      </c>
      <c r="E22" s="84">
        <v>2.11</v>
      </c>
      <c r="F22" s="54" t="s">
        <v>165</v>
      </c>
      <c r="G22" s="13"/>
      <c r="H22" s="14" t="s">
        <v>73</v>
      </c>
      <c r="I22" s="15"/>
      <c r="J22" s="16"/>
      <c r="K22" s="13"/>
    </row>
    <row r="23" ht="18.75" customHeight="1">
      <c r="A23" s="50"/>
      <c r="B23" s="76">
        <v>45866.0</v>
      </c>
      <c r="C23" s="60"/>
      <c r="D23" s="60">
        <v>600000.0</v>
      </c>
      <c r="E23" s="84">
        <v>2.11</v>
      </c>
      <c r="F23" s="54" t="s">
        <v>166</v>
      </c>
      <c r="G23" s="52"/>
      <c r="H23" s="54"/>
      <c r="I23" s="64" t="s">
        <v>26</v>
      </c>
      <c r="J23" s="53" t="s">
        <v>27</v>
      </c>
      <c r="K23" s="13"/>
    </row>
    <row r="24" ht="18.75" customHeight="1">
      <c r="A24" s="50"/>
      <c r="B24" s="76">
        <v>45866.0</v>
      </c>
      <c r="C24" s="60"/>
      <c r="D24" s="60">
        <v>600000.0</v>
      </c>
      <c r="E24" s="84">
        <v>2.11</v>
      </c>
      <c r="F24" s="54" t="s">
        <v>167</v>
      </c>
      <c r="G24" s="52"/>
      <c r="H24" s="64" t="s">
        <v>76</v>
      </c>
      <c r="I24" s="64" t="s">
        <v>77</v>
      </c>
      <c r="J24" s="67">
        <v>0.0</v>
      </c>
      <c r="K24" s="13"/>
    </row>
    <row r="25" ht="18.75" customHeight="1">
      <c r="A25" s="50"/>
      <c r="B25" s="76">
        <v>45840.0</v>
      </c>
      <c r="C25" s="60"/>
      <c r="D25" s="59">
        <v>1.4E7</v>
      </c>
      <c r="E25" s="96">
        <v>2.6</v>
      </c>
      <c r="F25" s="66" t="s">
        <v>168</v>
      </c>
      <c r="G25" s="52"/>
      <c r="H25" s="64" t="s">
        <v>78</v>
      </c>
      <c r="I25" s="64" t="s">
        <v>79</v>
      </c>
      <c r="J25" s="69">
        <f>SUM(J26:J28)</f>
        <v>418072941</v>
      </c>
      <c r="K25" s="13"/>
    </row>
    <row r="26" ht="18.75" customHeight="1">
      <c r="A26" s="50"/>
      <c r="B26" s="97">
        <v>45845.0</v>
      </c>
      <c r="C26" s="59">
        <v>8.9053082E7</v>
      </c>
      <c r="D26" s="60"/>
      <c r="E26" s="96">
        <v>1.1</v>
      </c>
      <c r="F26" s="66" t="s">
        <v>169</v>
      </c>
      <c r="G26" s="52"/>
      <c r="H26" s="54"/>
      <c r="I26" s="54" t="s">
        <v>80</v>
      </c>
      <c r="J26" s="69">
        <f>J3</f>
        <v>418072941</v>
      </c>
      <c r="K26" s="13"/>
    </row>
    <row r="27" ht="18.75" customHeight="1">
      <c r="A27" s="50"/>
      <c r="B27" s="97">
        <v>45846.0</v>
      </c>
      <c r="C27" s="59">
        <v>1.20451628E8</v>
      </c>
      <c r="D27" s="60"/>
      <c r="E27" s="96">
        <v>1.1</v>
      </c>
      <c r="F27" s="66" t="s">
        <v>170</v>
      </c>
      <c r="G27" s="52"/>
      <c r="H27" s="54"/>
      <c r="I27" s="54" t="s">
        <v>81</v>
      </c>
      <c r="J27" s="64"/>
      <c r="K27" s="13"/>
    </row>
    <row r="28" ht="18.75" customHeight="1">
      <c r="A28" s="50"/>
      <c r="B28" s="97">
        <v>45863.0</v>
      </c>
      <c r="C28" s="59">
        <v>1.08533148E8</v>
      </c>
      <c r="D28" s="60"/>
      <c r="E28" s="96">
        <v>1.1</v>
      </c>
      <c r="F28" s="66" t="s">
        <v>171</v>
      </c>
      <c r="G28" s="52"/>
      <c r="H28" s="54"/>
      <c r="I28" s="54" t="s">
        <v>82</v>
      </c>
      <c r="J28" s="64"/>
      <c r="K28" s="13"/>
    </row>
    <row r="29" ht="18.75" customHeight="1">
      <c r="A29" s="50"/>
      <c r="B29" s="97">
        <v>45863.0</v>
      </c>
      <c r="C29" s="59">
        <v>3.0E7</v>
      </c>
      <c r="D29" s="60"/>
      <c r="E29" s="96">
        <v>1.1</v>
      </c>
      <c r="F29" s="66" t="s">
        <v>172</v>
      </c>
      <c r="G29" s="52"/>
      <c r="H29" s="64" t="s">
        <v>83</v>
      </c>
      <c r="I29" s="64" t="s">
        <v>84</v>
      </c>
      <c r="J29" s="69">
        <f>SUM(J30:J41)</f>
        <v>222170084</v>
      </c>
      <c r="K29" s="13"/>
    </row>
    <row r="30" ht="18.75" customHeight="1">
      <c r="A30" s="50"/>
      <c r="B30" s="97">
        <v>45867.0</v>
      </c>
      <c r="D30" s="59">
        <v>1.6458121E7</v>
      </c>
      <c r="E30" s="96">
        <v>2.11</v>
      </c>
      <c r="F30" s="66" t="s">
        <v>173</v>
      </c>
      <c r="G30" s="52"/>
      <c r="H30" s="53">
        <v>2.1</v>
      </c>
      <c r="I30" s="54" t="s">
        <v>42</v>
      </c>
      <c r="J30" s="69">
        <f>J9</f>
        <v>0</v>
      </c>
      <c r="K30" s="13"/>
    </row>
    <row r="31" ht="18.75" customHeight="1">
      <c r="A31" s="50"/>
      <c r="B31" s="97">
        <v>45867.0</v>
      </c>
      <c r="C31" s="60"/>
      <c r="D31" s="59">
        <v>1971000.0</v>
      </c>
      <c r="E31" s="96">
        <v>2.11</v>
      </c>
      <c r="F31" s="66" t="s">
        <v>173</v>
      </c>
      <c r="G31" s="52"/>
      <c r="H31" s="31">
        <v>1.3</v>
      </c>
      <c r="I31" s="54" t="s">
        <v>85</v>
      </c>
      <c r="J31" s="67"/>
      <c r="K31" s="13"/>
    </row>
    <row r="32" ht="18.75" customHeight="1">
      <c r="A32" s="50"/>
      <c r="B32" s="76"/>
      <c r="C32" s="60"/>
      <c r="D32" s="60"/>
      <c r="E32" s="96"/>
      <c r="F32" s="54"/>
      <c r="G32" s="52"/>
      <c r="H32" s="53">
        <v>2.2</v>
      </c>
      <c r="I32" s="54" t="s">
        <v>45</v>
      </c>
      <c r="J32" s="69">
        <f t="shared" ref="J32:J41" si="2">J10</f>
        <v>72898462</v>
      </c>
      <c r="K32" s="13"/>
    </row>
    <row r="33" ht="18.75" customHeight="1">
      <c r="A33" s="50"/>
      <c r="B33" s="76"/>
      <c r="C33" s="60"/>
      <c r="D33" s="60"/>
      <c r="E33" s="96"/>
      <c r="F33" s="54"/>
      <c r="G33" s="52"/>
      <c r="H33" s="53">
        <v>2.3</v>
      </c>
      <c r="I33" s="54" t="s">
        <v>48</v>
      </c>
      <c r="J33" s="69">
        <f t="shared" si="2"/>
        <v>2400000</v>
      </c>
      <c r="K33" s="13"/>
    </row>
    <row r="34" ht="18.75" customHeight="1">
      <c r="A34" s="50"/>
      <c r="B34" s="76"/>
      <c r="C34" s="60"/>
      <c r="D34" s="60"/>
      <c r="E34" s="96"/>
      <c r="F34" s="54"/>
      <c r="G34" s="52"/>
      <c r="H34" s="53">
        <v>2.4</v>
      </c>
      <c r="I34" s="54" t="s">
        <v>51</v>
      </c>
      <c r="J34" s="69">
        <f t="shared" si="2"/>
        <v>0</v>
      </c>
      <c r="K34" s="13"/>
    </row>
    <row r="35" ht="18.75" customHeight="1">
      <c r="A35" s="50"/>
      <c r="B35" s="76"/>
      <c r="C35" s="60"/>
      <c r="D35" s="60"/>
      <c r="E35" s="96"/>
      <c r="F35" s="54"/>
      <c r="G35" s="52"/>
      <c r="H35" s="53">
        <v>2.5</v>
      </c>
      <c r="I35" s="54" t="s">
        <v>53</v>
      </c>
      <c r="J35" s="69">
        <f t="shared" si="2"/>
        <v>64076078</v>
      </c>
      <c r="K35" s="13"/>
    </row>
    <row r="36" ht="18.75" customHeight="1">
      <c r="A36" s="50"/>
      <c r="B36" s="76"/>
      <c r="C36" s="60"/>
      <c r="D36" s="60"/>
      <c r="E36" s="96"/>
      <c r="F36" s="54"/>
      <c r="G36" s="52"/>
      <c r="H36" s="53">
        <v>2.6</v>
      </c>
      <c r="I36" s="54" t="s">
        <v>55</v>
      </c>
      <c r="J36" s="69">
        <f t="shared" si="2"/>
        <v>32188000</v>
      </c>
      <c r="K36" s="13"/>
    </row>
    <row r="37" ht="18.75" customHeight="1">
      <c r="A37" s="50"/>
      <c r="B37" s="76"/>
      <c r="C37" s="60"/>
      <c r="D37" s="60"/>
      <c r="E37" s="96"/>
      <c r="F37" s="54"/>
      <c r="G37" s="52"/>
      <c r="H37" s="53">
        <v>2.7</v>
      </c>
      <c r="I37" s="54" t="s">
        <v>57</v>
      </c>
      <c r="J37" s="69">
        <f t="shared" si="2"/>
        <v>0</v>
      </c>
      <c r="K37" s="13"/>
    </row>
    <row r="38" ht="18.75" customHeight="1">
      <c r="A38" s="50"/>
      <c r="B38" s="76"/>
      <c r="C38" s="60"/>
      <c r="D38" s="60"/>
      <c r="E38" s="96"/>
      <c r="F38" s="54"/>
      <c r="G38" s="52"/>
      <c r="H38" s="53">
        <v>2.8</v>
      </c>
      <c r="I38" s="54" t="s">
        <v>59</v>
      </c>
      <c r="J38" s="69">
        <f t="shared" si="2"/>
        <v>13300000</v>
      </c>
      <c r="K38" s="13"/>
    </row>
    <row r="39" ht="18.75" customHeight="1">
      <c r="A39" s="50"/>
      <c r="B39" s="76"/>
      <c r="C39" s="60"/>
      <c r="D39" s="60"/>
      <c r="E39" s="96"/>
      <c r="F39" s="54"/>
      <c r="G39" s="52"/>
      <c r="H39" s="53">
        <v>2.9</v>
      </c>
      <c r="I39" s="54" t="s">
        <v>62</v>
      </c>
      <c r="J39" s="69">
        <f t="shared" si="2"/>
        <v>0</v>
      </c>
      <c r="K39" s="13"/>
    </row>
    <row r="40" ht="18.75" customHeight="1">
      <c r="A40" s="50"/>
      <c r="B40" s="76"/>
      <c r="C40" s="60"/>
      <c r="D40" s="60"/>
      <c r="E40" s="96"/>
      <c r="F40" s="54"/>
      <c r="G40" s="52"/>
      <c r="H40" s="53">
        <v>2.11</v>
      </c>
      <c r="I40" s="54" t="s">
        <v>64</v>
      </c>
      <c r="J40" s="69">
        <f t="shared" si="2"/>
        <v>37307544</v>
      </c>
      <c r="K40" s="13"/>
    </row>
    <row r="41" ht="18.75" customHeight="1">
      <c r="A41" s="50"/>
      <c r="B41" s="76"/>
      <c r="C41" s="60"/>
      <c r="D41" s="60"/>
      <c r="E41" s="96"/>
      <c r="F41" s="54"/>
      <c r="G41" s="52"/>
      <c r="H41" s="53">
        <v>2.12</v>
      </c>
      <c r="I41" s="54" t="s">
        <v>86</v>
      </c>
      <c r="J41" s="69">
        <f t="shared" si="2"/>
        <v>0</v>
      </c>
      <c r="K41" s="13"/>
    </row>
    <row r="42" ht="18.75" customHeight="1">
      <c r="A42" s="50"/>
      <c r="B42" s="76"/>
      <c r="C42" s="60"/>
      <c r="D42" s="60"/>
      <c r="E42" s="96"/>
      <c r="F42" s="54"/>
      <c r="G42" s="52"/>
      <c r="H42" s="64" t="s">
        <v>87</v>
      </c>
      <c r="I42" s="64" t="s">
        <v>5</v>
      </c>
      <c r="J42" s="28">
        <f>J24+J25-J29</f>
        <v>195902857</v>
      </c>
      <c r="K42" s="13"/>
    </row>
    <row r="43" ht="18.75" customHeight="1">
      <c r="A43" s="50"/>
      <c r="B43" s="76"/>
      <c r="C43" s="60"/>
      <c r="D43" s="60"/>
      <c r="E43" s="96"/>
      <c r="F43" s="54"/>
      <c r="G43" s="13"/>
      <c r="H43" s="13"/>
      <c r="I43" s="13"/>
      <c r="J43" s="13"/>
      <c r="K43" s="13"/>
    </row>
    <row r="44" ht="18.75" customHeight="1">
      <c r="A44" s="50"/>
      <c r="B44" s="76"/>
      <c r="C44" s="60"/>
      <c r="D44" s="60"/>
      <c r="E44" s="96"/>
      <c r="F44" s="54"/>
      <c r="G44" s="13"/>
      <c r="H44" s="70" t="s">
        <v>88</v>
      </c>
      <c r="I44" s="71"/>
      <c r="J44" s="71"/>
      <c r="K44" s="24"/>
    </row>
    <row r="45" ht="18.75" customHeight="1">
      <c r="A45" s="50"/>
      <c r="B45" s="76"/>
      <c r="C45" s="60"/>
      <c r="D45" s="60"/>
      <c r="E45" s="96"/>
      <c r="F45" s="54"/>
      <c r="G45" s="52"/>
      <c r="H45" s="64" t="s">
        <v>25</v>
      </c>
      <c r="I45" s="64" t="s">
        <v>26</v>
      </c>
      <c r="J45" s="53" t="s">
        <v>27</v>
      </c>
      <c r="K45" s="72" t="s">
        <v>89</v>
      </c>
    </row>
    <row r="46" ht="18.75" customHeight="1">
      <c r="A46" s="50"/>
      <c r="B46" s="76"/>
      <c r="C46" s="60"/>
      <c r="D46" s="60"/>
      <c r="E46" s="96"/>
      <c r="F46" s="54"/>
      <c r="G46" s="52"/>
      <c r="H46" s="64" t="s">
        <v>76</v>
      </c>
      <c r="I46" s="64" t="s">
        <v>77</v>
      </c>
      <c r="J46" s="69">
        <f>J42</f>
        <v>195902857</v>
      </c>
      <c r="K46" s="73"/>
    </row>
    <row r="47" ht="18.75" customHeight="1">
      <c r="A47" s="50"/>
      <c r="B47" s="76"/>
      <c r="C47" s="54"/>
      <c r="D47" s="60"/>
      <c r="E47" s="96"/>
      <c r="F47" s="54"/>
      <c r="G47" s="52"/>
      <c r="H47" s="64" t="s">
        <v>78</v>
      </c>
      <c r="I47" s="64" t="s">
        <v>79</v>
      </c>
      <c r="J47" s="69">
        <f>SUM(J48:J54)</f>
        <v>0</v>
      </c>
      <c r="K47" s="73"/>
    </row>
    <row r="48" ht="18.75" customHeight="1">
      <c r="A48" s="50"/>
      <c r="B48" s="76"/>
      <c r="C48" s="54"/>
      <c r="D48" s="60"/>
      <c r="E48" s="96"/>
      <c r="F48" s="54"/>
      <c r="G48" s="52"/>
      <c r="H48" s="54"/>
      <c r="I48" s="54"/>
      <c r="J48" s="74"/>
      <c r="K48" s="73"/>
    </row>
    <row r="49" ht="18.75" customHeight="1">
      <c r="A49" s="50"/>
      <c r="B49" s="76"/>
      <c r="C49" s="54"/>
      <c r="D49" s="60"/>
      <c r="E49" s="96"/>
      <c r="F49" s="54"/>
      <c r="G49" s="52"/>
      <c r="H49" s="54"/>
      <c r="I49" s="54"/>
      <c r="J49" s="74"/>
      <c r="K49" s="73"/>
    </row>
    <row r="50" ht="18.75" customHeight="1">
      <c r="A50" s="50"/>
      <c r="B50" s="76"/>
      <c r="C50" s="54"/>
      <c r="D50" s="60"/>
      <c r="E50" s="96"/>
      <c r="F50" s="54"/>
      <c r="G50" s="52"/>
      <c r="H50" s="54"/>
      <c r="I50" s="54"/>
      <c r="J50" s="74"/>
      <c r="K50" s="73"/>
    </row>
    <row r="51" ht="18.75" customHeight="1">
      <c r="A51" s="50"/>
      <c r="B51" s="76"/>
      <c r="C51" s="54"/>
      <c r="D51" s="60"/>
      <c r="E51" s="96"/>
      <c r="F51" s="54"/>
      <c r="G51" s="52"/>
      <c r="H51" s="54"/>
      <c r="I51" s="54"/>
      <c r="J51" s="74"/>
      <c r="K51" s="73"/>
    </row>
    <row r="52" ht="18.75" customHeight="1">
      <c r="A52" s="50"/>
      <c r="B52" s="76"/>
      <c r="C52" s="54"/>
      <c r="D52" s="60"/>
      <c r="E52" s="96"/>
      <c r="F52" s="54"/>
      <c r="G52" s="52"/>
      <c r="H52" s="54"/>
      <c r="I52" s="54"/>
      <c r="J52" s="64"/>
      <c r="K52" s="73"/>
    </row>
    <row r="53" ht="18.75" customHeight="1">
      <c r="A53" s="50"/>
      <c r="B53" s="76"/>
      <c r="C53" s="54"/>
      <c r="D53" s="60"/>
      <c r="E53" s="96"/>
      <c r="F53" s="54"/>
      <c r="G53" s="52"/>
      <c r="H53" s="54"/>
      <c r="I53" s="54"/>
      <c r="J53" s="64"/>
      <c r="K53" s="73"/>
    </row>
    <row r="54" ht="18.75" customHeight="1">
      <c r="A54" s="50"/>
      <c r="B54" s="76"/>
      <c r="C54" s="54"/>
      <c r="D54" s="60"/>
      <c r="E54" s="96"/>
      <c r="F54" s="54"/>
      <c r="G54" s="52"/>
      <c r="H54" s="54"/>
      <c r="I54" s="54"/>
      <c r="J54" s="64"/>
      <c r="K54" s="73"/>
    </row>
    <row r="55" ht="18.75" customHeight="1">
      <c r="A55" s="50"/>
      <c r="B55" s="76"/>
      <c r="C55" s="75"/>
      <c r="D55" s="60"/>
      <c r="E55" s="96"/>
      <c r="F55" s="54"/>
      <c r="G55" s="52"/>
      <c r="H55" s="64" t="s">
        <v>83</v>
      </c>
      <c r="I55" s="64" t="s">
        <v>84</v>
      </c>
      <c r="J55" s="74">
        <f>SUM(J56:J65)</f>
        <v>0</v>
      </c>
      <c r="K55" s="73"/>
    </row>
    <row r="56" ht="18.75" customHeight="1">
      <c r="A56" s="50"/>
      <c r="B56" s="76"/>
      <c r="C56" s="54"/>
      <c r="D56" s="60"/>
      <c r="E56" s="96"/>
      <c r="F56" s="54"/>
      <c r="G56" s="52"/>
      <c r="H56" s="54"/>
      <c r="I56" s="54"/>
      <c r="J56" s="74"/>
      <c r="K56" s="76"/>
    </row>
    <row r="57" ht="18.75" customHeight="1">
      <c r="A57" s="50"/>
      <c r="B57" s="76"/>
      <c r="C57" s="54"/>
      <c r="D57" s="60"/>
      <c r="E57" s="96"/>
      <c r="F57" s="54"/>
      <c r="G57" s="52"/>
      <c r="H57" s="54"/>
      <c r="I57" s="54"/>
      <c r="J57" s="74"/>
      <c r="K57" s="76"/>
    </row>
    <row r="58" ht="18.75" customHeight="1">
      <c r="A58" s="50"/>
      <c r="B58" s="76"/>
      <c r="C58" s="75"/>
      <c r="D58" s="60"/>
      <c r="E58" s="96"/>
      <c r="F58" s="54"/>
      <c r="G58" s="52"/>
      <c r="H58" s="54"/>
      <c r="I58" s="54"/>
      <c r="J58" s="74"/>
      <c r="K58" s="76"/>
    </row>
    <row r="59" ht="18.75" customHeight="1">
      <c r="A59" s="50"/>
      <c r="B59" s="76"/>
      <c r="C59" s="54"/>
      <c r="D59" s="60"/>
      <c r="E59" s="96"/>
      <c r="F59" s="54"/>
      <c r="G59" s="52"/>
      <c r="H59" s="54"/>
      <c r="I59" s="54"/>
      <c r="J59" s="74"/>
      <c r="K59" s="76"/>
    </row>
    <row r="60" ht="18.75" customHeight="1">
      <c r="A60" s="50"/>
      <c r="B60" s="76"/>
      <c r="C60" s="54"/>
      <c r="D60" s="60"/>
      <c r="E60" s="96"/>
      <c r="F60" s="54"/>
      <c r="G60" s="52"/>
      <c r="H60" s="54"/>
      <c r="I60" s="54"/>
      <c r="J60" s="74"/>
      <c r="K60" s="73"/>
    </row>
    <row r="61" ht="18.75" customHeight="1">
      <c r="A61" s="50"/>
      <c r="B61" s="76"/>
      <c r="C61" s="54"/>
      <c r="D61" s="60"/>
      <c r="E61" s="96"/>
      <c r="F61" s="54"/>
      <c r="G61" s="52"/>
      <c r="H61" s="54"/>
      <c r="I61" s="54"/>
      <c r="J61" s="74"/>
      <c r="K61" s="73"/>
    </row>
    <row r="62" ht="18.75" customHeight="1">
      <c r="A62" s="50"/>
      <c r="B62" s="76"/>
      <c r="C62" s="54"/>
      <c r="D62" s="60"/>
      <c r="E62" s="53"/>
      <c r="F62" s="54"/>
      <c r="G62" s="52"/>
      <c r="H62" s="54"/>
      <c r="I62" s="54"/>
      <c r="J62" s="74"/>
      <c r="K62" s="73"/>
    </row>
    <row r="63" ht="18.75" customHeight="1">
      <c r="A63" s="50"/>
      <c r="B63" s="76"/>
      <c r="C63" s="54"/>
      <c r="D63" s="60"/>
      <c r="E63" s="53"/>
      <c r="F63" s="54"/>
      <c r="G63" s="52"/>
      <c r="H63" s="54"/>
      <c r="I63" s="54"/>
      <c r="J63" s="74"/>
      <c r="K63" s="73"/>
    </row>
    <row r="64" ht="18.75" customHeight="1">
      <c r="A64" s="50"/>
      <c r="B64" s="76"/>
      <c r="C64" s="54"/>
      <c r="D64" s="60"/>
      <c r="E64" s="53"/>
      <c r="F64" s="54"/>
      <c r="G64" s="52"/>
      <c r="H64" s="54"/>
      <c r="I64" s="54"/>
      <c r="J64" s="74"/>
      <c r="K64" s="73"/>
    </row>
    <row r="65" ht="18.75" customHeight="1">
      <c r="A65" s="50"/>
      <c r="B65" s="76"/>
      <c r="C65" s="75"/>
      <c r="D65" s="60"/>
      <c r="E65" s="53"/>
      <c r="F65" s="54"/>
      <c r="G65" s="52"/>
      <c r="H65" s="54"/>
      <c r="I65" s="54"/>
      <c r="J65" s="74"/>
      <c r="K65" s="73"/>
    </row>
    <row r="66" ht="18.75" customHeight="1">
      <c r="A66" s="77"/>
      <c r="B66" s="87"/>
      <c r="C66" s="77"/>
      <c r="D66" s="60"/>
      <c r="E66" s="77"/>
      <c r="F66" s="77"/>
      <c r="G66" s="52"/>
      <c r="H66" s="64" t="s">
        <v>87</v>
      </c>
      <c r="I66" s="64" t="s">
        <v>5</v>
      </c>
      <c r="J66" s="28">
        <f>J46+J47-J55</f>
        <v>195902857</v>
      </c>
      <c r="K66" s="73"/>
    </row>
    <row r="67" ht="18.75" customHeight="1">
      <c r="A67" s="77"/>
      <c r="B67" s="87"/>
      <c r="C67" s="77"/>
      <c r="D67" s="60"/>
      <c r="E67" s="77"/>
      <c r="F67" s="77"/>
      <c r="G67" s="77"/>
      <c r="H67" s="77"/>
      <c r="I67" s="77"/>
      <c r="J67" s="77"/>
      <c r="K67" s="77"/>
    </row>
    <row r="68" ht="18.75" customHeight="1">
      <c r="A68" s="77"/>
      <c r="B68" s="87"/>
      <c r="C68" s="77"/>
      <c r="D68" s="60"/>
      <c r="E68" s="77"/>
      <c r="F68" s="77"/>
      <c r="G68" s="77"/>
      <c r="H68" s="77"/>
      <c r="I68" s="77"/>
      <c r="J68" s="77"/>
      <c r="K68" s="77"/>
    </row>
    <row r="69" ht="18.75" customHeight="1">
      <c r="A69" s="77"/>
      <c r="B69" s="87"/>
      <c r="C69" s="77"/>
      <c r="D69" s="60"/>
      <c r="E69" s="77"/>
      <c r="F69" s="77"/>
      <c r="G69" s="77"/>
      <c r="H69" s="77"/>
      <c r="I69" s="77"/>
      <c r="J69" s="77"/>
      <c r="K69" s="77"/>
    </row>
    <row r="70" ht="18.75" customHeight="1">
      <c r="A70" s="77"/>
      <c r="B70" s="87"/>
      <c r="C70" s="77"/>
      <c r="D70" s="60"/>
      <c r="E70" s="77"/>
      <c r="F70" s="77"/>
      <c r="G70" s="77"/>
      <c r="H70" s="77"/>
      <c r="I70" s="77"/>
      <c r="J70" s="77"/>
      <c r="K70" s="77"/>
    </row>
    <row r="71" ht="18.75" customHeight="1">
      <c r="A71" s="77"/>
      <c r="B71" s="87"/>
      <c r="C71" s="77"/>
      <c r="D71" s="60"/>
      <c r="E71" s="77"/>
      <c r="F71" s="77"/>
      <c r="G71" s="77"/>
      <c r="H71" s="77"/>
      <c r="I71" s="77"/>
      <c r="J71" s="77"/>
      <c r="K71" s="77"/>
    </row>
    <row r="72" ht="18.75" customHeight="1">
      <c r="A72" s="77"/>
      <c r="B72" s="87"/>
      <c r="C72" s="77"/>
      <c r="D72" s="60"/>
      <c r="E72" s="77"/>
      <c r="F72" s="77"/>
      <c r="G72" s="77"/>
      <c r="H72" s="77"/>
      <c r="I72" s="77"/>
      <c r="J72" s="77"/>
      <c r="K72" s="77"/>
    </row>
    <row r="73" ht="18.75" customHeight="1">
      <c r="A73" s="77"/>
      <c r="B73" s="87"/>
      <c r="C73" s="77"/>
      <c r="D73" s="60"/>
      <c r="E73" s="77"/>
      <c r="F73" s="77"/>
      <c r="G73" s="77"/>
      <c r="H73" s="77"/>
      <c r="I73" s="77"/>
      <c r="J73" s="77"/>
      <c r="K73" s="77"/>
    </row>
    <row r="74" ht="18.75" customHeight="1">
      <c r="A74" s="77"/>
      <c r="B74" s="87"/>
      <c r="C74" s="77"/>
      <c r="D74" s="60"/>
      <c r="E74" s="77"/>
      <c r="F74" s="77"/>
      <c r="G74" s="77"/>
      <c r="H74" s="77"/>
      <c r="I74" s="77"/>
      <c r="J74" s="77"/>
      <c r="K74" s="77"/>
    </row>
    <row r="75" ht="18.75" customHeight="1">
      <c r="A75" s="77"/>
      <c r="B75" s="87"/>
      <c r="C75" s="77"/>
      <c r="D75" s="60"/>
      <c r="E75" s="77"/>
      <c r="F75" s="77"/>
      <c r="G75" s="77"/>
      <c r="H75" s="77"/>
      <c r="I75" s="77"/>
      <c r="J75" s="77"/>
      <c r="K75" s="77"/>
    </row>
    <row r="76" ht="18.75" customHeight="1">
      <c r="A76" s="77"/>
      <c r="B76" s="87"/>
      <c r="C76" s="77"/>
      <c r="D76" s="60"/>
      <c r="E76" s="77"/>
      <c r="F76" s="77"/>
      <c r="G76" s="77"/>
      <c r="H76" s="77"/>
      <c r="I76" s="77"/>
      <c r="J76" s="77"/>
      <c r="K76" s="77"/>
    </row>
    <row r="77" ht="18.75" customHeight="1">
      <c r="A77" s="77"/>
      <c r="B77" s="87"/>
      <c r="C77" s="77"/>
      <c r="D77" s="60"/>
      <c r="E77" s="77"/>
      <c r="F77" s="77"/>
      <c r="G77" s="77"/>
      <c r="H77" s="77"/>
      <c r="I77" s="77"/>
      <c r="J77" s="77"/>
      <c r="K77" s="77"/>
    </row>
    <row r="78" ht="18.75" customHeight="1">
      <c r="A78" s="77"/>
      <c r="B78" s="87"/>
      <c r="C78" s="77"/>
      <c r="D78" s="60"/>
      <c r="E78" s="77"/>
      <c r="F78" s="77"/>
      <c r="G78" s="77"/>
      <c r="H78" s="77"/>
      <c r="I78" s="77"/>
      <c r="J78" s="77"/>
      <c r="K78" s="77"/>
    </row>
    <row r="79" ht="18.75" customHeight="1">
      <c r="A79" s="77"/>
      <c r="B79" s="87"/>
      <c r="C79" s="77"/>
      <c r="D79" s="60"/>
      <c r="E79" s="77"/>
      <c r="F79" s="77"/>
      <c r="G79" s="77"/>
      <c r="H79" s="77"/>
      <c r="I79" s="77"/>
      <c r="J79" s="77"/>
      <c r="K79" s="77"/>
    </row>
    <row r="80" ht="18.75" customHeight="1">
      <c r="A80" s="77"/>
      <c r="B80" s="87"/>
      <c r="C80" s="77"/>
      <c r="D80" s="60"/>
      <c r="E80" s="77"/>
      <c r="F80" s="77"/>
      <c r="G80" s="77"/>
      <c r="H80" s="77"/>
      <c r="I80" s="77"/>
      <c r="J80" s="77"/>
      <c r="K80" s="77"/>
    </row>
    <row r="81" ht="18.75" customHeight="1">
      <c r="A81" s="77"/>
      <c r="B81" s="87"/>
      <c r="C81" s="77"/>
      <c r="D81" s="60"/>
      <c r="E81" s="77"/>
      <c r="F81" s="77"/>
      <c r="G81" s="77"/>
      <c r="H81" s="77"/>
      <c r="I81" s="77"/>
      <c r="J81" s="77"/>
      <c r="K81" s="77"/>
    </row>
    <row r="82" ht="18.75" customHeight="1">
      <c r="A82" s="77"/>
      <c r="B82" s="87"/>
      <c r="C82" s="77"/>
      <c r="D82" s="60"/>
      <c r="E82" s="77"/>
      <c r="F82" s="77"/>
      <c r="G82" s="77"/>
      <c r="H82" s="77"/>
      <c r="I82" s="77"/>
      <c r="J82" s="77"/>
      <c r="K82" s="77"/>
    </row>
    <row r="83" ht="18.75" customHeight="1">
      <c r="A83" s="77"/>
      <c r="B83" s="87"/>
      <c r="C83" s="77"/>
      <c r="D83" s="60"/>
      <c r="E83" s="77"/>
      <c r="F83" s="77"/>
      <c r="G83" s="77"/>
      <c r="H83" s="77"/>
      <c r="I83" s="77"/>
      <c r="J83" s="77"/>
      <c r="K83" s="77"/>
    </row>
    <row r="84" ht="18.75" customHeight="1">
      <c r="A84" s="77"/>
      <c r="B84" s="87"/>
      <c r="C84" s="77"/>
      <c r="D84" s="60"/>
      <c r="E84" s="77"/>
      <c r="F84" s="77"/>
      <c r="G84" s="77"/>
      <c r="H84" s="77"/>
      <c r="I84" s="77"/>
      <c r="J84" s="77"/>
      <c r="K84" s="77"/>
    </row>
    <row r="85" ht="18.75" customHeight="1">
      <c r="A85" s="77"/>
      <c r="B85" s="87"/>
      <c r="C85" s="77"/>
      <c r="D85" s="60"/>
      <c r="E85" s="77"/>
      <c r="F85" s="77"/>
      <c r="G85" s="77"/>
      <c r="H85" s="77"/>
      <c r="I85" s="77"/>
      <c r="J85" s="77"/>
      <c r="K85" s="77"/>
    </row>
    <row r="86" ht="18.75" customHeight="1">
      <c r="A86" s="77"/>
      <c r="B86" s="87"/>
      <c r="C86" s="77"/>
      <c r="D86" s="60"/>
      <c r="E86" s="77"/>
      <c r="F86" s="77"/>
      <c r="G86" s="77"/>
      <c r="H86" s="77"/>
      <c r="I86" s="77"/>
      <c r="J86" s="77"/>
      <c r="K86" s="77"/>
    </row>
    <row r="87" ht="18.75" customHeight="1">
      <c r="A87" s="77"/>
      <c r="B87" s="87"/>
      <c r="C87" s="77"/>
      <c r="D87" s="60"/>
      <c r="E87" s="77"/>
      <c r="F87" s="77"/>
      <c r="G87" s="77"/>
      <c r="H87" s="77"/>
      <c r="I87" s="77"/>
      <c r="J87" s="77"/>
      <c r="K87" s="77"/>
    </row>
    <row r="88" ht="18.75" customHeight="1">
      <c r="A88" s="77"/>
      <c r="B88" s="87"/>
      <c r="C88" s="77"/>
      <c r="D88" s="60"/>
      <c r="E88" s="77"/>
      <c r="F88" s="77"/>
      <c r="G88" s="77"/>
      <c r="H88" s="77"/>
      <c r="I88" s="77"/>
      <c r="J88" s="77"/>
      <c r="K88" s="77"/>
    </row>
    <row r="89" ht="18.75" customHeight="1">
      <c r="A89" s="77"/>
      <c r="B89" s="87"/>
      <c r="C89" s="77"/>
      <c r="D89" s="60"/>
      <c r="E89" s="77"/>
      <c r="F89" s="77"/>
      <c r="G89" s="77"/>
      <c r="H89" s="77"/>
      <c r="I89" s="77"/>
      <c r="J89" s="77"/>
      <c r="K89" s="77"/>
    </row>
    <row r="90" ht="18.75" customHeight="1">
      <c r="A90" s="77"/>
      <c r="B90" s="87"/>
      <c r="C90" s="77"/>
      <c r="D90" s="60"/>
      <c r="E90" s="77"/>
      <c r="F90" s="77"/>
      <c r="G90" s="77"/>
      <c r="H90" s="77"/>
      <c r="I90" s="77"/>
      <c r="J90" s="77"/>
      <c r="K90" s="77"/>
    </row>
    <row r="91" ht="18.75" customHeight="1">
      <c r="A91" s="77"/>
      <c r="B91" s="87"/>
      <c r="C91" s="77"/>
      <c r="D91" s="60"/>
      <c r="E91" s="77"/>
      <c r="F91" s="77"/>
      <c r="G91" s="77"/>
      <c r="H91" s="77"/>
      <c r="I91" s="77"/>
      <c r="J91" s="77"/>
      <c r="K91" s="77"/>
    </row>
    <row r="92" ht="18.75" customHeight="1">
      <c r="A92" s="77"/>
      <c r="B92" s="87"/>
      <c r="C92" s="77"/>
      <c r="D92" s="60"/>
      <c r="E92" s="77"/>
      <c r="F92" s="77"/>
      <c r="G92" s="77"/>
      <c r="H92" s="77"/>
      <c r="I92" s="77"/>
      <c r="J92" s="77"/>
      <c r="K92" s="77"/>
    </row>
    <row r="93" ht="18.75" customHeight="1">
      <c r="A93" s="77"/>
      <c r="B93" s="87"/>
      <c r="C93" s="77"/>
      <c r="D93" s="60"/>
      <c r="E93" s="77"/>
      <c r="F93" s="77"/>
      <c r="G93" s="77"/>
      <c r="H93" s="77"/>
      <c r="I93" s="77"/>
      <c r="J93" s="77"/>
      <c r="K93" s="77"/>
    </row>
    <row r="94" ht="18.75" customHeight="1">
      <c r="A94" s="77"/>
      <c r="B94" s="87"/>
      <c r="C94" s="77"/>
      <c r="D94" s="60"/>
      <c r="E94" s="77"/>
      <c r="F94" s="77"/>
      <c r="G94" s="77"/>
      <c r="H94" s="77"/>
      <c r="I94" s="77"/>
      <c r="J94" s="77"/>
      <c r="K94" s="77"/>
    </row>
    <row r="95" ht="18.75" customHeight="1">
      <c r="A95" s="77"/>
      <c r="B95" s="87"/>
      <c r="C95" s="77"/>
      <c r="D95" s="77"/>
      <c r="E95" s="77"/>
      <c r="F95" s="77"/>
      <c r="G95" s="77"/>
      <c r="H95" s="77"/>
      <c r="I95" s="77"/>
      <c r="J95" s="77"/>
      <c r="K95" s="77"/>
    </row>
    <row r="96" ht="18.75" customHeight="1">
      <c r="A96" s="77"/>
      <c r="B96" s="87"/>
      <c r="C96" s="77"/>
      <c r="D96" s="77"/>
      <c r="E96" s="77"/>
      <c r="F96" s="77"/>
      <c r="G96" s="77"/>
      <c r="H96" s="77"/>
      <c r="I96" s="77"/>
      <c r="J96" s="77"/>
      <c r="K96" s="77"/>
    </row>
    <row r="97" ht="18.75" customHeight="1">
      <c r="A97" s="77"/>
      <c r="B97" s="87"/>
      <c r="C97" s="77"/>
      <c r="D97" s="77"/>
      <c r="E97" s="77"/>
      <c r="F97" s="77"/>
      <c r="G97" s="77"/>
      <c r="H97" s="77"/>
      <c r="I97" s="77"/>
      <c r="J97" s="77"/>
      <c r="K97" s="77"/>
    </row>
    <row r="98" ht="18.75" customHeight="1">
      <c r="A98" s="77"/>
      <c r="B98" s="87"/>
      <c r="C98" s="77"/>
      <c r="D98" s="77"/>
      <c r="E98" s="77"/>
      <c r="F98" s="77"/>
      <c r="G98" s="77"/>
      <c r="H98" s="77"/>
      <c r="I98" s="77"/>
      <c r="J98" s="77"/>
      <c r="K98" s="77"/>
    </row>
    <row r="99" ht="18.75" customHeight="1">
      <c r="A99" s="77"/>
      <c r="B99" s="87"/>
      <c r="C99" s="77"/>
      <c r="D99" s="77"/>
      <c r="E99" s="77"/>
      <c r="F99" s="77"/>
      <c r="G99" s="77"/>
      <c r="H99" s="77"/>
      <c r="I99" s="77"/>
      <c r="J99" s="77"/>
      <c r="K99" s="77"/>
    </row>
    <row r="100" ht="18.75" customHeight="1">
      <c r="A100" s="77"/>
      <c r="B100" s="87"/>
      <c r="C100" s="77"/>
      <c r="D100" s="77"/>
      <c r="E100" s="77"/>
      <c r="F100" s="77"/>
      <c r="G100" s="77"/>
      <c r="H100" s="77"/>
      <c r="I100" s="77"/>
      <c r="J100" s="77"/>
      <c r="K100" s="77"/>
    </row>
    <row r="101" ht="18.75" customHeight="1">
      <c r="A101" s="77"/>
      <c r="B101" s="87"/>
      <c r="C101" s="77"/>
      <c r="D101" s="77"/>
      <c r="E101" s="77"/>
      <c r="F101" s="77"/>
      <c r="G101" s="77"/>
      <c r="H101" s="77"/>
      <c r="I101" s="77"/>
      <c r="J101" s="77"/>
      <c r="K101" s="77"/>
    </row>
    <row r="102" ht="18.75" customHeight="1">
      <c r="A102" s="77"/>
      <c r="B102" s="87"/>
      <c r="C102" s="77"/>
      <c r="D102" s="77"/>
      <c r="E102" s="77"/>
      <c r="F102" s="77"/>
      <c r="G102" s="77"/>
      <c r="H102" s="77"/>
      <c r="I102" s="77"/>
      <c r="J102" s="77"/>
      <c r="K102" s="77"/>
    </row>
    <row r="103" ht="18.75" customHeight="1">
      <c r="A103" s="77"/>
      <c r="B103" s="87"/>
      <c r="C103" s="77"/>
      <c r="D103" s="77"/>
      <c r="E103" s="77"/>
      <c r="F103" s="77"/>
      <c r="G103" s="77"/>
      <c r="H103" s="77"/>
      <c r="I103" s="77"/>
      <c r="J103" s="77"/>
      <c r="K103" s="77"/>
    </row>
    <row r="104" ht="18.75" customHeight="1">
      <c r="A104" s="77"/>
      <c r="B104" s="87"/>
      <c r="C104" s="77"/>
      <c r="D104" s="77"/>
      <c r="E104" s="77"/>
      <c r="F104" s="77"/>
      <c r="G104" s="77"/>
      <c r="H104" s="77"/>
      <c r="I104" s="77"/>
      <c r="J104" s="77"/>
      <c r="K104" s="77"/>
    </row>
    <row r="105" ht="18.75" customHeight="1">
      <c r="A105" s="77"/>
      <c r="B105" s="87"/>
      <c r="C105" s="77"/>
      <c r="D105" s="77"/>
      <c r="E105" s="77"/>
      <c r="F105" s="77"/>
      <c r="G105" s="77"/>
      <c r="H105" s="77"/>
      <c r="I105" s="77"/>
      <c r="J105" s="77"/>
      <c r="K105" s="77"/>
    </row>
    <row r="106" ht="18.75" customHeight="1">
      <c r="A106" s="77"/>
      <c r="B106" s="87"/>
      <c r="C106" s="77"/>
      <c r="D106" s="77"/>
      <c r="E106" s="77"/>
      <c r="F106" s="77"/>
      <c r="G106" s="77"/>
      <c r="H106" s="77"/>
      <c r="I106" s="77"/>
      <c r="J106" s="77"/>
      <c r="K106" s="77"/>
    </row>
    <row r="107" ht="18.75" customHeight="1">
      <c r="A107" s="77"/>
      <c r="B107" s="87"/>
      <c r="C107" s="77"/>
      <c r="D107" s="77"/>
      <c r="E107" s="77"/>
      <c r="F107" s="77"/>
      <c r="G107" s="77"/>
      <c r="H107" s="77"/>
      <c r="I107" s="77"/>
      <c r="J107" s="77"/>
      <c r="K107" s="77"/>
    </row>
    <row r="108" ht="18.75" customHeight="1">
      <c r="A108" s="77"/>
      <c r="B108" s="87"/>
      <c r="C108" s="77"/>
      <c r="D108" s="77"/>
      <c r="E108" s="77"/>
      <c r="F108" s="77"/>
      <c r="G108" s="77"/>
      <c r="H108" s="77"/>
      <c r="I108" s="77"/>
      <c r="J108" s="77"/>
      <c r="K108" s="77"/>
    </row>
    <row r="109" ht="18.75" customHeight="1">
      <c r="A109" s="77"/>
      <c r="B109" s="87"/>
      <c r="C109" s="77"/>
      <c r="D109" s="77"/>
      <c r="E109" s="77"/>
      <c r="F109" s="77"/>
      <c r="G109" s="77"/>
      <c r="H109" s="77"/>
      <c r="I109" s="77"/>
      <c r="J109" s="77"/>
      <c r="K109" s="77"/>
    </row>
    <row r="110" ht="18.75" customHeight="1">
      <c r="A110" s="77"/>
      <c r="B110" s="87"/>
      <c r="C110" s="77"/>
      <c r="D110" s="77"/>
      <c r="E110" s="77"/>
      <c r="F110" s="77"/>
      <c r="G110" s="77"/>
      <c r="H110" s="77"/>
      <c r="I110" s="77"/>
      <c r="J110" s="77"/>
      <c r="K110" s="77"/>
    </row>
    <row r="111" ht="18.75" customHeight="1">
      <c r="A111" s="77"/>
      <c r="B111" s="87"/>
      <c r="C111" s="77"/>
      <c r="D111" s="77"/>
      <c r="E111" s="77"/>
      <c r="F111" s="77"/>
      <c r="G111" s="77"/>
      <c r="H111" s="77"/>
      <c r="I111" s="77"/>
      <c r="J111" s="77"/>
      <c r="K111" s="77"/>
    </row>
    <row r="112" ht="18.75" customHeight="1">
      <c r="A112" s="77"/>
      <c r="B112" s="87"/>
      <c r="C112" s="77"/>
      <c r="D112" s="77"/>
      <c r="E112" s="77"/>
      <c r="F112" s="77"/>
      <c r="G112" s="77"/>
      <c r="H112" s="77"/>
      <c r="I112" s="77"/>
      <c r="J112" s="77"/>
      <c r="K112" s="77"/>
    </row>
    <row r="113" ht="18.75" customHeight="1">
      <c r="A113" s="77"/>
      <c r="B113" s="87"/>
      <c r="C113" s="77"/>
      <c r="D113" s="77"/>
      <c r="E113" s="77"/>
      <c r="F113" s="77"/>
      <c r="G113" s="77"/>
      <c r="H113" s="77"/>
      <c r="I113" s="77"/>
      <c r="J113" s="77"/>
      <c r="K113" s="77"/>
    </row>
    <row r="114" ht="18.75" customHeight="1">
      <c r="A114" s="77"/>
      <c r="B114" s="87"/>
      <c r="C114" s="77"/>
      <c r="D114" s="77"/>
      <c r="E114" s="77"/>
      <c r="F114" s="77"/>
      <c r="G114" s="77"/>
      <c r="H114" s="77"/>
      <c r="I114" s="77"/>
      <c r="J114" s="77"/>
      <c r="K114" s="77"/>
    </row>
    <row r="115" ht="18.75" customHeight="1">
      <c r="A115" s="77"/>
      <c r="B115" s="87"/>
      <c r="C115" s="77"/>
      <c r="D115" s="77"/>
      <c r="E115" s="77"/>
      <c r="F115" s="77"/>
      <c r="G115" s="77"/>
      <c r="H115" s="77"/>
      <c r="I115" s="77"/>
      <c r="J115" s="77"/>
      <c r="K115" s="77"/>
    </row>
    <row r="116" ht="18.75" customHeight="1">
      <c r="A116" s="77"/>
      <c r="B116" s="87"/>
      <c r="C116" s="77"/>
      <c r="D116" s="77"/>
      <c r="E116" s="77"/>
      <c r="F116" s="77"/>
      <c r="G116" s="77"/>
      <c r="H116" s="77"/>
      <c r="I116" s="77"/>
      <c r="J116" s="77"/>
      <c r="K116" s="77"/>
    </row>
    <row r="117" ht="18.75" customHeight="1">
      <c r="A117" s="77"/>
      <c r="B117" s="87"/>
      <c r="C117" s="77"/>
      <c r="D117" s="77"/>
      <c r="E117" s="77"/>
      <c r="F117" s="77"/>
      <c r="G117" s="77"/>
      <c r="H117" s="77"/>
      <c r="I117" s="77"/>
      <c r="J117" s="77"/>
      <c r="K117" s="77"/>
    </row>
    <row r="118" ht="18.75" customHeight="1">
      <c r="A118" s="77"/>
      <c r="B118" s="87"/>
      <c r="C118" s="77"/>
      <c r="D118" s="77"/>
      <c r="E118" s="77"/>
      <c r="F118" s="77"/>
      <c r="G118" s="77"/>
      <c r="H118" s="77"/>
      <c r="I118" s="77"/>
      <c r="J118" s="77"/>
      <c r="K118" s="77"/>
    </row>
    <row r="119" ht="18.75" customHeight="1">
      <c r="A119" s="77"/>
      <c r="B119" s="87"/>
      <c r="C119" s="77"/>
      <c r="D119" s="77"/>
      <c r="E119" s="77"/>
      <c r="F119" s="77"/>
      <c r="G119" s="77"/>
      <c r="H119" s="77"/>
      <c r="I119" s="77"/>
      <c r="J119" s="77"/>
      <c r="K119" s="77"/>
    </row>
    <row r="120" ht="18.75" customHeight="1">
      <c r="A120" s="77"/>
      <c r="B120" s="87"/>
      <c r="C120" s="77"/>
      <c r="D120" s="77"/>
      <c r="E120" s="77"/>
      <c r="F120" s="77"/>
      <c r="G120" s="77"/>
      <c r="H120" s="77"/>
      <c r="I120" s="77"/>
      <c r="J120" s="77"/>
      <c r="K120" s="77"/>
    </row>
    <row r="121" ht="18.75" customHeight="1">
      <c r="A121" s="77"/>
      <c r="B121" s="87"/>
      <c r="C121" s="77"/>
      <c r="D121" s="77"/>
      <c r="E121" s="77"/>
      <c r="F121" s="77"/>
      <c r="G121" s="77"/>
      <c r="H121" s="77"/>
      <c r="I121" s="77"/>
      <c r="J121" s="77"/>
      <c r="K121" s="77"/>
    </row>
    <row r="122" ht="18.75" customHeight="1">
      <c r="A122" s="77"/>
      <c r="B122" s="87"/>
      <c r="C122" s="77"/>
      <c r="D122" s="77"/>
      <c r="E122" s="77"/>
      <c r="F122" s="77"/>
      <c r="G122" s="77"/>
      <c r="H122" s="77"/>
      <c r="I122" s="77"/>
      <c r="J122" s="77"/>
      <c r="K122" s="77"/>
    </row>
    <row r="123" ht="18.75" customHeight="1">
      <c r="A123" s="77"/>
      <c r="B123" s="87"/>
      <c r="C123" s="77"/>
      <c r="D123" s="77"/>
      <c r="E123" s="77"/>
      <c r="F123" s="77"/>
      <c r="G123" s="77"/>
      <c r="H123" s="77"/>
      <c r="I123" s="77"/>
      <c r="J123" s="77"/>
      <c r="K123" s="77"/>
    </row>
    <row r="124" ht="18.75" customHeight="1">
      <c r="A124" s="77"/>
      <c r="B124" s="87"/>
      <c r="C124" s="77"/>
      <c r="D124" s="77"/>
      <c r="E124" s="77"/>
      <c r="F124" s="77"/>
      <c r="G124" s="77"/>
      <c r="H124" s="77"/>
      <c r="I124" s="77"/>
      <c r="J124" s="77"/>
      <c r="K124" s="77"/>
    </row>
    <row r="125" ht="18.75" customHeight="1">
      <c r="A125" s="77"/>
      <c r="B125" s="87"/>
      <c r="C125" s="77"/>
      <c r="D125" s="77"/>
      <c r="E125" s="77"/>
      <c r="F125" s="77"/>
      <c r="G125" s="77"/>
      <c r="H125" s="77"/>
      <c r="I125" s="77"/>
      <c r="J125" s="77"/>
      <c r="K125" s="77"/>
    </row>
    <row r="126" ht="18.75" customHeight="1">
      <c r="A126" s="77"/>
      <c r="B126" s="87"/>
      <c r="C126" s="77"/>
      <c r="D126" s="77"/>
      <c r="E126" s="77"/>
      <c r="F126" s="77"/>
      <c r="G126" s="77"/>
      <c r="H126" s="77"/>
      <c r="I126" s="77"/>
      <c r="J126" s="77"/>
      <c r="K126" s="77"/>
    </row>
    <row r="127" ht="18.75" customHeight="1">
      <c r="A127" s="77"/>
      <c r="B127" s="87"/>
      <c r="C127" s="77"/>
      <c r="D127" s="77"/>
      <c r="E127" s="77"/>
      <c r="F127" s="77"/>
      <c r="G127" s="77"/>
      <c r="H127" s="77"/>
      <c r="I127" s="77"/>
      <c r="J127" s="77"/>
      <c r="K127" s="77"/>
    </row>
    <row r="128" ht="18.75" customHeight="1">
      <c r="A128" s="77"/>
      <c r="B128" s="87"/>
      <c r="C128" s="77"/>
      <c r="D128" s="77"/>
      <c r="E128" s="77"/>
      <c r="F128" s="77"/>
      <c r="G128" s="77"/>
      <c r="H128" s="77"/>
      <c r="I128" s="77"/>
      <c r="J128" s="77"/>
      <c r="K128" s="77"/>
    </row>
    <row r="129" ht="18.75" customHeight="1">
      <c r="A129" s="77"/>
      <c r="B129" s="87"/>
      <c r="C129" s="77"/>
      <c r="D129" s="77"/>
      <c r="E129" s="77"/>
      <c r="F129" s="77"/>
      <c r="G129" s="77"/>
      <c r="H129" s="77"/>
      <c r="I129" s="77"/>
      <c r="J129" s="77"/>
      <c r="K129" s="77"/>
    </row>
    <row r="130" ht="18.75" customHeight="1">
      <c r="A130" s="77"/>
      <c r="B130" s="87"/>
      <c r="C130" s="77"/>
      <c r="D130" s="77"/>
      <c r="E130" s="77"/>
      <c r="F130" s="77"/>
      <c r="G130" s="77"/>
      <c r="H130" s="77"/>
      <c r="I130" s="77"/>
      <c r="J130" s="77"/>
      <c r="K130" s="77"/>
    </row>
    <row r="131" ht="18.75" customHeight="1">
      <c r="A131" s="77"/>
      <c r="B131" s="87"/>
      <c r="C131" s="77"/>
      <c r="D131" s="77"/>
      <c r="E131" s="77"/>
      <c r="F131" s="77"/>
      <c r="G131" s="77"/>
      <c r="H131" s="77"/>
      <c r="I131" s="77"/>
      <c r="J131" s="77"/>
      <c r="K131" s="77"/>
    </row>
    <row r="132" ht="18.75" customHeight="1">
      <c r="A132" s="77"/>
      <c r="B132" s="87"/>
      <c r="C132" s="77"/>
      <c r="D132" s="77"/>
      <c r="E132" s="77"/>
      <c r="F132" s="77"/>
      <c r="G132" s="77"/>
      <c r="H132" s="77"/>
      <c r="I132" s="77"/>
      <c r="J132" s="77"/>
      <c r="K132" s="77"/>
    </row>
    <row r="133" ht="18.75" customHeight="1">
      <c r="A133" s="77"/>
      <c r="B133" s="87"/>
      <c r="C133" s="77"/>
      <c r="D133" s="77"/>
      <c r="E133" s="77"/>
      <c r="F133" s="77"/>
      <c r="G133" s="77"/>
      <c r="H133" s="77"/>
      <c r="I133" s="77"/>
      <c r="J133" s="77"/>
      <c r="K133" s="77"/>
    </row>
    <row r="134" ht="18.75" customHeight="1">
      <c r="A134" s="77"/>
      <c r="B134" s="87"/>
      <c r="C134" s="77"/>
      <c r="D134" s="77"/>
      <c r="E134" s="77"/>
      <c r="F134" s="77"/>
      <c r="G134" s="77"/>
      <c r="H134" s="77"/>
      <c r="I134" s="77"/>
      <c r="J134" s="77"/>
      <c r="K134" s="77"/>
    </row>
    <row r="135" ht="18.75" customHeight="1">
      <c r="A135" s="77"/>
      <c r="B135" s="87"/>
      <c r="C135" s="77"/>
      <c r="D135" s="77"/>
      <c r="E135" s="77"/>
      <c r="F135" s="77"/>
      <c r="G135" s="77"/>
      <c r="H135" s="77"/>
      <c r="I135" s="77"/>
      <c r="J135" s="77"/>
      <c r="K135" s="77"/>
    </row>
    <row r="136" ht="18.75" customHeight="1">
      <c r="A136" s="77"/>
      <c r="B136" s="87"/>
      <c r="C136" s="77"/>
      <c r="D136" s="77"/>
      <c r="E136" s="77"/>
      <c r="F136" s="77"/>
      <c r="G136" s="77"/>
      <c r="H136" s="77"/>
      <c r="I136" s="77"/>
      <c r="J136" s="77"/>
      <c r="K136" s="77"/>
    </row>
    <row r="137" ht="18.75" customHeight="1">
      <c r="A137" s="77"/>
      <c r="B137" s="87"/>
      <c r="C137" s="77"/>
      <c r="D137" s="77"/>
      <c r="E137" s="77"/>
      <c r="F137" s="77"/>
      <c r="G137" s="77"/>
      <c r="H137" s="77"/>
      <c r="I137" s="77"/>
      <c r="J137" s="77"/>
      <c r="K137" s="77"/>
    </row>
    <row r="138" ht="18.75" customHeight="1">
      <c r="A138" s="77"/>
      <c r="B138" s="87"/>
      <c r="C138" s="77"/>
      <c r="D138" s="77"/>
      <c r="E138" s="77"/>
      <c r="F138" s="77"/>
      <c r="G138" s="77"/>
      <c r="H138" s="77"/>
      <c r="I138" s="77"/>
      <c r="J138" s="77"/>
      <c r="K138" s="77"/>
    </row>
    <row r="139" ht="18.75" customHeight="1">
      <c r="A139" s="77"/>
      <c r="B139" s="87"/>
      <c r="C139" s="77"/>
      <c r="D139" s="77"/>
      <c r="E139" s="77"/>
      <c r="F139" s="77"/>
      <c r="G139" s="77"/>
      <c r="H139" s="77"/>
      <c r="I139" s="77"/>
      <c r="J139" s="77"/>
      <c r="K139" s="77"/>
    </row>
    <row r="140" ht="18.75" customHeight="1">
      <c r="A140" s="77"/>
      <c r="B140" s="87"/>
      <c r="C140" s="77"/>
      <c r="D140" s="77"/>
      <c r="E140" s="77"/>
      <c r="F140" s="77"/>
      <c r="G140" s="77"/>
      <c r="H140" s="77"/>
      <c r="I140" s="77"/>
      <c r="J140" s="77"/>
      <c r="K140" s="77"/>
    </row>
    <row r="141" ht="18.75" customHeight="1">
      <c r="A141" s="77"/>
      <c r="B141" s="87"/>
      <c r="C141" s="77"/>
      <c r="D141" s="77"/>
      <c r="E141" s="77"/>
      <c r="F141" s="77"/>
      <c r="G141" s="77"/>
      <c r="H141" s="77"/>
      <c r="I141" s="77"/>
      <c r="J141" s="77"/>
      <c r="K141" s="77"/>
    </row>
    <row r="142" ht="18.75" customHeight="1">
      <c r="A142" s="77"/>
      <c r="B142" s="87"/>
      <c r="C142" s="77"/>
      <c r="D142" s="77"/>
      <c r="E142" s="77"/>
      <c r="F142" s="77"/>
      <c r="G142" s="77"/>
      <c r="H142" s="77"/>
      <c r="I142" s="77"/>
      <c r="J142" s="77"/>
      <c r="K142" s="77"/>
    </row>
    <row r="143" ht="18.75" customHeight="1">
      <c r="A143" s="77"/>
      <c r="B143" s="87"/>
      <c r="C143" s="77"/>
      <c r="D143" s="77"/>
      <c r="E143" s="77"/>
      <c r="F143" s="77"/>
      <c r="G143" s="77"/>
      <c r="H143" s="77"/>
      <c r="I143" s="77"/>
      <c r="J143" s="77"/>
      <c r="K143" s="77"/>
    </row>
    <row r="144" ht="18.75" customHeight="1">
      <c r="A144" s="77"/>
      <c r="B144" s="87"/>
      <c r="C144" s="77"/>
      <c r="D144" s="77"/>
      <c r="E144" s="77"/>
      <c r="F144" s="77"/>
      <c r="G144" s="77"/>
      <c r="H144" s="77"/>
      <c r="I144" s="77"/>
      <c r="J144" s="77"/>
      <c r="K144" s="77"/>
    </row>
    <row r="145" ht="18.75" customHeight="1">
      <c r="A145" s="77"/>
      <c r="B145" s="87"/>
      <c r="C145" s="77"/>
      <c r="D145" s="77"/>
      <c r="E145" s="77"/>
      <c r="F145" s="77"/>
      <c r="G145" s="77"/>
      <c r="H145" s="77"/>
      <c r="I145" s="77"/>
      <c r="J145" s="77"/>
      <c r="K145" s="77"/>
    </row>
    <row r="146" ht="18.75" customHeight="1">
      <c r="A146" s="77"/>
      <c r="B146" s="87"/>
      <c r="C146" s="77"/>
      <c r="D146" s="77"/>
      <c r="E146" s="77"/>
      <c r="F146" s="77"/>
      <c r="G146" s="77"/>
      <c r="H146" s="77"/>
      <c r="I146" s="77"/>
      <c r="J146" s="77"/>
      <c r="K146" s="77"/>
    </row>
    <row r="147" ht="18.75" customHeight="1">
      <c r="A147" s="77"/>
      <c r="B147" s="87"/>
      <c r="C147" s="77"/>
      <c r="D147" s="77"/>
      <c r="E147" s="77"/>
      <c r="F147" s="77"/>
      <c r="G147" s="77"/>
      <c r="H147" s="77"/>
      <c r="I147" s="77"/>
      <c r="J147" s="77"/>
      <c r="K147" s="77"/>
    </row>
    <row r="148" ht="18.75" customHeight="1">
      <c r="A148" s="77"/>
      <c r="B148" s="87"/>
      <c r="C148" s="77"/>
      <c r="D148" s="77"/>
      <c r="E148" s="77"/>
      <c r="F148" s="77"/>
      <c r="G148" s="77"/>
      <c r="H148" s="77"/>
      <c r="I148" s="77"/>
      <c r="J148" s="77"/>
      <c r="K148" s="77"/>
    </row>
    <row r="149" ht="18.75" customHeight="1">
      <c r="A149" s="77"/>
      <c r="B149" s="87"/>
      <c r="C149" s="77"/>
      <c r="D149" s="77"/>
      <c r="E149" s="77"/>
      <c r="F149" s="77"/>
      <c r="G149" s="77"/>
      <c r="H149" s="77"/>
      <c r="I149" s="77"/>
      <c r="J149" s="77"/>
      <c r="K149" s="77"/>
    </row>
    <row r="150" ht="18.75" customHeight="1">
      <c r="A150" s="77"/>
      <c r="B150" s="87"/>
      <c r="C150" s="77"/>
      <c r="D150" s="77"/>
      <c r="E150" s="77"/>
      <c r="F150" s="77"/>
      <c r="G150" s="77"/>
      <c r="H150" s="77"/>
      <c r="I150" s="77"/>
      <c r="J150" s="77"/>
      <c r="K150" s="77"/>
    </row>
    <row r="151" ht="18.75" customHeight="1">
      <c r="A151" s="77"/>
      <c r="B151" s="87"/>
      <c r="C151" s="77"/>
      <c r="D151" s="77"/>
      <c r="E151" s="77"/>
      <c r="F151" s="77"/>
      <c r="G151" s="77"/>
      <c r="H151" s="77"/>
      <c r="I151" s="77"/>
      <c r="J151" s="77"/>
      <c r="K151" s="77"/>
    </row>
    <row r="152" ht="18.75" customHeight="1">
      <c r="A152" s="77"/>
      <c r="B152" s="87"/>
      <c r="C152" s="77"/>
      <c r="D152" s="77"/>
      <c r="E152" s="77"/>
      <c r="F152" s="77"/>
      <c r="G152" s="77"/>
      <c r="H152" s="77"/>
      <c r="I152" s="77"/>
      <c r="J152" s="77"/>
      <c r="K152" s="77"/>
    </row>
    <row r="153" ht="18.75" customHeight="1">
      <c r="A153" s="77"/>
      <c r="B153" s="87"/>
      <c r="C153" s="77"/>
      <c r="D153" s="77"/>
      <c r="E153" s="77"/>
      <c r="F153" s="77"/>
      <c r="G153" s="77"/>
      <c r="H153" s="77"/>
      <c r="I153" s="77"/>
      <c r="J153" s="77"/>
      <c r="K153" s="77"/>
    </row>
    <row r="154" ht="18.75" customHeight="1">
      <c r="A154" s="77"/>
      <c r="B154" s="87"/>
      <c r="C154" s="77"/>
      <c r="D154" s="77"/>
      <c r="E154" s="77"/>
      <c r="F154" s="77"/>
      <c r="G154" s="77"/>
      <c r="H154" s="77"/>
      <c r="I154" s="77"/>
      <c r="J154" s="77"/>
      <c r="K154" s="77"/>
    </row>
    <row r="155" ht="18.75" customHeight="1">
      <c r="A155" s="77"/>
      <c r="B155" s="87"/>
      <c r="C155" s="77"/>
      <c r="D155" s="77"/>
      <c r="E155" s="77"/>
      <c r="F155" s="77"/>
      <c r="G155" s="77"/>
      <c r="H155" s="77"/>
      <c r="I155" s="77"/>
      <c r="J155" s="77"/>
      <c r="K155" s="77"/>
    </row>
    <row r="156" ht="18.75" customHeight="1">
      <c r="A156" s="77"/>
      <c r="B156" s="87"/>
      <c r="C156" s="77"/>
      <c r="D156" s="77"/>
      <c r="E156" s="77"/>
      <c r="F156" s="77"/>
      <c r="G156" s="77"/>
      <c r="H156" s="77"/>
      <c r="I156" s="77"/>
      <c r="J156" s="77"/>
      <c r="K156" s="77"/>
    </row>
    <row r="157" ht="18.75" customHeight="1">
      <c r="A157" s="77"/>
      <c r="B157" s="87"/>
      <c r="C157" s="77"/>
      <c r="D157" s="77"/>
      <c r="E157" s="77"/>
      <c r="F157" s="77"/>
      <c r="G157" s="77"/>
      <c r="H157" s="77"/>
      <c r="I157" s="77"/>
      <c r="J157" s="77"/>
      <c r="K157" s="77"/>
    </row>
    <row r="158" ht="18.75" customHeight="1">
      <c r="A158" s="77"/>
      <c r="B158" s="87"/>
      <c r="C158" s="77"/>
      <c r="D158" s="77"/>
      <c r="E158" s="77"/>
      <c r="F158" s="77"/>
      <c r="G158" s="77"/>
      <c r="H158" s="77"/>
      <c r="I158" s="77"/>
      <c r="J158" s="77"/>
      <c r="K158" s="77"/>
    </row>
    <row r="159" ht="18.75" customHeight="1">
      <c r="A159" s="77"/>
      <c r="B159" s="87"/>
      <c r="C159" s="77"/>
      <c r="D159" s="77"/>
      <c r="E159" s="77"/>
      <c r="F159" s="77"/>
      <c r="G159" s="77"/>
      <c r="H159" s="77"/>
      <c r="I159" s="77"/>
      <c r="J159" s="77"/>
      <c r="K159" s="77"/>
    </row>
    <row r="160" ht="18.75" customHeight="1">
      <c r="A160" s="77"/>
      <c r="B160" s="87"/>
      <c r="C160" s="77"/>
      <c r="D160" s="77"/>
      <c r="E160" s="77"/>
      <c r="F160" s="77"/>
      <c r="G160" s="77"/>
      <c r="H160" s="77"/>
      <c r="I160" s="77"/>
      <c r="J160" s="77"/>
      <c r="K160" s="77"/>
    </row>
    <row r="161" ht="18.75" customHeight="1">
      <c r="A161" s="77"/>
      <c r="B161" s="87"/>
      <c r="C161" s="77"/>
      <c r="D161" s="77"/>
      <c r="E161" s="77"/>
      <c r="F161" s="77"/>
      <c r="G161" s="77"/>
      <c r="H161" s="77"/>
      <c r="I161" s="77"/>
      <c r="J161" s="77"/>
      <c r="K161" s="77"/>
    </row>
    <row r="162" ht="18.75" customHeight="1">
      <c r="A162" s="77"/>
      <c r="B162" s="87"/>
      <c r="C162" s="77"/>
      <c r="D162" s="77"/>
      <c r="E162" s="77"/>
      <c r="F162" s="77"/>
      <c r="G162" s="77"/>
      <c r="H162" s="77"/>
      <c r="I162" s="77"/>
      <c r="J162" s="77"/>
      <c r="K162" s="77"/>
    </row>
    <row r="163" ht="18.75" customHeight="1">
      <c r="A163" s="77"/>
      <c r="B163" s="87"/>
      <c r="C163" s="77"/>
      <c r="D163" s="77"/>
      <c r="E163" s="77"/>
      <c r="F163" s="77"/>
      <c r="G163" s="77"/>
      <c r="H163" s="77"/>
      <c r="I163" s="77"/>
      <c r="J163" s="77"/>
      <c r="K163" s="77"/>
    </row>
    <row r="164" ht="18.75" customHeight="1">
      <c r="A164" s="77"/>
      <c r="B164" s="87"/>
      <c r="C164" s="77"/>
      <c r="D164" s="77"/>
      <c r="E164" s="77"/>
      <c r="F164" s="77"/>
      <c r="G164" s="77"/>
      <c r="H164" s="77"/>
      <c r="I164" s="77"/>
      <c r="J164" s="77"/>
      <c r="K164" s="77"/>
    </row>
    <row r="165" ht="18.75" customHeight="1">
      <c r="A165" s="77"/>
      <c r="B165" s="87"/>
      <c r="C165" s="77"/>
      <c r="D165" s="77"/>
      <c r="E165" s="77"/>
      <c r="F165" s="77"/>
      <c r="G165" s="77"/>
      <c r="H165" s="77"/>
      <c r="I165" s="77"/>
      <c r="J165" s="77"/>
      <c r="K165" s="77"/>
    </row>
    <row r="166" ht="18.75" customHeight="1">
      <c r="A166" s="77"/>
      <c r="B166" s="87"/>
      <c r="C166" s="77"/>
      <c r="D166" s="77"/>
      <c r="E166" s="77"/>
      <c r="F166" s="77"/>
      <c r="G166" s="77"/>
      <c r="H166" s="77"/>
      <c r="I166" s="77"/>
      <c r="J166" s="77"/>
      <c r="K166" s="77"/>
    </row>
    <row r="167" ht="18.75" customHeight="1">
      <c r="A167" s="77"/>
      <c r="B167" s="87"/>
      <c r="C167" s="77"/>
      <c r="D167" s="77"/>
      <c r="E167" s="77"/>
      <c r="F167" s="77"/>
      <c r="G167" s="77"/>
      <c r="H167" s="77"/>
      <c r="I167" s="77"/>
      <c r="J167" s="77"/>
      <c r="K167" s="77"/>
    </row>
    <row r="168" ht="18.75" customHeight="1">
      <c r="A168" s="77"/>
      <c r="B168" s="87"/>
      <c r="C168" s="77"/>
      <c r="D168" s="77"/>
      <c r="E168" s="77"/>
      <c r="F168" s="77"/>
      <c r="G168" s="77"/>
      <c r="H168" s="77"/>
      <c r="I168" s="77"/>
      <c r="J168" s="77"/>
      <c r="K168" s="77"/>
    </row>
    <row r="169" ht="18.75" customHeight="1">
      <c r="A169" s="77"/>
      <c r="B169" s="87"/>
      <c r="C169" s="77"/>
      <c r="D169" s="77"/>
      <c r="E169" s="77"/>
      <c r="F169" s="77"/>
      <c r="G169" s="77"/>
      <c r="H169" s="77"/>
      <c r="I169" s="77"/>
      <c r="J169" s="77"/>
      <c r="K169" s="77"/>
    </row>
    <row r="170" ht="18.75" customHeight="1">
      <c r="A170" s="77"/>
      <c r="B170" s="87"/>
      <c r="C170" s="77"/>
      <c r="D170" s="77"/>
      <c r="E170" s="77"/>
      <c r="F170" s="77"/>
      <c r="G170" s="77"/>
      <c r="H170" s="77"/>
      <c r="I170" s="77"/>
      <c r="J170" s="77"/>
      <c r="K170" s="77"/>
    </row>
    <row r="171" ht="18.75" customHeight="1">
      <c r="A171" s="77"/>
      <c r="B171" s="87"/>
      <c r="C171" s="77"/>
      <c r="D171" s="77"/>
      <c r="E171" s="77"/>
      <c r="F171" s="77"/>
      <c r="G171" s="77"/>
      <c r="H171" s="77"/>
      <c r="I171" s="77"/>
      <c r="J171" s="77"/>
      <c r="K171" s="77"/>
    </row>
    <row r="172" ht="18.75" customHeight="1">
      <c r="A172" s="77"/>
      <c r="B172" s="87"/>
      <c r="C172" s="77"/>
      <c r="D172" s="77"/>
      <c r="E172" s="77"/>
      <c r="F172" s="77"/>
      <c r="G172" s="77"/>
      <c r="H172" s="77"/>
      <c r="I172" s="77"/>
      <c r="J172" s="77"/>
      <c r="K172" s="77"/>
    </row>
    <row r="173" ht="18.75" customHeight="1">
      <c r="A173" s="77"/>
      <c r="B173" s="87"/>
      <c r="C173" s="77"/>
      <c r="D173" s="77"/>
      <c r="E173" s="77"/>
      <c r="F173" s="77"/>
      <c r="G173" s="77"/>
      <c r="H173" s="77"/>
      <c r="I173" s="77"/>
      <c r="J173" s="77"/>
      <c r="K173" s="77"/>
    </row>
    <row r="174" ht="18.75" customHeight="1">
      <c r="A174" s="77"/>
      <c r="B174" s="87"/>
      <c r="C174" s="77"/>
      <c r="D174" s="77"/>
      <c r="E174" s="77"/>
      <c r="F174" s="77"/>
      <c r="G174" s="77"/>
      <c r="H174" s="77"/>
      <c r="I174" s="77"/>
      <c r="J174" s="77"/>
      <c r="K174" s="77"/>
    </row>
    <row r="175" ht="18.75" customHeight="1">
      <c r="A175" s="77"/>
      <c r="B175" s="87"/>
      <c r="C175" s="77"/>
      <c r="D175" s="77"/>
      <c r="E175" s="77"/>
      <c r="F175" s="77"/>
      <c r="G175" s="77"/>
      <c r="H175" s="77"/>
      <c r="I175" s="77"/>
      <c r="J175" s="77"/>
      <c r="K175" s="77"/>
    </row>
    <row r="176" ht="18.75" customHeight="1">
      <c r="A176" s="77"/>
      <c r="B176" s="87"/>
      <c r="C176" s="77"/>
      <c r="D176" s="77"/>
      <c r="E176" s="77"/>
      <c r="F176" s="77"/>
      <c r="G176" s="77"/>
      <c r="H176" s="77"/>
      <c r="I176" s="77"/>
      <c r="J176" s="77"/>
      <c r="K176" s="77"/>
    </row>
    <row r="177" ht="18.75" customHeight="1">
      <c r="A177" s="77"/>
      <c r="B177" s="87"/>
      <c r="C177" s="77"/>
      <c r="D177" s="77"/>
      <c r="E177" s="77"/>
      <c r="F177" s="77"/>
      <c r="G177" s="77"/>
      <c r="H177" s="77"/>
      <c r="I177" s="77"/>
      <c r="J177" s="77"/>
      <c r="K177" s="77"/>
    </row>
    <row r="178" ht="18.75" customHeight="1">
      <c r="A178" s="77"/>
      <c r="B178" s="87"/>
      <c r="C178" s="77"/>
      <c r="D178" s="77"/>
      <c r="E178" s="77"/>
      <c r="F178" s="77"/>
      <c r="G178" s="77"/>
      <c r="H178" s="77"/>
      <c r="I178" s="77"/>
      <c r="J178" s="77"/>
      <c r="K178" s="77"/>
    </row>
    <row r="179" ht="18.75" customHeight="1">
      <c r="A179" s="77"/>
      <c r="B179" s="87"/>
      <c r="C179" s="77"/>
      <c r="D179" s="77"/>
      <c r="E179" s="77"/>
      <c r="F179" s="77"/>
      <c r="G179" s="77"/>
      <c r="H179" s="77"/>
      <c r="I179" s="77"/>
      <c r="J179" s="77"/>
      <c r="K179" s="77"/>
    </row>
    <row r="180" ht="18.75" customHeight="1">
      <c r="A180" s="77"/>
      <c r="B180" s="87"/>
      <c r="C180" s="77"/>
      <c r="D180" s="77"/>
      <c r="E180" s="77"/>
      <c r="F180" s="77"/>
      <c r="G180" s="77"/>
      <c r="H180" s="77"/>
      <c r="I180" s="77"/>
      <c r="J180" s="77"/>
      <c r="K180" s="77"/>
    </row>
    <row r="181" ht="18.75" customHeight="1">
      <c r="A181" s="77"/>
      <c r="B181" s="87"/>
      <c r="C181" s="77"/>
      <c r="D181" s="77"/>
      <c r="E181" s="77"/>
      <c r="F181" s="77"/>
      <c r="G181" s="77"/>
      <c r="H181" s="77"/>
      <c r="I181" s="77"/>
      <c r="J181" s="77"/>
      <c r="K181" s="77"/>
    </row>
    <row r="182" ht="18.75" customHeight="1">
      <c r="A182" s="77"/>
      <c r="B182" s="87"/>
      <c r="C182" s="77"/>
      <c r="D182" s="77"/>
      <c r="E182" s="77"/>
      <c r="F182" s="77"/>
      <c r="G182" s="77"/>
      <c r="H182" s="77"/>
      <c r="I182" s="77"/>
      <c r="J182" s="77"/>
      <c r="K182" s="77"/>
    </row>
    <row r="183" ht="18.75" customHeight="1">
      <c r="A183" s="77"/>
      <c r="B183" s="87"/>
      <c r="C183" s="77"/>
      <c r="D183" s="77"/>
      <c r="E183" s="77"/>
      <c r="F183" s="77"/>
      <c r="G183" s="77"/>
      <c r="H183" s="77"/>
      <c r="I183" s="77"/>
      <c r="J183" s="77"/>
      <c r="K183" s="77"/>
    </row>
    <row r="184" ht="18.75" customHeight="1">
      <c r="A184" s="77"/>
      <c r="B184" s="87"/>
      <c r="C184" s="77"/>
      <c r="D184" s="77"/>
      <c r="E184" s="77"/>
      <c r="F184" s="77"/>
      <c r="G184" s="77"/>
      <c r="H184" s="77"/>
      <c r="I184" s="77"/>
      <c r="J184" s="77"/>
      <c r="K184" s="77"/>
    </row>
    <row r="185" ht="18.75" customHeight="1">
      <c r="A185" s="77"/>
      <c r="B185" s="87"/>
      <c r="C185" s="77"/>
      <c r="D185" s="77"/>
      <c r="E185" s="77"/>
      <c r="F185" s="77"/>
      <c r="G185" s="77"/>
      <c r="H185" s="77"/>
      <c r="I185" s="77"/>
      <c r="J185" s="77"/>
      <c r="K185" s="77"/>
    </row>
    <row r="186" ht="18.75" customHeight="1">
      <c r="A186" s="77"/>
      <c r="B186" s="87"/>
      <c r="C186" s="77"/>
      <c r="D186" s="77"/>
      <c r="E186" s="77"/>
      <c r="F186" s="77"/>
      <c r="G186" s="77"/>
      <c r="H186" s="77"/>
      <c r="I186" s="77"/>
      <c r="J186" s="77"/>
      <c r="K186" s="77"/>
    </row>
    <row r="187" ht="18.75" customHeight="1">
      <c r="A187" s="77"/>
      <c r="B187" s="87"/>
      <c r="C187" s="77"/>
      <c r="D187" s="77"/>
      <c r="E187" s="77"/>
      <c r="F187" s="77"/>
      <c r="G187" s="77"/>
      <c r="H187" s="77"/>
      <c r="I187" s="77"/>
      <c r="J187" s="77"/>
      <c r="K187" s="77"/>
    </row>
    <row r="188" ht="18.75" customHeight="1">
      <c r="A188" s="77"/>
      <c r="B188" s="87"/>
      <c r="C188" s="77"/>
      <c r="D188" s="77"/>
      <c r="E188" s="77"/>
      <c r="F188" s="77"/>
      <c r="G188" s="77"/>
      <c r="H188" s="77"/>
      <c r="I188" s="77"/>
      <c r="J188" s="77"/>
      <c r="K188" s="77"/>
    </row>
    <row r="189" ht="18.75" customHeight="1">
      <c r="A189" s="77"/>
      <c r="B189" s="87"/>
      <c r="C189" s="77"/>
      <c r="D189" s="77"/>
      <c r="E189" s="77"/>
      <c r="F189" s="77"/>
      <c r="G189" s="77"/>
      <c r="H189" s="77"/>
      <c r="I189" s="77"/>
      <c r="J189" s="77"/>
      <c r="K189" s="77"/>
    </row>
    <row r="190" ht="18.75" customHeight="1">
      <c r="A190" s="77"/>
      <c r="B190" s="87"/>
      <c r="C190" s="77"/>
      <c r="D190" s="77"/>
      <c r="E190" s="77"/>
      <c r="F190" s="77"/>
      <c r="G190" s="77"/>
      <c r="H190" s="77"/>
      <c r="I190" s="77"/>
      <c r="J190" s="77"/>
      <c r="K190" s="77"/>
    </row>
    <row r="191" ht="18.75" customHeight="1">
      <c r="A191" s="77"/>
      <c r="B191" s="87"/>
      <c r="C191" s="77"/>
      <c r="D191" s="77"/>
      <c r="E191" s="77"/>
      <c r="F191" s="77"/>
      <c r="G191" s="77"/>
      <c r="H191" s="77"/>
      <c r="I191" s="77"/>
      <c r="J191" s="77"/>
      <c r="K191" s="77"/>
    </row>
    <row r="192" ht="18.75" customHeight="1">
      <c r="A192" s="77"/>
      <c r="B192" s="87"/>
      <c r="C192" s="77"/>
      <c r="D192" s="77"/>
      <c r="E192" s="77"/>
      <c r="F192" s="77"/>
      <c r="G192" s="77"/>
      <c r="H192" s="77"/>
      <c r="I192" s="77"/>
      <c r="J192" s="77"/>
      <c r="K192" s="77"/>
    </row>
    <row r="193" ht="18.75" customHeight="1">
      <c r="A193" s="77"/>
      <c r="B193" s="87"/>
      <c r="C193" s="77"/>
      <c r="D193" s="77"/>
      <c r="E193" s="77"/>
      <c r="F193" s="77"/>
      <c r="G193" s="77"/>
      <c r="H193" s="77"/>
      <c r="I193" s="77"/>
      <c r="J193" s="77"/>
      <c r="K193" s="77"/>
    </row>
    <row r="194" ht="18.75" customHeight="1">
      <c r="A194" s="77"/>
      <c r="B194" s="87"/>
      <c r="C194" s="77"/>
      <c r="D194" s="77"/>
      <c r="E194" s="77"/>
      <c r="F194" s="77"/>
      <c r="G194" s="77"/>
      <c r="H194" s="77"/>
      <c r="I194" s="77"/>
      <c r="J194" s="77"/>
      <c r="K194" s="77"/>
    </row>
    <row r="195" ht="18.75" customHeight="1">
      <c r="A195" s="77"/>
      <c r="B195" s="87"/>
      <c r="C195" s="77"/>
      <c r="D195" s="77"/>
      <c r="E195" s="77"/>
      <c r="F195" s="77"/>
      <c r="G195" s="77"/>
      <c r="H195" s="77"/>
      <c r="I195" s="77"/>
      <c r="J195" s="77"/>
      <c r="K195" s="77"/>
    </row>
    <row r="196" ht="18.75" customHeight="1">
      <c r="A196" s="77"/>
      <c r="B196" s="87"/>
      <c r="C196" s="77"/>
      <c r="D196" s="77"/>
      <c r="E196" s="77"/>
      <c r="F196" s="77"/>
      <c r="G196" s="77"/>
      <c r="H196" s="77"/>
      <c r="I196" s="77"/>
      <c r="J196" s="77"/>
      <c r="K196" s="77"/>
    </row>
    <row r="197" ht="18.75" customHeight="1">
      <c r="A197" s="77"/>
      <c r="B197" s="87"/>
      <c r="C197" s="77"/>
      <c r="D197" s="77"/>
      <c r="E197" s="77"/>
      <c r="F197" s="77"/>
      <c r="G197" s="77"/>
      <c r="H197" s="77"/>
      <c r="I197" s="77"/>
      <c r="J197" s="77"/>
      <c r="K197" s="77"/>
    </row>
    <row r="198" ht="18.75" customHeight="1">
      <c r="A198" s="77"/>
      <c r="B198" s="87"/>
      <c r="C198" s="77"/>
      <c r="D198" s="77"/>
      <c r="E198" s="77"/>
      <c r="F198" s="77"/>
      <c r="G198" s="77"/>
      <c r="H198" s="77"/>
      <c r="I198" s="77"/>
      <c r="J198" s="77"/>
      <c r="K198" s="77"/>
    </row>
    <row r="199" ht="18.75" customHeight="1">
      <c r="A199" s="77"/>
      <c r="B199" s="87"/>
      <c r="C199" s="77"/>
      <c r="D199" s="77"/>
      <c r="E199" s="77"/>
      <c r="F199" s="77"/>
      <c r="G199" s="77"/>
      <c r="H199" s="77"/>
      <c r="I199" s="77"/>
      <c r="J199" s="77"/>
      <c r="K199" s="77"/>
    </row>
    <row r="200" ht="18.75" customHeight="1">
      <c r="G200" s="77"/>
      <c r="H200" s="77"/>
      <c r="I200" s="77"/>
      <c r="J200" s="77"/>
      <c r="K200" s="77"/>
    </row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mergeCells count="12">
    <mergeCell ref="C3:D3"/>
    <mergeCell ref="C4:C5"/>
    <mergeCell ref="D4:D5"/>
    <mergeCell ref="H22:J22"/>
    <mergeCell ref="H44:K44"/>
    <mergeCell ref="A1:F1"/>
    <mergeCell ref="H1:J1"/>
    <mergeCell ref="A2:F2"/>
    <mergeCell ref="A3:A6"/>
    <mergeCell ref="B3:B6"/>
    <mergeCell ref="E3:E6"/>
    <mergeCell ref="F3:F6"/>
  </mergeCells>
  <dataValidations>
    <dataValidation type="list" allowBlank="1" showErrorMessage="1" sqref="H4:H6 H9:H19 H30:H41 E62:E199">
      <formula1>"1.1,1.2,1.3,2.1,2.2,2.3,2.4,2.5,2.6,2.7,2.8,2.9,2.11,2.12"</formula1>
    </dataValidation>
    <dataValidation type="list" allowBlank="1" showErrorMessage="1" sqref="E8:E61">
      <formula1>"1,1,1,2,2,1,2,11,2,12,2,2,2,3,2,5,2,6,2,7,2,8,2,9,2,4,1,3"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6.0"/>
    <col customWidth="1" min="2" max="2" width="15.0"/>
    <col customWidth="1" min="3" max="4" width="17.0"/>
    <col customWidth="1" min="5" max="5" width="13.0"/>
    <col customWidth="1" min="6" max="6" width="57.0"/>
    <col customWidth="1" min="7" max="7" width="7.0"/>
    <col customWidth="1" min="8" max="8" width="14.0"/>
    <col customWidth="1" min="9" max="9" width="46.0"/>
    <col customWidth="1" min="10" max="10" width="16.0"/>
    <col customWidth="1" min="11" max="26" width="14.0"/>
  </cols>
  <sheetData>
    <row r="1" ht="18.75" customHeight="1">
      <c r="A1" s="11" t="s">
        <v>22</v>
      </c>
      <c r="F1" s="12"/>
      <c r="G1" s="13"/>
      <c r="H1" s="14" t="s">
        <v>23</v>
      </c>
      <c r="I1" s="15"/>
      <c r="J1" s="16"/>
      <c r="K1" s="13"/>
    </row>
    <row r="2" ht="18.75" customHeight="1">
      <c r="A2" s="36" t="s">
        <v>174</v>
      </c>
      <c r="G2" s="13"/>
      <c r="H2" s="49" t="s">
        <v>25</v>
      </c>
      <c r="I2" s="19" t="s">
        <v>26</v>
      </c>
      <c r="J2" s="20" t="s">
        <v>27</v>
      </c>
      <c r="K2" s="13"/>
    </row>
    <row r="3" ht="18.75" customHeight="1">
      <c r="A3" s="21" t="s">
        <v>28</v>
      </c>
      <c r="B3" s="21" t="s">
        <v>29</v>
      </c>
      <c r="C3" s="23" t="s">
        <v>30</v>
      </c>
      <c r="D3" s="24"/>
      <c r="E3" s="25" t="s">
        <v>25</v>
      </c>
      <c r="F3" s="21" t="s">
        <v>26</v>
      </c>
      <c r="G3" s="13"/>
      <c r="H3" s="26">
        <v>1.0</v>
      </c>
      <c r="I3" s="27" t="s">
        <v>31</v>
      </c>
      <c r="J3" s="28">
        <f>SUM(J4:J6)</f>
        <v>69942464</v>
      </c>
      <c r="K3" s="13"/>
    </row>
    <row r="4" ht="18.75" customHeight="1">
      <c r="A4" s="29"/>
      <c r="B4" s="29"/>
      <c r="C4" s="21" t="s">
        <v>32</v>
      </c>
      <c r="D4" s="21" t="s">
        <v>33</v>
      </c>
      <c r="E4" s="30"/>
      <c r="F4" s="29"/>
      <c r="G4" s="13"/>
      <c r="H4" s="31">
        <v>1.1</v>
      </c>
      <c r="I4" s="32" t="s">
        <v>34</v>
      </c>
      <c r="J4" s="28">
        <f>SUMIF($E$8:$E$54,1.1,$C$8:$C$45)</f>
        <v>69942464</v>
      </c>
      <c r="K4" s="13"/>
    </row>
    <row r="5" ht="18.75" customHeight="1">
      <c r="A5" s="29"/>
      <c r="B5" s="29"/>
      <c r="C5" s="33"/>
      <c r="D5" s="33"/>
      <c r="E5" s="30"/>
      <c r="F5" s="29"/>
      <c r="G5" s="13"/>
      <c r="H5" s="31">
        <v>1.2</v>
      </c>
      <c r="I5" s="32" t="s">
        <v>35</v>
      </c>
      <c r="J5" s="28">
        <f>SUMIF($E$8:$E$54,1.2,$C$8:$C$45)</f>
        <v>0</v>
      </c>
      <c r="K5" s="13"/>
    </row>
    <row r="6" ht="18.75" customHeight="1">
      <c r="A6" s="33"/>
      <c r="B6" s="33"/>
      <c r="C6" s="34"/>
      <c r="D6" s="34"/>
      <c r="E6" s="35"/>
      <c r="F6" s="33"/>
      <c r="G6" s="13"/>
      <c r="H6" s="31">
        <v>1.3</v>
      </c>
      <c r="I6" s="32" t="s">
        <v>36</v>
      </c>
      <c r="J6" s="28">
        <f>SUMIF($E$8:$E$54,1.3,$C$8:$C$45)</f>
        <v>0</v>
      </c>
      <c r="K6" s="13"/>
    </row>
    <row r="7" ht="21.75" customHeight="1">
      <c r="A7" s="36"/>
      <c r="B7" s="37"/>
      <c r="C7" s="42">
        <f t="shared" ref="C7:D7" si="1">SUM(C8:C100)</f>
        <v>69942464</v>
      </c>
      <c r="D7" s="42">
        <f t="shared" si="1"/>
        <v>408832810</v>
      </c>
      <c r="E7" s="39"/>
      <c r="F7" s="40"/>
      <c r="G7" s="40" t="s">
        <v>37</v>
      </c>
      <c r="H7" s="41"/>
      <c r="I7" s="40"/>
      <c r="J7" s="42"/>
      <c r="K7" s="40"/>
    </row>
    <row r="8" ht="18.75" customHeight="1">
      <c r="A8" s="43"/>
      <c r="B8" s="76">
        <v>45874.0</v>
      </c>
      <c r="C8" s="60"/>
      <c r="D8" s="60">
        <v>9.3072308E7</v>
      </c>
      <c r="E8" s="98">
        <v>2.2</v>
      </c>
      <c r="F8" s="54" t="s">
        <v>175</v>
      </c>
      <c r="G8" s="13"/>
      <c r="H8" s="26">
        <v>2.0</v>
      </c>
      <c r="I8" s="49" t="s">
        <v>40</v>
      </c>
      <c r="J8" s="28">
        <f>SUM(J9:J19)</f>
        <v>408832810</v>
      </c>
      <c r="K8" s="13"/>
    </row>
    <row r="9" ht="18.75" customHeight="1">
      <c r="A9" s="50"/>
      <c r="B9" s="76">
        <v>45874.0</v>
      </c>
      <c r="C9" s="60"/>
      <c r="D9" s="60">
        <v>1.4E7</v>
      </c>
      <c r="E9" s="98">
        <v>2.6</v>
      </c>
      <c r="F9" s="54" t="s">
        <v>176</v>
      </c>
      <c r="G9" s="52"/>
      <c r="H9" s="53">
        <v>2.1</v>
      </c>
      <c r="I9" s="54" t="s">
        <v>42</v>
      </c>
      <c r="J9" s="55">
        <f>SUMIF($E$8:$E$54,2.1,$D$8:$D$45)</f>
        <v>0</v>
      </c>
      <c r="K9" s="13"/>
    </row>
    <row r="10" ht="18.75" customHeight="1">
      <c r="A10" s="50"/>
      <c r="B10" s="76">
        <v>45874.0</v>
      </c>
      <c r="C10" s="60"/>
      <c r="D10" s="60">
        <v>1400000.0</v>
      </c>
      <c r="E10" s="98">
        <v>2.6</v>
      </c>
      <c r="F10" s="54" t="s">
        <v>177</v>
      </c>
      <c r="G10" s="52"/>
      <c r="H10" s="53">
        <v>2.2</v>
      </c>
      <c r="I10" s="54" t="s">
        <v>45</v>
      </c>
      <c r="J10" s="28">
        <f>SUMIF($E$8:$E$54,2.2,$D$8:$D$45)</f>
        <v>93072308</v>
      </c>
      <c r="K10" s="13"/>
    </row>
    <row r="11" ht="18.75" customHeight="1">
      <c r="A11" s="50"/>
      <c r="B11" s="76">
        <v>45874.0</v>
      </c>
      <c r="C11" s="60"/>
      <c r="D11" s="60">
        <v>2388887.0</v>
      </c>
      <c r="E11" s="98">
        <v>2.6</v>
      </c>
      <c r="F11" s="54" t="s">
        <v>178</v>
      </c>
      <c r="G11" s="52"/>
      <c r="H11" s="53">
        <v>2.3</v>
      </c>
      <c r="I11" s="54" t="s">
        <v>48</v>
      </c>
      <c r="J11" s="28">
        <f>SUMIF($E$8:$E$54,2.3,$D$8:$D$45)</f>
        <v>4039200</v>
      </c>
      <c r="K11" s="13"/>
    </row>
    <row r="12" ht="18.75" customHeight="1">
      <c r="A12" s="50"/>
      <c r="B12" s="76">
        <v>45874.0</v>
      </c>
      <c r="C12" s="60"/>
      <c r="D12" s="60">
        <v>191112.0</v>
      </c>
      <c r="E12" s="98">
        <v>2.6</v>
      </c>
      <c r="F12" s="54" t="s">
        <v>179</v>
      </c>
      <c r="G12" s="52"/>
      <c r="H12" s="53">
        <v>2.4</v>
      </c>
      <c r="I12" s="54" t="s">
        <v>51</v>
      </c>
      <c r="J12" s="28">
        <f>SUMIF($E$8:$E$54,2.4,$D$8:$D$45)</f>
        <v>0</v>
      </c>
      <c r="K12" s="13"/>
    </row>
    <row r="13" ht="18.75" customHeight="1">
      <c r="A13" s="50"/>
      <c r="B13" s="76">
        <v>45874.0</v>
      </c>
      <c r="C13" s="60"/>
      <c r="D13" s="60">
        <v>2789000.0</v>
      </c>
      <c r="E13" s="98">
        <v>2.7</v>
      </c>
      <c r="F13" s="54" t="s">
        <v>180</v>
      </c>
      <c r="G13" s="52"/>
      <c r="H13" s="53">
        <v>2.5</v>
      </c>
      <c r="I13" s="54" t="s">
        <v>53</v>
      </c>
      <c r="J13" s="28">
        <f>SUMIF($E$8:$E$54,2.5,$D$8:$D$45)</f>
        <v>245163925</v>
      </c>
      <c r="K13" s="13"/>
    </row>
    <row r="14" ht="18.75" customHeight="1">
      <c r="A14" s="50"/>
      <c r="B14" s="76">
        <v>45875.0</v>
      </c>
      <c r="C14" s="60"/>
      <c r="D14" s="60">
        <v>9297000.0</v>
      </c>
      <c r="E14" s="98">
        <v>2.8</v>
      </c>
      <c r="F14" s="86" t="s">
        <v>159</v>
      </c>
      <c r="G14" s="52"/>
      <c r="H14" s="53">
        <v>2.6</v>
      </c>
      <c r="I14" s="54" t="s">
        <v>55</v>
      </c>
      <c r="J14" s="28">
        <f>SUMIF($E$8:$E$54,2.6,$D$8:$D$45)</f>
        <v>17979999</v>
      </c>
      <c r="K14" s="13"/>
    </row>
    <row r="15" ht="18.75" customHeight="1">
      <c r="A15" s="50"/>
      <c r="B15" s="76">
        <v>45875.0</v>
      </c>
      <c r="C15" s="60"/>
      <c r="D15" s="60">
        <v>4203000.0</v>
      </c>
      <c r="E15" s="98">
        <v>2.8</v>
      </c>
      <c r="F15" s="86" t="s">
        <v>160</v>
      </c>
      <c r="G15" s="52"/>
      <c r="H15" s="53">
        <v>2.7</v>
      </c>
      <c r="I15" s="54" t="s">
        <v>57</v>
      </c>
      <c r="J15" s="28">
        <f>SUMIF($E$8:$E$54,2.7,$D$8:$D$45)</f>
        <v>2789000</v>
      </c>
      <c r="K15" s="13"/>
    </row>
    <row r="16" ht="18.75" customHeight="1">
      <c r="A16" s="50"/>
      <c r="B16" s="76">
        <v>45875.0</v>
      </c>
      <c r="C16" s="60"/>
      <c r="D16" s="60">
        <v>2288378.0</v>
      </c>
      <c r="E16" s="98">
        <v>2.11</v>
      </c>
      <c r="F16" s="86" t="s">
        <v>181</v>
      </c>
      <c r="G16" s="52"/>
      <c r="H16" s="53">
        <v>2.8</v>
      </c>
      <c r="I16" s="54" t="s">
        <v>59</v>
      </c>
      <c r="J16" s="28">
        <f>SUMIF($E$8:$E$54,2.8,$D$8:$D$45)</f>
        <v>13500000</v>
      </c>
      <c r="K16" s="13"/>
    </row>
    <row r="17" ht="18.75" customHeight="1">
      <c r="A17" s="50"/>
      <c r="B17" s="76">
        <v>45877.0</v>
      </c>
      <c r="C17" s="60"/>
      <c r="D17" s="60">
        <v>2000000.0</v>
      </c>
      <c r="E17" s="98">
        <v>2.5</v>
      </c>
      <c r="F17" s="86" t="s">
        <v>182</v>
      </c>
      <c r="G17" s="52"/>
      <c r="H17" s="53">
        <v>2.9</v>
      </c>
      <c r="I17" s="54" t="s">
        <v>62</v>
      </c>
      <c r="J17" s="28">
        <f>SUMIF($E$8:$E$54,2.9,$D$8:$D$45)</f>
        <v>0</v>
      </c>
      <c r="K17" s="13"/>
    </row>
    <row r="18" ht="18.75" customHeight="1">
      <c r="A18" s="50"/>
      <c r="B18" s="76">
        <v>45894.0</v>
      </c>
      <c r="C18" s="60"/>
      <c r="D18" s="60">
        <v>990000.0</v>
      </c>
      <c r="E18" s="98">
        <v>2.5</v>
      </c>
      <c r="F18" s="86" t="s">
        <v>183</v>
      </c>
      <c r="G18" s="52"/>
      <c r="H18" s="53">
        <v>2.11</v>
      </c>
      <c r="I18" s="54" t="s">
        <v>64</v>
      </c>
      <c r="J18" s="28">
        <f>SUMIF($E$8:$E$54,2.11,$D$8:$D$45)</f>
        <v>2288378</v>
      </c>
      <c r="K18" s="13"/>
    </row>
    <row r="19" ht="18.75" customHeight="1">
      <c r="A19" s="50"/>
      <c r="B19" s="76">
        <v>45894.0</v>
      </c>
      <c r="C19" s="60"/>
      <c r="D19" s="60">
        <v>2.5219149E7</v>
      </c>
      <c r="E19" s="98">
        <v>2.5</v>
      </c>
      <c r="F19" s="86" t="s">
        <v>184</v>
      </c>
      <c r="G19" s="52"/>
      <c r="H19" s="53">
        <v>2.12</v>
      </c>
      <c r="I19" s="54" t="s">
        <v>67</v>
      </c>
      <c r="J19" s="28">
        <f>SUMIF($E$8:$E$54,2.12,$D$8:$D$45)</f>
        <v>30000000</v>
      </c>
      <c r="K19" s="13"/>
    </row>
    <row r="20" ht="18.75" customHeight="1">
      <c r="A20" s="50"/>
      <c r="B20" s="76">
        <v>45897.0</v>
      </c>
      <c r="C20" s="60"/>
      <c r="D20" s="60">
        <v>990000.0</v>
      </c>
      <c r="E20" s="98">
        <v>2.5</v>
      </c>
      <c r="F20" s="86" t="s">
        <v>185</v>
      </c>
      <c r="G20" s="52"/>
      <c r="H20" s="63">
        <v>3.0</v>
      </c>
      <c r="I20" s="64" t="s">
        <v>70</v>
      </c>
      <c r="J20" s="65">
        <f>J3-J8</f>
        <v>-338890346</v>
      </c>
      <c r="K20" s="13"/>
    </row>
    <row r="21" ht="18.75" customHeight="1">
      <c r="A21" s="50"/>
      <c r="B21" s="76">
        <v>45897.0</v>
      </c>
      <c r="C21" s="60"/>
      <c r="D21" s="60">
        <v>990000.0</v>
      </c>
      <c r="E21" s="98">
        <v>2.5</v>
      </c>
      <c r="F21" s="54" t="s">
        <v>186</v>
      </c>
      <c r="G21" s="13"/>
      <c r="H21" s="13"/>
      <c r="I21" s="13"/>
      <c r="J21" s="13"/>
      <c r="K21" s="13"/>
    </row>
    <row r="22" ht="18.75" customHeight="1">
      <c r="A22" s="50"/>
      <c r="B22" s="76">
        <v>45897.0</v>
      </c>
      <c r="C22" s="60"/>
      <c r="D22" s="60">
        <v>990000.0</v>
      </c>
      <c r="E22" s="98">
        <v>2.5</v>
      </c>
      <c r="F22" s="54" t="s">
        <v>187</v>
      </c>
      <c r="G22" s="13"/>
      <c r="H22" s="14" t="s">
        <v>73</v>
      </c>
      <c r="I22" s="15"/>
      <c r="J22" s="16"/>
      <c r="K22" s="13"/>
    </row>
    <row r="23" ht="18.75" customHeight="1">
      <c r="A23" s="50"/>
      <c r="B23" s="76">
        <v>45897.0</v>
      </c>
      <c r="C23" s="60">
        <v>6.3584058E7</v>
      </c>
      <c r="D23" s="60"/>
      <c r="E23" s="98">
        <v>1.1</v>
      </c>
      <c r="F23" s="54" t="s">
        <v>188</v>
      </c>
      <c r="G23" s="52"/>
      <c r="H23" s="54"/>
      <c r="I23" s="64" t="s">
        <v>26</v>
      </c>
      <c r="J23" s="53" t="s">
        <v>27</v>
      </c>
      <c r="K23" s="13"/>
    </row>
    <row r="24" ht="18.75" customHeight="1">
      <c r="A24" s="50"/>
      <c r="B24" s="76">
        <v>45897.0</v>
      </c>
      <c r="C24" s="60">
        <v>6358406.0</v>
      </c>
      <c r="D24" s="60"/>
      <c r="E24" s="98">
        <v>1.1</v>
      </c>
      <c r="F24" s="54" t="s">
        <v>189</v>
      </c>
      <c r="G24" s="52"/>
      <c r="H24" s="64" t="s">
        <v>76</v>
      </c>
      <c r="I24" s="64" t="s">
        <v>77</v>
      </c>
      <c r="J24" s="67">
        <v>0.0</v>
      </c>
      <c r="K24" s="13"/>
    </row>
    <row r="25" ht="18.75" customHeight="1">
      <c r="A25" s="50"/>
      <c r="B25" s="76">
        <v>45890.0</v>
      </c>
      <c r="C25" s="60"/>
      <c r="D25" s="60">
        <v>9.4121044E7</v>
      </c>
      <c r="E25" s="98">
        <v>2.5</v>
      </c>
      <c r="F25" s="54" t="s">
        <v>190</v>
      </c>
      <c r="G25" s="52"/>
      <c r="H25" s="64" t="s">
        <v>78</v>
      </c>
      <c r="I25" s="64" t="s">
        <v>79</v>
      </c>
      <c r="J25" s="69">
        <f>SUM(J26:J28)</f>
        <v>69942464</v>
      </c>
      <c r="K25" s="13"/>
    </row>
    <row r="26" ht="18.75" customHeight="1">
      <c r="A26" s="50"/>
      <c r="B26" s="76">
        <v>45890.0</v>
      </c>
      <c r="C26" s="60"/>
      <c r="D26" s="60">
        <v>9412104.0</v>
      </c>
      <c r="E26" s="98">
        <v>2.5</v>
      </c>
      <c r="F26" s="54" t="s">
        <v>191</v>
      </c>
      <c r="G26" s="52"/>
      <c r="H26" s="54"/>
      <c r="I26" s="54" t="s">
        <v>80</v>
      </c>
      <c r="J26" s="69">
        <f>J3</f>
        <v>69942464</v>
      </c>
      <c r="K26" s="13"/>
    </row>
    <row r="27" ht="18.75" customHeight="1">
      <c r="A27" s="50"/>
      <c r="B27" s="76">
        <v>45888.0</v>
      </c>
      <c r="C27" s="60"/>
      <c r="D27" s="60">
        <v>1.00410571E8</v>
      </c>
      <c r="E27" s="98">
        <v>2.5</v>
      </c>
      <c r="F27" s="54" t="s">
        <v>192</v>
      </c>
      <c r="G27" s="52"/>
      <c r="H27" s="54"/>
      <c r="I27" s="54" t="s">
        <v>81</v>
      </c>
      <c r="J27" s="64"/>
      <c r="K27" s="13"/>
    </row>
    <row r="28" ht="18.75" customHeight="1">
      <c r="A28" s="50"/>
      <c r="B28" s="76">
        <v>45888.0</v>
      </c>
      <c r="C28" s="60"/>
      <c r="D28" s="60">
        <v>1.0041057E7</v>
      </c>
      <c r="E28" s="98">
        <v>2.5</v>
      </c>
      <c r="F28" s="54" t="s">
        <v>193</v>
      </c>
      <c r="G28" s="52"/>
      <c r="H28" s="54"/>
      <c r="I28" s="54" t="s">
        <v>82</v>
      </c>
      <c r="J28" s="64"/>
      <c r="K28" s="13"/>
    </row>
    <row r="29" ht="18.75" customHeight="1">
      <c r="A29" s="50"/>
      <c r="B29" s="76">
        <v>45898.0</v>
      </c>
      <c r="C29" s="60"/>
      <c r="D29" s="60">
        <v>3740000.0</v>
      </c>
      <c r="E29" s="96">
        <v>2.3</v>
      </c>
      <c r="F29" s="54" t="s">
        <v>194</v>
      </c>
      <c r="G29" s="52"/>
      <c r="H29" s="64" t="s">
        <v>83</v>
      </c>
      <c r="I29" s="64" t="s">
        <v>84</v>
      </c>
      <c r="J29" s="69">
        <f>SUM(J30:J41)</f>
        <v>408832810</v>
      </c>
      <c r="K29" s="13"/>
    </row>
    <row r="30" ht="18.75" customHeight="1">
      <c r="A30" s="50"/>
      <c r="B30" s="76">
        <v>45898.0</v>
      </c>
      <c r="C30" s="60"/>
      <c r="D30" s="60">
        <v>299200.0</v>
      </c>
      <c r="E30" s="96">
        <v>2.3</v>
      </c>
      <c r="F30" s="54" t="s">
        <v>195</v>
      </c>
      <c r="G30" s="52"/>
      <c r="H30" s="53">
        <v>2.1</v>
      </c>
      <c r="I30" s="54" t="s">
        <v>42</v>
      </c>
      <c r="J30" s="69">
        <f>J9</f>
        <v>0</v>
      </c>
      <c r="K30" s="13"/>
    </row>
    <row r="31" ht="18.75" customHeight="1">
      <c r="A31" s="50"/>
      <c r="B31" s="97">
        <v>45882.0</v>
      </c>
      <c r="C31" s="60"/>
      <c r="D31" s="59">
        <v>3.0E7</v>
      </c>
      <c r="E31" s="96">
        <v>2.12</v>
      </c>
      <c r="F31" s="66" t="s">
        <v>196</v>
      </c>
      <c r="G31" s="52"/>
      <c r="H31" s="31">
        <v>1.3</v>
      </c>
      <c r="I31" s="54" t="s">
        <v>85</v>
      </c>
      <c r="J31" s="67"/>
      <c r="K31" s="13"/>
    </row>
    <row r="32" ht="18.75" customHeight="1">
      <c r="A32" s="50"/>
      <c r="B32" s="76"/>
      <c r="C32" s="60"/>
      <c r="D32" s="60"/>
      <c r="E32" s="98"/>
      <c r="F32" s="54"/>
      <c r="G32" s="52"/>
      <c r="H32" s="53">
        <v>2.2</v>
      </c>
      <c r="I32" s="54" t="s">
        <v>45</v>
      </c>
      <c r="J32" s="69">
        <f t="shared" ref="J32:J41" si="2">J10</f>
        <v>93072308</v>
      </c>
      <c r="K32" s="13"/>
    </row>
    <row r="33" ht="18.75" customHeight="1">
      <c r="A33" s="50"/>
      <c r="B33" s="76"/>
      <c r="C33" s="60"/>
      <c r="D33" s="60"/>
      <c r="E33" s="98"/>
      <c r="F33" s="54"/>
      <c r="G33" s="52"/>
      <c r="H33" s="53">
        <v>2.3</v>
      </c>
      <c r="I33" s="54" t="s">
        <v>48</v>
      </c>
      <c r="J33" s="69">
        <f t="shared" si="2"/>
        <v>4039200</v>
      </c>
      <c r="K33" s="13"/>
    </row>
    <row r="34" ht="18.75" customHeight="1">
      <c r="A34" s="50"/>
      <c r="B34" s="76"/>
      <c r="C34" s="60"/>
      <c r="D34" s="60"/>
      <c r="E34" s="98"/>
      <c r="F34" s="54"/>
      <c r="G34" s="52"/>
      <c r="H34" s="53">
        <v>2.4</v>
      </c>
      <c r="I34" s="54" t="s">
        <v>51</v>
      </c>
      <c r="J34" s="69">
        <f t="shared" si="2"/>
        <v>0</v>
      </c>
      <c r="K34" s="13"/>
    </row>
    <row r="35" ht="18.75" customHeight="1">
      <c r="A35" s="50"/>
      <c r="B35" s="76"/>
      <c r="C35" s="60"/>
      <c r="D35" s="60"/>
      <c r="E35" s="98"/>
      <c r="F35" s="54"/>
      <c r="G35" s="52"/>
      <c r="H35" s="53">
        <v>2.5</v>
      </c>
      <c r="I35" s="54" t="s">
        <v>53</v>
      </c>
      <c r="J35" s="69">
        <f t="shared" si="2"/>
        <v>245163925</v>
      </c>
      <c r="K35" s="13"/>
    </row>
    <row r="36" ht="18.75" customHeight="1">
      <c r="A36" s="50"/>
      <c r="B36" s="76"/>
      <c r="C36" s="60"/>
      <c r="D36" s="60"/>
      <c r="E36" s="98"/>
      <c r="F36" s="54"/>
      <c r="G36" s="52"/>
      <c r="H36" s="53">
        <v>2.6</v>
      </c>
      <c r="I36" s="54" t="s">
        <v>55</v>
      </c>
      <c r="J36" s="69">
        <f t="shared" si="2"/>
        <v>17979999</v>
      </c>
      <c r="K36" s="13"/>
    </row>
    <row r="37" ht="18.75" customHeight="1">
      <c r="A37" s="50"/>
      <c r="B37" s="76"/>
      <c r="C37" s="60"/>
      <c r="D37" s="60"/>
      <c r="E37" s="98"/>
      <c r="F37" s="54"/>
      <c r="G37" s="52"/>
      <c r="H37" s="53">
        <v>2.7</v>
      </c>
      <c r="I37" s="54" t="s">
        <v>57</v>
      </c>
      <c r="J37" s="69">
        <f t="shared" si="2"/>
        <v>2789000</v>
      </c>
      <c r="K37" s="13"/>
    </row>
    <row r="38" ht="18.75" customHeight="1">
      <c r="A38" s="50"/>
      <c r="B38" s="76"/>
      <c r="C38" s="60"/>
      <c r="D38" s="60"/>
      <c r="E38" s="98"/>
      <c r="F38" s="54"/>
      <c r="G38" s="52"/>
      <c r="H38" s="53">
        <v>2.8</v>
      </c>
      <c r="I38" s="54" t="s">
        <v>59</v>
      </c>
      <c r="J38" s="69">
        <f t="shared" si="2"/>
        <v>13500000</v>
      </c>
      <c r="K38" s="13"/>
    </row>
    <row r="39" ht="18.75" customHeight="1">
      <c r="A39" s="50"/>
      <c r="B39" s="76"/>
      <c r="C39" s="60"/>
      <c r="D39" s="60"/>
      <c r="E39" s="98"/>
      <c r="F39" s="54"/>
      <c r="G39" s="52"/>
      <c r="H39" s="53">
        <v>2.9</v>
      </c>
      <c r="I39" s="54" t="s">
        <v>62</v>
      </c>
      <c r="J39" s="69">
        <f t="shared" si="2"/>
        <v>0</v>
      </c>
      <c r="K39" s="13"/>
    </row>
    <row r="40" ht="18.75" customHeight="1">
      <c r="A40" s="50"/>
      <c r="B40" s="76"/>
      <c r="C40" s="60"/>
      <c r="D40" s="60"/>
      <c r="E40" s="98"/>
      <c r="F40" s="54"/>
      <c r="G40" s="52"/>
      <c r="H40" s="53">
        <v>2.11</v>
      </c>
      <c r="I40" s="54" t="s">
        <v>64</v>
      </c>
      <c r="J40" s="69">
        <f t="shared" si="2"/>
        <v>2288378</v>
      </c>
      <c r="K40" s="13"/>
    </row>
    <row r="41" ht="18.75" customHeight="1">
      <c r="A41" s="50"/>
      <c r="B41" s="76"/>
      <c r="C41" s="60"/>
      <c r="D41" s="60"/>
      <c r="E41" s="98"/>
      <c r="F41" s="54"/>
      <c r="G41" s="52"/>
      <c r="H41" s="53">
        <v>2.12</v>
      </c>
      <c r="I41" s="54" t="s">
        <v>86</v>
      </c>
      <c r="J41" s="69">
        <f t="shared" si="2"/>
        <v>30000000</v>
      </c>
      <c r="K41" s="13"/>
    </row>
    <row r="42" ht="18.75" customHeight="1">
      <c r="A42" s="50"/>
      <c r="B42" s="76"/>
      <c r="C42" s="60"/>
      <c r="D42" s="60"/>
      <c r="E42" s="98"/>
      <c r="F42" s="54"/>
      <c r="G42" s="52"/>
      <c r="H42" s="64" t="s">
        <v>87</v>
      </c>
      <c r="I42" s="64" t="s">
        <v>5</v>
      </c>
      <c r="J42" s="28">
        <f>J24+J25-J29</f>
        <v>-338890346</v>
      </c>
      <c r="K42" s="13"/>
    </row>
    <row r="43" ht="18.75" customHeight="1">
      <c r="A43" s="50"/>
      <c r="B43" s="76"/>
      <c r="C43" s="60"/>
      <c r="D43" s="60"/>
      <c r="E43" s="98"/>
      <c r="F43" s="54"/>
      <c r="G43" s="13"/>
      <c r="H43" s="13"/>
      <c r="I43" s="13"/>
      <c r="J43" s="13"/>
      <c r="K43" s="13"/>
    </row>
    <row r="44" ht="18.75" customHeight="1">
      <c r="A44" s="50"/>
      <c r="B44" s="76"/>
      <c r="C44" s="60"/>
      <c r="D44" s="60"/>
      <c r="E44" s="98"/>
      <c r="F44" s="54"/>
      <c r="G44" s="13"/>
      <c r="H44" s="70" t="s">
        <v>88</v>
      </c>
      <c r="I44" s="71"/>
      <c r="J44" s="71"/>
      <c r="K44" s="24"/>
    </row>
    <row r="45" ht="18.75" customHeight="1">
      <c r="A45" s="50"/>
      <c r="B45" s="76"/>
      <c r="C45" s="60"/>
      <c r="D45" s="60"/>
      <c r="E45" s="98"/>
      <c r="F45" s="54"/>
      <c r="G45" s="52"/>
      <c r="H45" s="64" t="s">
        <v>25</v>
      </c>
      <c r="I45" s="64" t="s">
        <v>26</v>
      </c>
      <c r="J45" s="53" t="s">
        <v>27</v>
      </c>
      <c r="K45" s="72" t="s">
        <v>89</v>
      </c>
    </row>
    <row r="46" ht="18.75" customHeight="1">
      <c r="A46" s="50"/>
      <c r="B46" s="76"/>
      <c r="C46" s="60"/>
      <c r="D46" s="60"/>
      <c r="E46" s="98"/>
      <c r="F46" s="54"/>
      <c r="G46" s="52"/>
      <c r="H46" s="64" t="s">
        <v>76</v>
      </c>
      <c r="I46" s="64" t="s">
        <v>77</v>
      </c>
      <c r="J46" s="69">
        <f>J42</f>
        <v>-338890346</v>
      </c>
      <c r="K46" s="73"/>
    </row>
    <row r="47" ht="18.75" customHeight="1">
      <c r="A47" s="50"/>
      <c r="B47" s="76"/>
      <c r="C47" s="60"/>
      <c r="D47" s="60"/>
      <c r="E47" s="98"/>
      <c r="F47" s="54"/>
      <c r="G47" s="52"/>
      <c r="H47" s="64" t="s">
        <v>78</v>
      </c>
      <c r="I47" s="64" t="s">
        <v>79</v>
      </c>
      <c r="J47" s="69">
        <f>SUM(J48:J54)</f>
        <v>0</v>
      </c>
      <c r="K47" s="73"/>
    </row>
    <row r="48" ht="18.75" customHeight="1">
      <c r="A48" s="50"/>
      <c r="B48" s="76"/>
      <c r="C48" s="54"/>
      <c r="D48" s="60"/>
      <c r="E48" s="98"/>
      <c r="F48" s="54"/>
      <c r="G48" s="52"/>
      <c r="H48" s="54"/>
      <c r="I48" s="54"/>
      <c r="J48" s="74"/>
      <c r="K48" s="73"/>
    </row>
    <row r="49" ht="18.75" customHeight="1">
      <c r="A49" s="50"/>
      <c r="B49" s="76"/>
      <c r="C49" s="54"/>
      <c r="D49" s="60"/>
      <c r="E49" s="98"/>
      <c r="F49" s="54"/>
      <c r="G49" s="52"/>
      <c r="H49" s="54"/>
      <c r="I49" s="54"/>
      <c r="J49" s="74"/>
      <c r="K49" s="73"/>
    </row>
    <row r="50" ht="18.75" customHeight="1">
      <c r="A50" s="50"/>
      <c r="B50" s="76"/>
      <c r="C50" s="54"/>
      <c r="D50" s="60"/>
      <c r="E50" s="53"/>
      <c r="F50" s="54"/>
      <c r="G50" s="52"/>
      <c r="H50" s="54"/>
      <c r="I50" s="54"/>
      <c r="J50" s="74"/>
      <c r="K50" s="73"/>
    </row>
    <row r="51" ht="18.75" customHeight="1">
      <c r="A51" s="50"/>
      <c r="B51" s="76"/>
      <c r="C51" s="54"/>
      <c r="D51" s="60"/>
      <c r="E51" s="53"/>
      <c r="F51" s="54"/>
      <c r="G51" s="52"/>
      <c r="H51" s="54"/>
      <c r="I51" s="54"/>
      <c r="J51" s="74"/>
      <c r="K51" s="73"/>
    </row>
    <row r="52" ht="18.75" customHeight="1">
      <c r="A52" s="50"/>
      <c r="B52" s="76"/>
      <c r="C52" s="54"/>
      <c r="D52" s="60"/>
      <c r="E52" s="53"/>
      <c r="F52" s="54"/>
      <c r="G52" s="52"/>
      <c r="H52" s="54"/>
      <c r="I52" s="54"/>
      <c r="J52" s="64"/>
      <c r="K52" s="73"/>
    </row>
    <row r="53" ht="18.75" customHeight="1">
      <c r="A53" s="50"/>
      <c r="B53" s="76"/>
      <c r="C53" s="54"/>
      <c r="D53" s="60"/>
      <c r="E53" s="53"/>
      <c r="F53" s="54"/>
      <c r="G53" s="52"/>
      <c r="H53" s="54"/>
      <c r="I53" s="54"/>
      <c r="J53" s="64"/>
      <c r="K53" s="73"/>
    </row>
    <row r="54" ht="18.75" customHeight="1">
      <c r="A54" s="50"/>
      <c r="B54" s="76"/>
      <c r="C54" s="54"/>
      <c r="D54" s="60"/>
      <c r="E54" s="53"/>
      <c r="F54" s="54"/>
      <c r="G54" s="52"/>
      <c r="H54" s="54"/>
      <c r="I54" s="54"/>
      <c r="J54" s="64"/>
      <c r="K54" s="73"/>
    </row>
    <row r="55" ht="18.75" customHeight="1">
      <c r="A55" s="50"/>
      <c r="B55" s="76"/>
      <c r="C55" s="54"/>
      <c r="D55" s="60"/>
      <c r="E55" s="53"/>
      <c r="F55" s="54"/>
      <c r="G55" s="52"/>
      <c r="H55" s="64" t="s">
        <v>83</v>
      </c>
      <c r="I55" s="64" t="s">
        <v>84</v>
      </c>
      <c r="J55" s="74">
        <f>SUM(J56:J65)</f>
        <v>0</v>
      </c>
      <c r="K55" s="73"/>
    </row>
    <row r="56" ht="18.75" customHeight="1">
      <c r="A56" s="50"/>
      <c r="B56" s="76"/>
      <c r="C56" s="75"/>
      <c r="D56" s="60"/>
      <c r="E56" s="53"/>
      <c r="F56" s="54"/>
      <c r="G56" s="52"/>
      <c r="H56" s="54"/>
      <c r="I56" s="54"/>
      <c r="J56" s="74"/>
      <c r="K56" s="76"/>
    </row>
    <row r="57" ht="18.75" customHeight="1">
      <c r="A57" s="50"/>
      <c r="B57" s="76"/>
      <c r="C57" s="54"/>
      <c r="D57" s="60"/>
      <c r="E57" s="53"/>
      <c r="F57" s="54"/>
      <c r="G57" s="52"/>
      <c r="H57" s="54"/>
      <c r="I57" s="54"/>
      <c r="J57" s="74"/>
      <c r="K57" s="76"/>
    </row>
    <row r="58" ht="18.75" customHeight="1">
      <c r="A58" s="50"/>
      <c r="B58" s="76"/>
      <c r="C58" s="54"/>
      <c r="D58" s="60"/>
      <c r="E58" s="53"/>
      <c r="F58" s="54"/>
      <c r="G58" s="52"/>
      <c r="H58" s="54"/>
      <c r="I58" s="54"/>
      <c r="J58" s="74"/>
      <c r="K58" s="76"/>
    </row>
    <row r="59" ht="18.75" customHeight="1">
      <c r="A59" s="50"/>
      <c r="B59" s="76"/>
      <c r="C59" s="75"/>
      <c r="D59" s="60"/>
      <c r="E59" s="53"/>
      <c r="F59" s="54"/>
      <c r="G59" s="52"/>
      <c r="H59" s="54"/>
      <c r="I59" s="54"/>
      <c r="J59" s="74"/>
      <c r="K59" s="76"/>
    </row>
    <row r="60" ht="18.75" customHeight="1">
      <c r="A60" s="50"/>
      <c r="B60" s="76"/>
      <c r="C60" s="54"/>
      <c r="D60" s="60"/>
      <c r="E60" s="53"/>
      <c r="F60" s="54"/>
      <c r="G60" s="52"/>
      <c r="H60" s="54"/>
      <c r="I60" s="54"/>
      <c r="J60" s="74"/>
      <c r="K60" s="73"/>
    </row>
    <row r="61" ht="18.75" customHeight="1">
      <c r="A61" s="50"/>
      <c r="B61" s="76"/>
      <c r="C61" s="54"/>
      <c r="D61" s="60"/>
      <c r="E61" s="53"/>
      <c r="F61" s="54"/>
      <c r="G61" s="52"/>
      <c r="H61" s="54"/>
      <c r="I61" s="54"/>
      <c r="J61" s="74"/>
      <c r="K61" s="73"/>
    </row>
    <row r="62" ht="18.75" customHeight="1">
      <c r="A62" s="50"/>
      <c r="B62" s="76"/>
      <c r="C62" s="54"/>
      <c r="D62" s="60"/>
      <c r="E62" s="53"/>
      <c r="F62" s="54"/>
      <c r="G62" s="52"/>
      <c r="H62" s="54"/>
      <c r="I62" s="54"/>
      <c r="J62" s="74"/>
      <c r="K62" s="73"/>
    </row>
    <row r="63" ht="18.75" customHeight="1">
      <c r="A63" s="50"/>
      <c r="B63" s="76"/>
      <c r="C63" s="54"/>
      <c r="D63" s="60"/>
      <c r="E63" s="53"/>
      <c r="F63" s="54"/>
      <c r="G63" s="52"/>
      <c r="H63" s="54"/>
      <c r="I63" s="54"/>
      <c r="J63" s="74"/>
      <c r="K63" s="73"/>
    </row>
    <row r="64" ht="18.75" customHeight="1">
      <c r="A64" s="50"/>
      <c r="B64" s="76"/>
      <c r="C64" s="54"/>
      <c r="D64" s="60"/>
      <c r="E64" s="53"/>
      <c r="F64" s="54"/>
      <c r="G64" s="52"/>
      <c r="H64" s="54"/>
      <c r="I64" s="54"/>
      <c r="J64" s="74"/>
      <c r="K64" s="73"/>
    </row>
    <row r="65" ht="18.75" customHeight="1">
      <c r="A65" s="50"/>
      <c r="B65" s="76"/>
      <c r="C65" s="54"/>
      <c r="D65" s="60"/>
      <c r="E65" s="53"/>
      <c r="F65" s="54"/>
      <c r="G65" s="52"/>
      <c r="H65" s="54"/>
      <c r="I65" s="54"/>
      <c r="J65" s="74"/>
      <c r="K65" s="73"/>
    </row>
    <row r="66" ht="18.75" customHeight="1">
      <c r="A66" s="50"/>
      <c r="B66" s="76"/>
      <c r="C66" s="75"/>
      <c r="D66" s="60"/>
      <c r="E66" s="53"/>
      <c r="F66" s="54"/>
      <c r="G66" s="52"/>
      <c r="H66" s="64" t="s">
        <v>87</v>
      </c>
      <c r="I66" s="64" t="s">
        <v>5</v>
      </c>
      <c r="J66" s="28">
        <f>J46+J47-J55</f>
        <v>-338890346</v>
      </c>
      <c r="K66" s="73"/>
    </row>
    <row r="67" ht="18.75" customHeight="1">
      <c r="A67" s="77"/>
      <c r="B67" s="87"/>
      <c r="C67" s="77"/>
      <c r="D67" s="60"/>
      <c r="E67" s="77"/>
      <c r="F67" s="77"/>
      <c r="G67" s="77"/>
      <c r="H67" s="77"/>
      <c r="I67" s="77"/>
      <c r="J67" s="77"/>
      <c r="K67" s="77"/>
    </row>
    <row r="68" ht="18.75" customHeight="1">
      <c r="A68" s="77"/>
      <c r="B68" s="87"/>
      <c r="C68" s="77"/>
      <c r="D68" s="60"/>
      <c r="E68" s="77"/>
      <c r="F68" s="77"/>
      <c r="G68" s="77"/>
      <c r="H68" s="77"/>
      <c r="I68" s="77"/>
      <c r="J68" s="77"/>
      <c r="K68" s="77"/>
    </row>
    <row r="69" ht="18.75" customHeight="1">
      <c r="A69" s="77"/>
      <c r="B69" s="87"/>
      <c r="C69" s="77"/>
      <c r="D69" s="60"/>
      <c r="E69" s="77"/>
      <c r="F69" s="77"/>
      <c r="G69" s="77"/>
      <c r="H69" s="77"/>
      <c r="I69" s="77"/>
      <c r="J69" s="77"/>
      <c r="K69" s="77"/>
    </row>
    <row r="70" ht="18.75" customHeight="1">
      <c r="A70" s="77"/>
      <c r="B70" s="87"/>
      <c r="C70" s="77"/>
      <c r="D70" s="60"/>
      <c r="E70" s="77"/>
      <c r="F70" s="77"/>
      <c r="G70" s="77"/>
      <c r="H70" s="77"/>
      <c r="I70" s="77"/>
      <c r="J70" s="77"/>
      <c r="K70" s="77"/>
    </row>
    <row r="71" ht="18.75" customHeight="1">
      <c r="A71" s="77"/>
      <c r="B71" s="87"/>
      <c r="C71" s="77"/>
      <c r="D71" s="60"/>
      <c r="E71" s="77"/>
      <c r="F71" s="77"/>
      <c r="G71" s="77"/>
      <c r="H71" s="77"/>
      <c r="I71" s="77"/>
      <c r="J71" s="77"/>
      <c r="K71" s="77"/>
    </row>
    <row r="72" ht="18.75" customHeight="1">
      <c r="A72" s="77"/>
      <c r="B72" s="87"/>
      <c r="C72" s="77"/>
      <c r="D72" s="60"/>
      <c r="E72" s="77"/>
      <c r="F72" s="77"/>
      <c r="G72" s="77"/>
      <c r="H72" s="77"/>
      <c r="I72" s="77"/>
      <c r="J72" s="77"/>
      <c r="K72" s="77"/>
    </row>
    <row r="73" ht="18.75" customHeight="1">
      <c r="A73" s="77"/>
      <c r="B73" s="87"/>
      <c r="C73" s="77"/>
      <c r="D73" s="60"/>
      <c r="E73" s="77"/>
      <c r="F73" s="77"/>
      <c r="G73" s="77"/>
      <c r="H73" s="77"/>
      <c r="I73" s="77"/>
      <c r="J73" s="77"/>
      <c r="K73" s="77"/>
    </row>
    <row r="74" ht="18.75" customHeight="1">
      <c r="A74" s="77"/>
      <c r="B74" s="87"/>
      <c r="C74" s="77"/>
      <c r="D74" s="60"/>
      <c r="E74" s="77"/>
      <c r="F74" s="77"/>
      <c r="G74" s="77"/>
      <c r="H74" s="77"/>
      <c r="I74" s="77"/>
      <c r="J74" s="77"/>
      <c r="K74" s="77"/>
    </row>
    <row r="75" ht="18.75" customHeight="1">
      <c r="A75" s="77"/>
      <c r="B75" s="87"/>
      <c r="C75" s="77"/>
      <c r="D75" s="60"/>
      <c r="E75" s="77"/>
      <c r="F75" s="77"/>
      <c r="G75" s="77"/>
      <c r="H75" s="77"/>
      <c r="I75" s="77"/>
      <c r="J75" s="77"/>
      <c r="K75" s="77"/>
    </row>
    <row r="76" ht="18.75" customHeight="1">
      <c r="A76" s="77"/>
      <c r="B76" s="87"/>
      <c r="C76" s="77"/>
      <c r="D76" s="60"/>
      <c r="E76" s="77"/>
      <c r="F76" s="77"/>
      <c r="G76" s="77"/>
      <c r="H76" s="77"/>
      <c r="I76" s="77"/>
      <c r="J76" s="77"/>
      <c r="K76" s="77"/>
    </row>
    <row r="77" ht="18.75" customHeight="1">
      <c r="A77" s="77"/>
      <c r="B77" s="87"/>
      <c r="C77" s="77"/>
      <c r="D77" s="60"/>
      <c r="E77" s="77"/>
      <c r="F77" s="77"/>
      <c r="G77" s="77"/>
      <c r="H77" s="77"/>
      <c r="I77" s="77"/>
      <c r="J77" s="77"/>
      <c r="K77" s="77"/>
    </row>
    <row r="78" ht="18.75" customHeight="1">
      <c r="A78" s="77"/>
      <c r="B78" s="87"/>
      <c r="C78" s="77"/>
      <c r="D78" s="60"/>
      <c r="E78" s="77"/>
      <c r="F78" s="77"/>
      <c r="G78" s="77"/>
      <c r="H78" s="77"/>
      <c r="I78" s="77"/>
      <c r="J78" s="77"/>
      <c r="K78" s="77"/>
    </row>
    <row r="79" ht="18.75" customHeight="1">
      <c r="A79" s="77"/>
      <c r="B79" s="87"/>
      <c r="C79" s="77"/>
      <c r="D79" s="60"/>
      <c r="E79" s="77"/>
      <c r="F79" s="77"/>
      <c r="G79" s="77"/>
      <c r="H79" s="77"/>
      <c r="I79" s="77"/>
      <c r="J79" s="77"/>
      <c r="K79" s="77"/>
    </row>
    <row r="80" ht="18.75" customHeight="1">
      <c r="A80" s="77"/>
      <c r="B80" s="87"/>
      <c r="C80" s="77"/>
      <c r="D80" s="60"/>
      <c r="E80" s="77"/>
      <c r="F80" s="77"/>
      <c r="G80" s="77"/>
      <c r="H80" s="77"/>
      <c r="I80" s="77"/>
      <c r="J80" s="77"/>
      <c r="K80" s="77"/>
    </row>
    <row r="81" ht="18.75" customHeight="1">
      <c r="A81" s="77"/>
      <c r="B81" s="87"/>
      <c r="C81" s="77"/>
      <c r="D81" s="60"/>
      <c r="E81" s="77"/>
      <c r="F81" s="77"/>
      <c r="G81" s="77"/>
      <c r="H81" s="77"/>
      <c r="I81" s="77"/>
      <c r="J81" s="77"/>
      <c r="K81" s="77"/>
    </row>
    <row r="82" ht="18.75" customHeight="1">
      <c r="A82" s="77"/>
      <c r="B82" s="87"/>
      <c r="C82" s="77"/>
      <c r="D82" s="60"/>
      <c r="E82" s="77"/>
      <c r="F82" s="77"/>
      <c r="G82" s="77"/>
      <c r="H82" s="77"/>
      <c r="I82" s="77"/>
      <c r="J82" s="77"/>
      <c r="K82" s="77"/>
    </row>
    <row r="83" ht="18.75" customHeight="1">
      <c r="A83" s="77"/>
      <c r="B83" s="87"/>
      <c r="C83" s="77"/>
      <c r="D83" s="60"/>
      <c r="E83" s="77"/>
      <c r="F83" s="77"/>
      <c r="G83" s="77"/>
      <c r="H83" s="77"/>
      <c r="I83" s="77"/>
      <c r="J83" s="77"/>
      <c r="K83" s="77"/>
    </row>
    <row r="84" ht="18.75" customHeight="1">
      <c r="A84" s="77"/>
      <c r="B84" s="87"/>
      <c r="C84" s="77"/>
      <c r="D84" s="60"/>
      <c r="E84" s="77"/>
      <c r="F84" s="77"/>
      <c r="G84" s="77"/>
      <c r="H84" s="77"/>
      <c r="I84" s="77"/>
      <c r="J84" s="77"/>
      <c r="K84" s="77"/>
    </row>
    <row r="85" ht="18.75" customHeight="1">
      <c r="A85" s="77"/>
      <c r="B85" s="87"/>
      <c r="C85" s="77"/>
      <c r="D85" s="60"/>
      <c r="E85" s="77"/>
      <c r="F85" s="77"/>
      <c r="G85" s="77"/>
      <c r="H85" s="77"/>
      <c r="I85" s="77"/>
      <c r="J85" s="77"/>
      <c r="K85" s="77"/>
    </row>
    <row r="86" ht="18.75" customHeight="1">
      <c r="A86" s="77"/>
      <c r="B86" s="87"/>
      <c r="C86" s="77"/>
      <c r="D86" s="60"/>
      <c r="E86" s="77"/>
      <c r="F86" s="77"/>
      <c r="G86" s="77"/>
      <c r="H86" s="77"/>
      <c r="I86" s="77"/>
      <c r="J86" s="77"/>
      <c r="K86" s="77"/>
    </row>
    <row r="87" ht="18.75" customHeight="1">
      <c r="A87" s="77"/>
      <c r="B87" s="87"/>
      <c r="C87" s="77"/>
      <c r="D87" s="60"/>
      <c r="E87" s="77"/>
      <c r="F87" s="77"/>
      <c r="G87" s="77"/>
      <c r="H87" s="77"/>
      <c r="I87" s="77"/>
      <c r="J87" s="77"/>
      <c r="K87" s="77"/>
    </row>
    <row r="88" ht="18.75" customHeight="1">
      <c r="A88" s="77"/>
      <c r="B88" s="87"/>
      <c r="C88" s="77"/>
      <c r="D88" s="60"/>
      <c r="E88" s="77"/>
      <c r="F88" s="77"/>
      <c r="G88" s="77"/>
      <c r="H88" s="77"/>
      <c r="I88" s="77"/>
      <c r="J88" s="77"/>
      <c r="K88" s="77"/>
    </row>
    <row r="89" ht="18.75" customHeight="1">
      <c r="A89" s="77"/>
      <c r="B89" s="87"/>
      <c r="C89" s="77"/>
      <c r="D89" s="60"/>
      <c r="E89" s="77"/>
      <c r="F89" s="77"/>
      <c r="G89" s="77"/>
      <c r="H89" s="77"/>
      <c r="I89" s="77"/>
      <c r="J89" s="77"/>
      <c r="K89" s="77"/>
    </row>
    <row r="90" ht="18.75" customHeight="1">
      <c r="A90" s="77"/>
      <c r="B90" s="87"/>
      <c r="C90" s="77"/>
      <c r="D90" s="60"/>
      <c r="E90" s="77"/>
      <c r="F90" s="77"/>
      <c r="G90" s="77"/>
      <c r="H90" s="77"/>
      <c r="I90" s="77"/>
      <c r="J90" s="77"/>
      <c r="K90" s="77"/>
    </row>
    <row r="91" ht="18.75" customHeight="1">
      <c r="A91" s="77"/>
      <c r="B91" s="87"/>
      <c r="C91" s="77"/>
      <c r="D91" s="60"/>
      <c r="E91" s="77"/>
      <c r="F91" s="77"/>
      <c r="G91" s="77"/>
      <c r="H91" s="77"/>
      <c r="I91" s="77"/>
      <c r="J91" s="77"/>
      <c r="K91" s="77"/>
    </row>
    <row r="92" ht="18.75" customHeight="1">
      <c r="A92" s="77"/>
      <c r="B92" s="87"/>
      <c r="C92" s="77"/>
      <c r="D92" s="60"/>
      <c r="E92" s="77"/>
      <c r="F92" s="77"/>
      <c r="G92" s="77"/>
      <c r="H92" s="77"/>
      <c r="I92" s="77"/>
      <c r="J92" s="77"/>
      <c r="K92" s="77"/>
    </row>
    <row r="93" ht="18.75" customHeight="1">
      <c r="A93" s="77"/>
      <c r="B93" s="87"/>
      <c r="C93" s="77"/>
      <c r="D93" s="60"/>
      <c r="E93" s="77"/>
      <c r="F93" s="77"/>
      <c r="G93" s="77"/>
      <c r="H93" s="77"/>
      <c r="I93" s="77"/>
      <c r="J93" s="77"/>
      <c r="K93" s="77"/>
    </row>
    <row r="94" ht="18.75" customHeight="1">
      <c r="A94" s="77"/>
      <c r="B94" s="87"/>
      <c r="C94" s="77"/>
      <c r="D94" s="60"/>
      <c r="E94" s="77"/>
      <c r="F94" s="77"/>
      <c r="G94" s="77"/>
      <c r="H94" s="77"/>
      <c r="I94" s="77"/>
      <c r="J94" s="77"/>
      <c r="K94" s="77"/>
    </row>
    <row r="95" ht="18.75" customHeight="1">
      <c r="A95" s="77"/>
      <c r="B95" s="87"/>
      <c r="C95" s="77"/>
      <c r="D95" s="60"/>
      <c r="E95" s="77"/>
      <c r="F95" s="77"/>
      <c r="G95" s="77"/>
      <c r="H95" s="77"/>
      <c r="I95" s="77"/>
      <c r="J95" s="77"/>
      <c r="K95" s="77"/>
    </row>
    <row r="96" ht="18.75" customHeight="1">
      <c r="A96" s="77"/>
      <c r="B96" s="87"/>
      <c r="C96" s="77"/>
      <c r="D96" s="77"/>
      <c r="E96" s="77"/>
      <c r="F96" s="77"/>
      <c r="G96" s="77"/>
      <c r="H96" s="77"/>
      <c r="I96" s="77"/>
      <c r="J96" s="77"/>
      <c r="K96" s="77"/>
    </row>
    <row r="97" ht="18.75" customHeight="1">
      <c r="A97" s="77"/>
      <c r="B97" s="87"/>
      <c r="C97" s="77"/>
      <c r="D97" s="77"/>
      <c r="E97" s="77"/>
      <c r="F97" s="77"/>
      <c r="G97" s="77"/>
      <c r="H97" s="77"/>
      <c r="I97" s="77"/>
      <c r="J97" s="77"/>
      <c r="K97" s="77"/>
    </row>
    <row r="98" ht="18.75" customHeight="1">
      <c r="A98" s="77"/>
      <c r="B98" s="87"/>
      <c r="C98" s="77"/>
      <c r="D98" s="77"/>
      <c r="E98" s="77"/>
      <c r="F98" s="77"/>
      <c r="G98" s="77"/>
      <c r="H98" s="77"/>
      <c r="I98" s="77"/>
      <c r="J98" s="77"/>
      <c r="K98" s="77"/>
    </row>
    <row r="99" ht="18.75" customHeight="1">
      <c r="A99" s="77"/>
      <c r="B99" s="87"/>
      <c r="C99" s="77"/>
      <c r="D99" s="77"/>
      <c r="E99" s="77"/>
      <c r="F99" s="77"/>
      <c r="G99" s="77"/>
      <c r="H99" s="77"/>
      <c r="I99" s="77"/>
      <c r="J99" s="77"/>
      <c r="K99" s="77"/>
    </row>
    <row r="100" ht="18.75" customHeight="1">
      <c r="A100" s="77"/>
      <c r="B100" s="87"/>
      <c r="C100" s="77"/>
      <c r="D100" s="77"/>
      <c r="E100" s="77"/>
      <c r="F100" s="77"/>
      <c r="G100" s="77"/>
      <c r="H100" s="77"/>
      <c r="I100" s="77"/>
      <c r="J100" s="77"/>
      <c r="K100" s="77"/>
    </row>
    <row r="101" ht="18.75" customHeight="1">
      <c r="A101" s="77"/>
      <c r="B101" s="87"/>
      <c r="C101" s="77"/>
      <c r="D101" s="77"/>
      <c r="E101" s="77"/>
      <c r="F101" s="77"/>
      <c r="G101" s="77"/>
      <c r="H101" s="77"/>
      <c r="I101" s="77"/>
      <c r="J101" s="77"/>
      <c r="K101" s="77"/>
    </row>
    <row r="102" ht="18.75" customHeight="1">
      <c r="A102" s="77"/>
      <c r="B102" s="87"/>
      <c r="C102" s="77"/>
      <c r="D102" s="77"/>
      <c r="E102" s="77"/>
      <c r="F102" s="77"/>
      <c r="G102" s="77"/>
      <c r="H102" s="77"/>
      <c r="I102" s="77"/>
      <c r="J102" s="77"/>
      <c r="K102" s="77"/>
    </row>
    <row r="103" ht="18.75" customHeight="1">
      <c r="A103" s="77"/>
      <c r="B103" s="87"/>
      <c r="C103" s="77"/>
      <c r="D103" s="77"/>
      <c r="E103" s="77"/>
      <c r="F103" s="77"/>
      <c r="G103" s="77"/>
      <c r="H103" s="77"/>
      <c r="I103" s="77"/>
      <c r="J103" s="77"/>
      <c r="K103" s="77"/>
    </row>
    <row r="104" ht="18.75" customHeight="1">
      <c r="A104" s="77"/>
      <c r="B104" s="87"/>
      <c r="C104" s="77"/>
      <c r="D104" s="77"/>
      <c r="E104" s="77"/>
      <c r="F104" s="77"/>
      <c r="G104" s="77"/>
      <c r="H104" s="77"/>
      <c r="I104" s="77"/>
      <c r="J104" s="77"/>
      <c r="K104" s="77"/>
    </row>
    <row r="105" ht="18.75" customHeight="1">
      <c r="A105" s="77"/>
      <c r="B105" s="87"/>
      <c r="C105" s="77"/>
      <c r="D105" s="77"/>
      <c r="E105" s="77"/>
      <c r="F105" s="77"/>
      <c r="G105" s="77"/>
      <c r="H105" s="77"/>
      <c r="I105" s="77"/>
      <c r="J105" s="77"/>
      <c r="K105" s="77"/>
    </row>
    <row r="106" ht="18.75" customHeight="1">
      <c r="A106" s="77"/>
      <c r="B106" s="87"/>
      <c r="C106" s="77"/>
      <c r="D106" s="77"/>
      <c r="E106" s="77"/>
      <c r="F106" s="77"/>
      <c r="G106" s="77"/>
      <c r="H106" s="77"/>
      <c r="I106" s="77"/>
      <c r="J106" s="77"/>
      <c r="K106" s="77"/>
    </row>
    <row r="107" ht="18.75" customHeight="1">
      <c r="A107" s="77"/>
      <c r="B107" s="87"/>
      <c r="C107" s="77"/>
      <c r="D107" s="77"/>
      <c r="E107" s="77"/>
      <c r="F107" s="77"/>
      <c r="G107" s="77"/>
      <c r="H107" s="77"/>
      <c r="I107" s="77"/>
      <c r="J107" s="77"/>
      <c r="K107" s="77"/>
    </row>
    <row r="108" ht="18.75" customHeight="1">
      <c r="A108" s="77"/>
      <c r="B108" s="87"/>
      <c r="C108" s="77"/>
      <c r="D108" s="77"/>
      <c r="E108" s="77"/>
      <c r="F108" s="77"/>
      <c r="G108" s="77"/>
      <c r="H108" s="77"/>
      <c r="I108" s="77"/>
      <c r="J108" s="77"/>
      <c r="K108" s="77"/>
    </row>
    <row r="109" ht="18.75" customHeight="1">
      <c r="A109" s="77"/>
      <c r="B109" s="87"/>
      <c r="C109" s="77"/>
      <c r="D109" s="77"/>
      <c r="E109" s="77"/>
      <c r="F109" s="77"/>
      <c r="G109" s="77"/>
      <c r="H109" s="77"/>
      <c r="I109" s="77"/>
      <c r="J109" s="77"/>
      <c r="K109" s="77"/>
    </row>
    <row r="110" ht="18.75" customHeight="1">
      <c r="A110" s="77"/>
      <c r="B110" s="87"/>
      <c r="C110" s="77"/>
      <c r="D110" s="77"/>
      <c r="E110" s="77"/>
      <c r="F110" s="77"/>
      <c r="G110" s="77"/>
      <c r="H110" s="77"/>
      <c r="I110" s="77"/>
      <c r="J110" s="77"/>
      <c r="K110" s="77"/>
    </row>
    <row r="111" ht="18.75" customHeight="1">
      <c r="A111" s="77"/>
      <c r="B111" s="87"/>
      <c r="C111" s="77"/>
      <c r="D111" s="77"/>
      <c r="E111" s="77"/>
      <c r="F111" s="77"/>
      <c r="G111" s="77"/>
      <c r="H111" s="77"/>
      <c r="I111" s="77"/>
      <c r="J111" s="77"/>
      <c r="K111" s="77"/>
    </row>
    <row r="112" ht="18.75" customHeight="1">
      <c r="A112" s="77"/>
      <c r="B112" s="87"/>
      <c r="C112" s="77"/>
      <c r="D112" s="77"/>
      <c r="E112" s="77"/>
      <c r="F112" s="77"/>
      <c r="G112" s="77"/>
      <c r="H112" s="77"/>
      <c r="I112" s="77"/>
      <c r="J112" s="77"/>
      <c r="K112" s="77"/>
    </row>
    <row r="113" ht="18.75" customHeight="1">
      <c r="A113" s="77"/>
      <c r="B113" s="87"/>
      <c r="C113" s="77"/>
      <c r="D113" s="77"/>
      <c r="E113" s="77"/>
      <c r="F113" s="77"/>
      <c r="G113" s="77"/>
      <c r="H113" s="77"/>
      <c r="I113" s="77"/>
      <c r="J113" s="77"/>
      <c r="K113" s="77"/>
    </row>
    <row r="114" ht="18.75" customHeight="1">
      <c r="A114" s="77"/>
      <c r="B114" s="87"/>
      <c r="C114" s="77"/>
      <c r="D114" s="77"/>
      <c r="E114" s="77"/>
      <c r="F114" s="77"/>
      <c r="G114" s="77"/>
      <c r="H114" s="77"/>
      <c r="I114" s="77"/>
      <c r="J114" s="77"/>
      <c r="K114" s="77"/>
    </row>
    <row r="115" ht="18.75" customHeight="1">
      <c r="A115" s="77"/>
      <c r="B115" s="87"/>
      <c r="C115" s="77"/>
      <c r="D115" s="77"/>
      <c r="E115" s="77"/>
      <c r="F115" s="77"/>
      <c r="G115" s="77"/>
      <c r="H115" s="77"/>
      <c r="I115" s="77"/>
      <c r="J115" s="77"/>
      <c r="K115" s="77"/>
    </row>
    <row r="116" ht="18.75" customHeight="1">
      <c r="A116" s="77"/>
      <c r="B116" s="87"/>
      <c r="C116" s="77"/>
      <c r="D116" s="77"/>
      <c r="E116" s="77"/>
      <c r="F116" s="77"/>
      <c r="G116" s="77"/>
      <c r="H116" s="77"/>
      <c r="I116" s="77"/>
      <c r="J116" s="77"/>
      <c r="K116" s="77"/>
    </row>
    <row r="117" ht="18.75" customHeight="1">
      <c r="A117" s="77"/>
      <c r="B117" s="87"/>
      <c r="C117" s="77"/>
      <c r="D117" s="77"/>
      <c r="E117" s="77"/>
      <c r="F117" s="77"/>
      <c r="G117" s="77"/>
      <c r="H117" s="77"/>
      <c r="I117" s="77"/>
      <c r="J117" s="77"/>
      <c r="K117" s="77"/>
    </row>
    <row r="118" ht="18.75" customHeight="1">
      <c r="A118" s="77"/>
      <c r="B118" s="87"/>
      <c r="C118" s="77"/>
      <c r="D118" s="77"/>
      <c r="E118" s="77"/>
      <c r="F118" s="77"/>
      <c r="G118" s="77"/>
      <c r="H118" s="77"/>
      <c r="I118" s="77"/>
      <c r="J118" s="77"/>
      <c r="K118" s="77"/>
    </row>
    <row r="119" ht="18.75" customHeight="1">
      <c r="A119" s="77"/>
      <c r="B119" s="87"/>
      <c r="C119" s="77"/>
      <c r="D119" s="77"/>
      <c r="E119" s="77"/>
      <c r="F119" s="77"/>
      <c r="G119" s="77"/>
      <c r="H119" s="77"/>
      <c r="I119" s="77"/>
      <c r="J119" s="77"/>
      <c r="K119" s="77"/>
    </row>
    <row r="120" ht="18.75" customHeight="1">
      <c r="A120" s="77"/>
      <c r="B120" s="87"/>
      <c r="C120" s="77"/>
      <c r="D120" s="77"/>
      <c r="E120" s="77"/>
      <c r="F120" s="77"/>
      <c r="G120" s="77"/>
      <c r="H120" s="77"/>
      <c r="I120" s="77"/>
      <c r="J120" s="77"/>
      <c r="K120" s="77"/>
    </row>
    <row r="121" ht="18.75" customHeight="1">
      <c r="A121" s="77"/>
      <c r="B121" s="87"/>
      <c r="C121" s="77"/>
      <c r="D121" s="77"/>
      <c r="E121" s="77"/>
      <c r="F121" s="77"/>
      <c r="G121" s="77"/>
      <c r="H121" s="77"/>
      <c r="I121" s="77"/>
      <c r="J121" s="77"/>
      <c r="K121" s="77"/>
    </row>
    <row r="122" ht="18.75" customHeight="1">
      <c r="A122" s="77"/>
      <c r="B122" s="87"/>
      <c r="C122" s="77"/>
      <c r="D122" s="77"/>
      <c r="E122" s="77"/>
      <c r="F122" s="77"/>
      <c r="G122" s="77"/>
      <c r="H122" s="77"/>
      <c r="I122" s="77"/>
      <c r="J122" s="77"/>
      <c r="K122" s="77"/>
    </row>
    <row r="123" ht="18.75" customHeight="1">
      <c r="A123" s="77"/>
      <c r="B123" s="87"/>
      <c r="C123" s="77"/>
      <c r="D123" s="77"/>
      <c r="E123" s="77"/>
      <c r="F123" s="77"/>
      <c r="G123" s="77"/>
      <c r="H123" s="77"/>
      <c r="I123" s="77"/>
      <c r="J123" s="77"/>
      <c r="K123" s="77"/>
    </row>
    <row r="124" ht="18.75" customHeight="1">
      <c r="A124" s="77"/>
      <c r="B124" s="87"/>
      <c r="C124" s="77"/>
      <c r="D124" s="77"/>
      <c r="E124" s="77"/>
      <c r="F124" s="77"/>
      <c r="G124" s="77"/>
      <c r="H124" s="77"/>
      <c r="I124" s="77"/>
      <c r="J124" s="77"/>
      <c r="K124" s="77"/>
    </row>
    <row r="125" ht="18.75" customHeight="1">
      <c r="A125" s="77"/>
      <c r="B125" s="87"/>
      <c r="C125" s="77"/>
      <c r="D125" s="77"/>
      <c r="E125" s="77"/>
      <c r="F125" s="77"/>
      <c r="G125" s="77"/>
      <c r="H125" s="77"/>
      <c r="I125" s="77"/>
      <c r="J125" s="77"/>
      <c r="K125" s="77"/>
    </row>
    <row r="126" ht="18.75" customHeight="1">
      <c r="A126" s="77"/>
      <c r="B126" s="87"/>
      <c r="C126" s="77"/>
      <c r="D126" s="77"/>
      <c r="E126" s="77"/>
      <c r="F126" s="77"/>
      <c r="G126" s="77"/>
      <c r="H126" s="77"/>
      <c r="I126" s="77"/>
      <c r="J126" s="77"/>
      <c r="K126" s="77"/>
    </row>
    <row r="127" ht="18.75" customHeight="1">
      <c r="A127" s="77"/>
      <c r="B127" s="87"/>
      <c r="C127" s="77"/>
      <c r="D127" s="77"/>
      <c r="E127" s="77"/>
      <c r="F127" s="77"/>
      <c r="G127" s="77"/>
      <c r="H127" s="77"/>
      <c r="I127" s="77"/>
      <c r="J127" s="77"/>
      <c r="K127" s="77"/>
    </row>
    <row r="128" ht="18.75" customHeight="1">
      <c r="A128" s="77"/>
      <c r="B128" s="87"/>
      <c r="C128" s="77"/>
      <c r="D128" s="77"/>
      <c r="E128" s="77"/>
      <c r="F128" s="77"/>
      <c r="G128" s="77"/>
      <c r="H128" s="77"/>
      <c r="I128" s="77"/>
      <c r="J128" s="77"/>
      <c r="K128" s="77"/>
    </row>
    <row r="129" ht="18.75" customHeight="1">
      <c r="A129" s="77"/>
      <c r="B129" s="87"/>
      <c r="C129" s="77"/>
      <c r="D129" s="77"/>
      <c r="E129" s="77"/>
      <c r="F129" s="77"/>
      <c r="G129" s="77"/>
      <c r="H129" s="77"/>
      <c r="I129" s="77"/>
      <c r="J129" s="77"/>
      <c r="K129" s="77"/>
    </row>
    <row r="130" ht="18.75" customHeight="1">
      <c r="A130" s="77"/>
      <c r="B130" s="87"/>
      <c r="C130" s="77"/>
      <c r="D130" s="77"/>
      <c r="E130" s="77"/>
      <c r="F130" s="77"/>
      <c r="G130" s="77"/>
      <c r="H130" s="77"/>
      <c r="I130" s="77"/>
      <c r="J130" s="77"/>
      <c r="K130" s="77"/>
    </row>
    <row r="131" ht="18.75" customHeight="1">
      <c r="A131" s="77"/>
      <c r="B131" s="87"/>
      <c r="C131" s="77"/>
      <c r="D131" s="77"/>
      <c r="E131" s="77"/>
      <c r="F131" s="77"/>
      <c r="G131" s="77"/>
      <c r="H131" s="77"/>
      <c r="I131" s="77"/>
      <c r="J131" s="77"/>
      <c r="K131" s="77"/>
    </row>
    <row r="132" ht="18.75" customHeight="1">
      <c r="A132" s="77"/>
      <c r="B132" s="87"/>
      <c r="C132" s="77"/>
      <c r="D132" s="77"/>
      <c r="E132" s="77"/>
      <c r="F132" s="77"/>
      <c r="G132" s="77"/>
      <c r="H132" s="77"/>
      <c r="I132" s="77"/>
      <c r="J132" s="77"/>
      <c r="K132" s="77"/>
    </row>
    <row r="133" ht="18.75" customHeight="1">
      <c r="A133" s="77"/>
      <c r="B133" s="87"/>
      <c r="C133" s="77"/>
      <c r="D133" s="77"/>
      <c r="E133" s="77"/>
      <c r="F133" s="77"/>
      <c r="G133" s="77"/>
      <c r="H133" s="77"/>
      <c r="I133" s="77"/>
      <c r="J133" s="77"/>
      <c r="K133" s="77"/>
    </row>
    <row r="134" ht="18.75" customHeight="1">
      <c r="A134" s="77"/>
      <c r="B134" s="87"/>
      <c r="C134" s="77"/>
      <c r="D134" s="77"/>
      <c r="E134" s="77"/>
      <c r="F134" s="77"/>
      <c r="G134" s="77"/>
      <c r="H134" s="77"/>
      <c r="I134" s="77"/>
      <c r="J134" s="77"/>
      <c r="K134" s="77"/>
    </row>
    <row r="135" ht="18.75" customHeight="1">
      <c r="A135" s="77"/>
      <c r="B135" s="87"/>
      <c r="C135" s="77"/>
      <c r="D135" s="77"/>
      <c r="E135" s="77"/>
      <c r="F135" s="77"/>
      <c r="G135" s="77"/>
      <c r="H135" s="77"/>
      <c r="I135" s="77"/>
      <c r="J135" s="77"/>
      <c r="K135" s="77"/>
    </row>
    <row r="136" ht="18.75" customHeight="1">
      <c r="A136" s="77"/>
      <c r="B136" s="87"/>
      <c r="C136" s="77"/>
      <c r="D136" s="77"/>
      <c r="E136" s="77"/>
      <c r="F136" s="77"/>
      <c r="G136" s="77"/>
      <c r="H136" s="77"/>
      <c r="I136" s="77"/>
      <c r="J136" s="77"/>
      <c r="K136" s="77"/>
    </row>
    <row r="137" ht="18.75" customHeight="1">
      <c r="A137" s="77"/>
      <c r="B137" s="87"/>
      <c r="C137" s="77"/>
      <c r="D137" s="77"/>
      <c r="E137" s="77"/>
      <c r="F137" s="77"/>
      <c r="G137" s="77"/>
      <c r="H137" s="77"/>
      <c r="I137" s="77"/>
      <c r="J137" s="77"/>
      <c r="K137" s="77"/>
    </row>
    <row r="138" ht="18.75" customHeight="1">
      <c r="A138" s="77"/>
      <c r="B138" s="87"/>
      <c r="C138" s="77"/>
      <c r="D138" s="77"/>
      <c r="E138" s="77"/>
      <c r="F138" s="77"/>
      <c r="G138" s="77"/>
      <c r="H138" s="77"/>
      <c r="I138" s="77"/>
      <c r="J138" s="77"/>
      <c r="K138" s="77"/>
    </row>
    <row r="139" ht="18.75" customHeight="1">
      <c r="A139" s="77"/>
      <c r="B139" s="87"/>
      <c r="C139" s="77"/>
      <c r="D139" s="77"/>
      <c r="E139" s="77"/>
      <c r="F139" s="77"/>
      <c r="G139" s="77"/>
      <c r="H139" s="77"/>
      <c r="I139" s="77"/>
      <c r="J139" s="77"/>
      <c r="K139" s="77"/>
    </row>
    <row r="140" ht="18.75" customHeight="1">
      <c r="A140" s="77"/>
      <c r="B140" s="87"/>
      <c r="C140" s="77"/>
      <c r="D140" s="77"/>
      <c r="E140" s="77"/>
      <c r="F140" s="77"/>
      <c r="G140" s="77"/>
      <c r="H140" s="77"/>
      <c r="I140" s="77"/>
      <c r="J140" s="77"/>
      <c r="K140" s="77"/>
    </row>
    <row r="141" ht="18.75" customHeight="1">
      <c r="A141" s="77"/>
      <c r="B141" s="87"/>
      <c r="C141" s="77"/>
      <c r="D141" s="77"/>
      <c r="E141" s="77"/>
      <c r="F141" s="77"/>
      <c r="G141" s="77"/>
      <c r="H141" s="77"/>
      <c r="I141" s="77"/>
      <c r="J141" s="77"/>
      <c r="K141" s="77"/>
    </row>
    <row r="142" ht="18.75" customHeight="1">
      <c r="A142" s="77"/>
      <c r="B142" s="87"/>
      <c r="C142" s="77"/>
      <c r="D142" s="77"/>
      <c r="E142" s="77"/>
      <c r="F142" s="77"/>
      <c r="G142" s="77"/>
      <c r="H142" s="77"/>
      <c r="I142" s="77"/>
      <c r="J142" s="77"/>
      <c r="K142" s="77"/>
    </row>
    <row r="143" ht="18.75" customHeight="1">
      <c r="A143" s="77"/>
      <c r="B143" s="87"/>
      <c r="C143" s="77"/>
      <c r="D143" s="77"/>
      <c r="E143" s="77"/>
      <c r="F143" s="77"/>
      <c r="G143" s="77"/>
      <c r="H143" s="77"/>
      <c r="I143" s="77"/>
      <c r="J143" s="77"/>
      <c r="K143" s="77"/>
    </row>
    <row r="144" ht="18.75" customHeight="1">
      <c r="A144" s="77"/>
      <c r="B144" s="87"/>
      <c r="C144" s="77"/>
      <c r="D144" s="77"/>
      <c r="E144" s="77"/>
      <c r="F144" s="77"/>
      <c r="G144" s="77"/>
      <c r="H144" s="77"/>
      <c r="I144" s="77"/>
      <c r="J144" s="77"/>
      <c r="K144" s="77"/>
    </row>
    <row r="145" ht="18.75" customHeight="1">
      <c r="A145" s="77"/>
      <c r="B145" s="87"/>
      <c r="C145" s="77"/>
      <c r="D145" s="77"/>
      <c r="E145" s="77"/>
      <c r="F145" s="77"/>
      <c r="G145" s="77"/>
      <c r="H145" s="77"/>
      <c r="I145" s="77"/>
      <c r="J145" s="77"/>
      <c r="K145" s="77"/>
    </row>
    <row r="146" ht="18.75" customHeight="1">
      <c r="A146" s="77"/>
      <c r="B146" s="87"/>
      <c r="C146" s="77"/>
      <c r="D146" s="77"/>
      <c r="E146" s="77"/>
      <c r="F146" s="77"/>
      <c r="G146" s="77"/>
      <c r="H146" s="77"/>
      <c r="I146" s="77"/>
      <c r="J146" s="77"/>
      <c r="K146" s="77"/>
    </row>
    <row r="147" ht="18.75" customHeight="1">
      <c r="A147" s="77"/>
      <c r="B147" s="87"/>
      <c r="C147" s="77"/>
      <c r="D147" s="77"/>
      <c r="E147" s="77"/>
      <c r="F147" s="77"/>
      <c r="G147" s="77"/>
      <c r="H147" s="77"/>
      <c r="I147" s="77"/>
      <c r="J147" s="77"/>
      <c r="K147" s="77"/>
    </row>
    <row r="148" ht="18.75" customHeight="1">
      <c r="A148" s="77"/>
      <c r="B148" s="87"/>
      <c r="C148" s="77"/>
      <c r="D148" s="77"/>
      <c r="E148" s="77"/>
      <c r="F148" s="77"/>
      <c r="G148" s="77"/>
      <c r="H148" s="77"/>
      <c r="I148" s="77"/>
      <c r="J148" s="77"/>
      <c r="K148" s="77"/>
    </row>
    <row r="149" ht="18.75" customHeight="1">
      <c r="A149" s="77"/>
      <c r="B149" s="87"/>
      <c r="C149" s="77"/>
      <c r="D149" s="77"/>
      <c r="E149" s="77"/>
      <c r="F149" s="77"/>
      <c r="G149" s="77"/>
      <c r="H149" s="77"/>
      <c r="I149" s="77"/>
      <c r="J149" s="77"/>
      <c r="K149" s="77"/>
    </row>
    <row r="150" ht="18.75" customHeight="1">
      <c r="A150" s="77"/>
      <c r="B150" s="87"/>
      <c r="C150" s="77"/>
      <c r="D150" s="77"/>
      <c r="E150" s="77"/>
      <c r="F150" s="77"/>
      <c r="G150" s="77"/>
      <c r="H150" s="77"/>
      <c r="I150" s="77"/>
      <c r="J150" s="77"/>
      <c r="K150" s="77"/>
    </row>
    <row r="151" ht="18.75" customHeight="1">
      <c r="A151" s="77"/>
      <c r="B151" s="87"/>
      <c r="C151" s="77"/>
      <c r="D151" s="77"/>
      <c r="E151" s="77"/>
      <c r="F151" s="77"/>
      <c r="G151" s="77"/>
      <c r="H151" s="77"/>
      <c r="I151" s="77"/>
      <c r="J151" s="77"/>
      <c r="K151" s="77"/>
    </row>
    <row r="152" ht="18.75" customHeight="1">
      <c r="A152" s="77"/>
      <c r="B152" s="87"/>
      <c r="C152" s="77"/>
      <c r="D152" s="77"/>
      <c r="E152" s="77"/>
      <c r="F152" s="77"/>
      <c r="G152" s="77"/>
      <c r="H152" s="77"/>
      <c r="I152" s="77"/>
      <c r="J152" s="77"/>
      <c r="K152" s="77"/>
    </row>
    <row r="153" ht="18.75" customHeight="1">
      <c r="A153" s="77"/>
      <c r="B153" s="87"/>
      <c r="C153" s="77"/>
      <c r="D153" s="77"/>
      <c r="E153" s="77"/>
      <c r="F153" s="77"/>
      <c r="G153" s="77"/>
      <c r="H153" s="77"/>
      <c r="I153" s="77"/>
      <c r="J153" s="77"/>
      <c r="K153" s="77"/>
    </row>
    <row r="154" ht="18.75" customHeight="1">
      <c r="A154" s="77"/>
      <c r="B154" s="87"/>
      <c r="C154" s="77"/>
      <c r="D154" s="77"/>
      <c r="E154" s="77"/>
      <c r="F154" s="77"/>
      <c r="G154" s="77"/>
      <c r="H154" s="77"/>
      <c r="I154" s="77"/>
      <c r="J154" s="77"/>
      <c r="K154" s="77"/>
    </row>
    <row r="155" ht="18.75" customHeight="1">
      <c r="A155" s="77"/>
      <c r="B155" s="87"/>
      <c r="C155" s="77"/>
      <c r="D155" s="77"/>
      <c r="E155" s="77"/>
      <c r="F155" s="77"/>
      <c r="G155" s="77"/>
      <c r="H155" s="77"/>
      <c r="I155" s="77"/>
      <c r="J155" s="77"/>
      <c r="K155" s="77"/>
    </row>
    <row r="156" ht="18.75" customHeight="1">
      <c r="A156" s="77"/>
      <c r="B156" s="87"/>
      <c r="C156" s="77"/>
      <c r="D156" s="77"/>
      <c r="E156" s="77"/>
      <c r="F156" s="77"/>
      <c r="G156" s="77"/>
      <c r="H156" s="77"/>
      <c r="I156" s="77"/>
      <c r="J156" s="77"/>
      <c r="K156" s="77"/>
    </row>
    <row r="157" ht="18.75" customHeight="1">
      <c r="A157" s="77"/>
      <c r="B157" s="87"/>
      <c r="C157" s="77"/>
      <c r="D157" s="77"/>
      <c r="E157" s="77"/>
      <c r="F157" s="77"/>
      <c r="G157" s="77"/>
      <c r="H157" s="77"/>
      <c r="I157" s="77"/>
      <c r="J157" s="77"/>
      <c r="K157" s="77"/>
    </row>
    <row r="158" ht="18.75" customHeight="1">
      <c r="A158" s="77"/>
      <c r="B158" s="87"/>
      <c r="C158" s="77"/>
      <c r="D158" s="77"/>
      <c r="E158" s="77"/>
      <c r="F158" s="77"/>
      <c r="G158" s="77"/>
      <c r="H158" s="77"/>
      <c r="I158" s="77"/>
      <c r="J158" s="77"/>
      <c r="K158" s="77"/>
    </row>
    <row r="159" ht="18.75" customHeight="1">
      <c r="A159" s="77"/>
      <c r="B159" s="87"/>
      <c r="C159" s="77"/>
      <c r="D159" s="77"/>
      <c r="E159" s="77"/>
      <c r="F159" s="77"/>
      <c r="G159" s="77"/>
      <c r="H159" s="77"/>
      <c r="I159" s="77"/>
      <c r="J159" s="77"/>
      <c r="K159" s="77"/>
    </row>
    <row r="160" ht="18.75" customHeight="1">
      <c r="A160" s="77"/>
      <c r="B160" s="87"/>
      <c r="C160" s="77"/>
      <c r="D160" s="77"/>
      <c r="E160" s="77"/>
      <c r="F160" s="77"/>
      <c r="G160" s="77"/>
      <c r="H160" s="77"/>
      <c r="I160" s="77"/>
      <c r="J160" s="77"/>
      <c r="K160" s="77"/>
    </row>
    <row r="161" ht="18.75" customHeight="1">
      <c r="A161" s="77"/>
      <c r="B161" s="87"/>
      <c r="C161" s="77"/>
      <c r="D161" s="77"/>
      <c r="E161" s="77"/>
      <c r="F161" s="77"/>
      <c r="G161" s="77"/>
      <c r="H161" s="77"/>
      <c r="I161" s="77"/>
      <c r="J161" s="77"/>
      <c r="K161" s="77"/>
    </row>
    <row r="162" ht="18.75" customHeight="1">
      <c r="A162" s="77"/>
      <c r="B162" s="87"/>
      <c r="C162" s="77"/>
      <c r="D162" s="77"/>
      <c r="E162" s="77"/>
      <c r="F162" s="77"/>
      <c r="G162" s="77"/>
      <c r="H162" s="77"/>
      <c r="I162" s="77"/>
      <c r="J162" s="77"/>
      <c r="K162" s="77"/>
    </row>
    <row r="163" ht="18.75" customHeight="1">
      <c r="A163" s="77"/>
      <c r="B163" s="87"/>
      <c r="C163" s="77"/>
      <c r="D163" s="77"/>
      <c r="E163" s="77"/>
      <c r="F163" s="77"/>
      <c r="G163" s="77"/>
      <c r="H163" s="77"/>
      <c r="I163" s="77"/>
      <c r="J163" s="77"/>
      <c r="K163" s="77"/>
    </row>
    <row r="164" ht="18.75" customHeight="1">
      <c r="A164" s="77"/>
      <c r="B164" s="87"/>
      <c r="C164" s="77"/>
      <c r="D164" s="77"/>
      <c r="E164" s="77"/>
      <c r="F164" s="77"/>
      <c r="G164" s="77"/>
      <c r="H164" s="77"/>
      <c r="I164" s="77"/>
      <c r="J164" s="77"/>
      <c r="K164" s="77"/>
    </row>
    <row r="165" ht="18.75" customHeight="1">
      <c r="A165" s="77"/>
      <c r="B165" s="87"/>
      <c r="C165" s="77"/>
      <c r="D165" s="77"/>
      <c r="E165" s="77"/>
      <c r="F165" s="77"/>
      <c r="G165" s="77"/>
      <c r="H165" s="77"/>
      <c r="I165" s="77"/>
      <c r="J165" s="77"/>
      <c r="K165" s="77"/>
    </row>
    <row r="166" ht="18.75" customHeight="1">
      <c r="A166" s="77"/>
      <c r="B166" s="87"/>
      <c r="C166" s="77"/>
      <c r="D166" s="77"/>
      <c r="E166" s="77"/>
      <c r="F166" s="77"/>
      <c r="G166" s="77"/>
      <c r="H166" s="77"/>
      <c r="I166" s="77"/>
      <c r="J166" s="77"/>
      <c r="K166" s="77"/>
    </row>
    <row r="167" ht="18.75" customHeight="1">
      <c r="A167" s="77"/>
      <c r="B167" s="87"/>
      <c r="C167" s="77"/>
      <c r="D167" s="77"/>
      <c r="E167" s="77"/>
      <c r="F167" s="77"/>
      <c r="G167" s="77"/>
      <c r="H167" s="77"/>
      <c r="I167" s="77"/>
      <c r="J167" s="77"/>
      <c r="K167" s="77"/>
    </row>
    <row r="168" ht="18.75" customHeight="1">
      <c r="A168" s="77"/>
      <c r="B168" s="87"/>
      <c r="C168" s="77"/>
      <c r="D168" s="77"/>
      <c r="E168" s="77"/>
      <c r="F168" s="77"/>
      <c r="G168" s="77"/>
      <c r="H168" s="77"/>
      <c r="I168" s="77"/>
      <c r="J168" s="77"/>
      <c r="K168" s="77"/>
    </row>
    <row r="169" ht="18.75" customHeight="1">
      <c r="A169" s="77"/>
      <c r="B169" s="87"/>
      <c r="C169" s="77"/>
      <c r="D169" s="77"/>
      <c r="E169" s="77"/>
      <c r="F169" s="77"/>
      <c r="G169" s="77"/>
      <c r="H169" s="77"/>
      <c r="I169" s="77"/>
      <c r="J169" s="77"/>
      <c r="K169" s="77"/>
    </row>
    <row r="170" ht="18.75" customHeight="1">
      <c r="A170" s="77"/>
      <c r="B170" s="87"/>
      <c r="C170" s="77"/>
      <c r="D170" s="77"/>
      <c r="E170" s="77"/>
      <c r="F170" s="77"/>
      <c r="G170" s="77"/>
      <c r="H170" s="77"/>
      <c r="I170" s="77"/>
      <c r="J170" s="77"/>
      <c r="K170" s="77"/>
    </row>
    <row r="171" ht="18.75" customHeight="1">
      <c r="A171" s="77"/>
      <c r="B171" s="87"/>
      <c r="C171" s="77"/>
      <c r="D171" s="77"/>
      <c r="E171" s="77"/>
      <c r="F171" s="77"/>
      <c r="G171" s="77"/>
      <c r="H171" s="77"/>
      <c r="I171" s="77"/>
      <c r="J171" s="77"/>
      <c r="K171" s="77"/>
    </row>
    <row r="172" ht="18.75" customHeight="1">
      <c r="A172" s="77"/>
      <c r="B172" s="87"/>
      <c r="C172" s="77"/>
      <c r="D172" s="77"/>
      <c r="E172" s="77"/>
      <c r="F172" s="77"/>
      <c r="G172" s="77"/>
      <c r="H172" s="77"/>
      <c r="I172" s="77"/>
      <c r="J172" s="77"/>
      <c r="K172" s="77"/>
    </row>
    <row r="173" ht="18.75" customHeight="1">
      <c r="A173" s="77"/>
      <c r="B173" s="87"/>
      <c r="C173" s="77"/>
      <c r="D173" s="77"/>
      <c r="E173" s="77"/>
      <c r="F173" s="77"/>
      <c r="G173" s="77"/>
      <c r="H173" s="77"/>
      <c r="I173" s="77"/>
      <c r="J173" s="77"/>
      <c r="K173" s="77"/>
    </row>
    <row r="174" ht="18.75" customHeight="1">
      <c r="A174" s="77"/>
      <c r="B174" s="87"/>
      <c r="C174" s="77"/>
      <c r="D174" s="77"/>
      <c r="E174" s="77"/>
      <c r="F174" s="77"/>
      <c r="G174" s="77"/>
      <c r="H174" s="77"/>
      <c r="I174" s="77"/>
      <c r="J174" s="77"/>
      <c r="K174" s="77"/>
    </row>
    <row r="175" ht="18.75" customHeight="1">
      <c r="A175" s="77"/>
      <c r="B175" s="87"/>
      <c r="C175" s="77"/>
      <c r="D175" s="77"/>
      <c r="E175" s="77"/>
      <c r="F175" s="77"/>
      <c r="G175" s="77"/>
      <c r="H175" s="77"/>
      <c r="I175" s="77"/>
      <c r="J175" s="77"/>
      <c r="K175" s="77"/>
    </row>
    <row r="176" ht="18.75" customHeight="1">
      <c r="A176" s="77"/>
      <c r="B176" s="87"/>
      <c r="C176" s="77"/>
      <c r="D176" s="77"/>
      <c r="E176" s="77"/>
      <c r="F176" s="77"/>
      <c r="G176" s="77"/>
      <c r="H176" s="77"/>
      <c r="I176" s="77"/>
      <c r="J176" s="77"/>
      <c r="K176" s="77"/>
    </row>
    <row r="177" ht="18.75" customHeight="1">
      <c r="A177" s="77"/>
      <c r="B177" s="87"/>
      <c r="C177" s="77"/>
      <c r="D177" s="77"/>
      <c r="E177" s="77"/>
      <c r="F177" s="77"/>
      <c r="G177" s="77"/>
      <c r="H177" s="77"/>
      <c r="I177" s="77"/>
      <c r="J177" s="77"/>
      <c r="K177" s="77"/>
    </row>
    <row r="178" ht="18.75" customHeight="1">
      <c r="A178" s="77"/>
      <c r="B178" s="87"/>
      <c r="C178" s="77"/>
      <c r="D178" s="77"/>
      <c r="E178" s="77"/>
      <c r="F178" s="77"/>
      <c r="G178" s="77"/>
      <c r="H178" s="77"/>
      <c r="I178" s="77"/>
      <c r="J178" s="77"/>
      <c r="K178" s="77"/>
    </row>
    <row r="179" ht="18.75" customHeight="1">
      <c r="A179" s="77"/>
      <c r="B179" s="87"/>
      <c r="C179" s="77"/>
      <c r="D179" s="77"/>
      <c r="E179" s="77"/>
      <c r="F179" s="77"/>
      <c r="G179" s="77"/>
      <c r="H179" s="77"/>
      <c r="I179" s="77"/>
      <c r="J179" s="77"/>
      <c r="K179" s="77"/>
    </row>
    <row r="180" ht="18.75" customHeight="1">
      <c r="A180" s="77"/>
      <c r="B180" s="87"/>
      <c r="C180" s="77"/>
      <c r="D180" s="77"/>
      <c r="E180" s="77"/>
      <c r="F180" s="77"/>
      <c r="G180" s="77"/>
      <c r="H180" s="77"/>
      <c r="I180" s="77"/>
      <c r="J180" s="77"/>
      <c r="K180" s="77"/>
    </row>
    <row r="181" ht="18.75" customHeight="1">
      <c r="A181" s="77"/>
      <c r="B181" s="87"/>
      <c r="C181" s="77"/>
      <c r="D181" s="77"/>
      <c r="E181" s="77"/>
      <c r="F181" s="77"/>
      <c r="G181" s="77"/>
      <c r="H181" s="77"/>
      <c r="I181" s="77"/>
      <c r="J181" s="77"/>
      <c r="K181" s="77"/>
    </row>
    <row r="182" ht="18.75" customHeight="1">
      <c r="A182" s="77"/>
      <c r="B182" s="87"/>
      <c r="C182" s="77"/>
      <c r="D182" s="77"/>
      <c r="E182" s="77"/>
      <c r="F182" s="77"/>
      <c r="G182" s="77"/>
      <c r="H182" s="77"/>
      <c r="I182" s="77"/>
      <c r="J182" s="77"/>
      <c r="K182" s="77"/>
    </row>
    <row r="183" ht="18.75" customHeight="1">
      <c r="A183" s="77"/>
      <c r="B183" s="87"/>
      <c r="C183" s="77"/>
      <c r="D183" s="77"/>
      <c r="E183" s="77"/>
      <c r="F183" s="77"/>
      <c r="G183" s="77"/>
      <c r="H183" s="77"/>
      <c r="I183" s="77"/>
      <c r="J183" s="77"/>
      <c r="K183" s="77"/>
    </row>
    <row r="184" ht="18.75" customHeight="1">
      <c r="A184" s="77"/>
      <c r="B184" s="87"/>
      <c r="C184" s="77"/>
      <c r="D184" s="77"/>
      <c r="E184" s="77"/>
      <c r="F184" s="77"/>
      <c r="G184" s="77"/>
      <c r="H184" s="77"/>
      <c r="I184" s="77"/>
      <c r="J184" s="77"/>
      <c r="K184" s="77"/>
    </row>
    <row r="185" ht="18.75" customHeight="1">
      <c r="A185" s="77"/>
      <c r="B185" s="87"/>
      <c r="C185" s="77"/>
      <c r="D185" s="77"/>
      <c r="E185" s="77"/>
      <c r="F185" s="77"/>
      <c r="G185" s="77"/>
      <c r="H185" s="77"/>
      <c r="I185" s="77"/>
      <c r="J185" s="77"/>
      <c r="K185" s="77"/>
    </row>
    <row r="186" ht="18.75" customHeight="1">
      <c r="A186" s="77"/>
      <c r="B186" s="87"/>
      <c r="C186" s="77"/>
      <c r="D186" s="77"/>
      <c r="E186" s="77"/>
      <c r="F186" s="77"/>
      <c r="G186" s="77"/>
      <c r="H186" s="77"/>
      <c r="I186" s="77"/>
      <c r="J186" s="77"/>
      <c r="K186" s="77"/>
    </row>
    <row r="187" ht="18.75" customHeight="1">
      <c r="A187" s="77"/>
      <c r="B187" s="87"/>
      <c r="C187" s="77"/>
      <c r="D187" s="77"/>
      <c r="E187" s="77"/>
      <c r="F187" s="77"/>
      <c r="G187" s="77"/>
      <c r="H187" s="77"/>
      <c r="I187" s="77"/>
      <c r="J187" s="77"/>
      <c r="K187" s="77"/>
    </row>
    <row r="188" ht="18.75" customHeight="1">
      <c r="A188" s="77"/>
      <c r="B188" s="87"/>
      <c r="C188" s="77"/>
      <c r="D188" s="77"/>
      <c r="E188" s="77"/>
      <c r="F188" s="77"/>
      <c r="G188" s="77"/>
      <c r="H188" s="77"/>
      <c r="I188" s="77"/>
      <c r="J188" s="77"/>
      <c r="K188" s="77"/>
    </row>
    <row r="189" ht="18.75" customHeight="1">
      <c r="A189" s="77"/>
      <c r="B189" s="87"/>
      <c r="C189" s="77"/>
      <c r="D189" s="77"/>
      <c r="E189" s="77"/>
      <c r="F189" s="77"/>
      <c r="G189" s="77"/>
      <c r="H189" s="77"/>
      <c r="I189" s="77"/>
      <c r="J189" s="77"/>
      <c r="K189" s="77"/>
    </row>
    <row r="190" ht="18.75" customHeight="1">
      <c r="A190" s="77"/>
      <c r="B190" s="87"/>
      <c r="C190" s="77"/>
      <c r="D190" s="77"/>
      <c r="E190" s="77"/>
      <c r="F190" s="77"/>
      <c r="G190" s="77"/>
      <c r="H190" s="77"/>
      <c r="I190" s="77"/>
      <c r="J190" s="77"/>
      <c r="K190" s="77"/>
    </row>
    <row r="191" ht="18.75" customHeight="1">
      <c r="A191" s="77"/>
      <c r="B191" s="87"/>
      <c r="C191" s="77"/>
      <c r="D191" s="77"/>
      <c r="E191" s="77"/>
      <c r="F191" s="77"/>
      <c r="G191" s="77"/>
      <c r="H191" s="77"/>
      <c r="I191" s="77"/>
      <c r="J191" s="77"/>
      <c r="K191" s="77"/>
    </row>
    <row r="192" ht="18.75" customHeight="1">
      <c r="A192" s="77"/>
      <c r="B192" s="87"/>
      <c r="C192" s="77"/>
      <c r="D192" s="77"/>
      <c r="E192" s="77"/>
      <c r="F192" s="77"/>
      <c r="G192" s="77"/>
      <c r="H192" s="77"/>
      <c r="I192" s="77"/>
      <c r="J192" s="77"/>
      <c r="K192" s="77"/>
    </row>
    <row r="193" ht="18.75" customHeight="1">
      <c r="A193" s="77"/>
      <c r="B193" s="87"/>
      <c r="C193" s="77"/>
      <c r="D193" s="77"/>
      <c r="E193" s="77"/>
      <c r="F193" s="77"/>
      <c r="G193" s="77"/>
      <c r="H193" s="77"/>
      <c r="I193" s="77"/>
      <c r="J193" s="77"/>
      <c r="K193" s="77"/>
    </row>
    <row r="194" ht="18.75" customHeight="1">
      <c r="A194" s="77"/>
      <c r="B194" s="87"/>
      <c r="C194" s="77"/>
      <c r="D194" s="77"/>
      <c r="E194" s="77"/>
      <c r="F194" s="77"/>
      <c r="G194" s="77"/>
      <c r="H194" s="77"/>
      <c r="I194" s="77"/>
      <c r="J194" s="77"/>
      <c r="K194" s="77"/>
    </row>
    <row r="195" ht="18.75" customHeight="1">
      <c r="A195" s="77"/>
      <c r="B195" s="87"/>
      <c r="C195" s="77"/>
      <c r="D195" s="77"/>
      <c r="E195" s="77"/>
      <c r="F195" s="77"/>
      <c r="G195" s="77"/>
      <c r="H195" s="77"/>
      <c r="I195" s="77"/>
      <c r="J195" s="77"/>
      <c r="K195" s="77"/>
    </row>
    <row r="196" ht="18.75" customHeight="1">
      <c r="A196" s="77"/>
      <c r="B196" s="87"/>
      <c r="C196" s="77"/>
      <c r="D196" s="77"/>
      <c r="E196" s="77"/>
      <c r="F196" s="77"/>
      <c r="G196" s="77"/>
      <c r="H196" s="77"/>
      <c r="I196" s="77"/>
      <c r="J196" s="77"/>
      <c r="K196" s="77"/>
    </row>
    <row r="197" ht="18.75" customHeight="1">
      <c r="A197" s="77"/>
      <c r="B197" s="87"/>
      <c r="C197" s="77"/>
      <c r="D197" s="77"/>
      <c r="E197" s="77"/>
      <c r="F197" s="77"/>
      <c r="G197" s="77"/>
      <c r="H197" s="77"/>
      <c r="I197" s="77"/>
      <c r="J197" s="77"/>
      <c r="K197" s="77"/>
    </row>
    <row r="198" ht="18.75" customHeight="1">
      <c r="A198" s="77"/>
      <c r="B198" s="87"/>
      <c r="C198" s="77"/>
      <c r="D198" s="77"/>
      <c r="E198" s="77"/>
      <c r="F198" s="77"/>
      <c r="G198" s="77"/>
      <c r="H198" s="77"/>
      <c r="I198" s="77"/>
      <c r="J198" s="77"/>
      <c r="K198" s="77"/>
    </row>
    <row r="199" ht="18.75" customHeight="1">
      <c r="A199" s="77"/>
      <c r="B199" s="87"/>
      <c r="C199" s="77"/>
      <c r="D199" s="77"/>
      <c r="E199" s="77"/>
      <c r="F199" s="77"/>
      <c r="G199" s="77"/>
      <c r="H199" s="77"/>
      <c r="I199" s="77"/>
      <c r="J199" s="77"/>
      <c r="K199" s="77"/>
    </row>
    <row r="200" ht="18.75" customHeight="1">
      <c r="A200" s="77"/>
      <c r="B200" s="87"/>
      <c r="C200" s="77"/>
      <c r="D200" s="77"/>
      <c r="E200" s="77"/>
      <c r="F200" s="77"/>
      <c r="G200" s="77"/>
      <c r="H200" s="77"/>
      <c r="I200" s="77"/>
      <c r="J200" s="77"/>
      <c r="K200" s="77"/>
    </row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mergeCells count="12">
    <mergeCell ref="C3:D3"/>
    <mergeCell ref="C4:C5"/>
    <mergeCell ref="D4:D5"/>
    <mergeCell ref="H22:J22"/>
    <mergeCell ref="H44:K44"/>
    <mergeCell ref="A1:F1"/>
    <mergeCell ref="H1:J1"/>
    <mergeCell ref="A2:F2"/>
    <mergeCell ref="A3:A6"/>
    <mergeCell ref="B3:B6"/>
    <mergeCell ref="E3:E6"/>
    <mergeCell ref="F3:F6"/>
  </mergeCells>
  <dataValidations>
    <dataValidation type="list" allowBlank="1" showErrorMessage="1" sqref="H4:H6 H9:H19 H30:H41 E50:E200">
      <formula1>"1.1,1.2,1.3,2.1,2.2,2.3,2.4,2.5,2.6,2.7,2.8,2.9,2.11,2.12"</formula1>
    </dataValidation>
    <dataValidation type="list" allowBlank="1" showErrorMessage="1" sqref="E8:E49">
      <formula1>"1,1,1,2,2,1,2,11,2,12,2,2,2,3,2,5,2,6,2,7,2,8,2,9,2,4,1,3"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6.0"/>
    <col customWidth="1" min="2" max="2" width="15.0"/>
    <col customWidth="1" min="3" max="4" width="17.0"/>
    <col customWidth="1" min="5" max="5" width="13.0"/>
    <col customWidth="1" min="6" max="6" width="47.0"/>
    <col customWidth="1" min="7" max="7" width="7.0"/>
    <col customWidth="1" min="8" max="8" width="14.0"/>
    <col customWidth="1" min="9" max="9" width="46.0"/>
    <col customWidth="1" min="10" max="10" width="16.0"/>
    <col customWidth="1" min="11" max="26" width="14.0"/>
  </cols>
  <sheetData>
    <row r="1" ht="18.75" customHeight="1">
      <c r="A1" s="11" t="s">
        <v>22</v>
      </c>
      <c r="F1" s="12"/>
      <c r="G1" s="13"/>
      <c r="H1" s="14" t="s">
        <v>23</v>
      </c>
      <c r="I1" s="15"/>
      <c r="J1" s="16"/>
      <c r="K1" s="13"/>
    </row>
    <row r="2" ht="18.75" customHeight="1">
      <c r="A2" s="36" t="s">
        <v>197</v>
      </c>
      <c r="G2" s="13"/>
      <c r="H2" s="49" t="s">
        <v>25</v>
      </c>
      <c r="I2" s="19" t="s">
        <v>26</v>
      </c>
      <c r="J2" s="20" t="s">
        <v>27</v>
      </c>
      <c r="K2" s="13"/>
    </row>
    <row r="3" ht="18.75" customHeight="1">
      <c r="A3" s="21" t="s">
        <v>28</v>
      </c>
      <c r="B3" s="21" t="s">
        <v>29</v>
      </c>
      <c r="C3" s="23" t="s">
        <v>30</v>
      </c>
      <c r="D3" s="24"/>
      <c r="E3" s="25" t="s">
        <v>25</v>
      </c>
      <c r="F3" s="21" t="s">
        <v>26</v>
      </c>
      <c r="G3" s="13"/>
      <c r="H3" s="26">
        <v>1.0</v>
      </c>
      <c r="I3" s="27" t="s">
        <v>31</v>
      </c>
      <c r="J3" s="28">
        <f>SUM(J4:J6)</f>
        <v>100000000</v>
      </c>
      <c r="K3" s="13"/>
    </row>
    <row r="4" ht="18.75" customHeight="1">
      <c r="A4" s="29"/>
      <c r="B4" s="29"/>
      <c r="C4" s="21" t="s">
        <v>32</v>
      </c>
      <c r="D4" s="21" t="s">
        <v>33</v>
      </c>
      <c r="E4" s="30"/>
      <c r="F4" s="29"/>
      <c r="G4" s="13"/>
      <c r="H4" s="31">
        <v>1.1</v>
      </c>
      <c r="I4" s="32" t="s">
        <v>34</v>
      </c>
      <c r="J4" s="28">
        <f>SUMIF($E$8:$E$54,1.1,$C$8:$C$45)</f>
        <v>100000000</v>
      </c>
      <c r="K4" s="13"/>
    </row>
    <row r="5" ht="18.75" customHeight="1">
      <c r="A5" s="29"/>
      <c r="B5" s="29"/>
      <c r="C5" s="33"/>
      <c r="D5" s="33"/>
      <c r="E5" s="30"/>
      <c r="F5" s="29"/>
      <c r="G5" s="13"/>
      <c r="H5" s="31">
        <v>1.2</v>
      </c>
      <c r="I5" s="32" t="s">
        <v>35</v>
      </c>
      <c r="J5" s="28">
        <f>SUMIF($E$8:$E$54,1.2,$C$8:$C$45)</f>
        <v>0</v>
      </c>
      <c r="K5" s="13"/>
    </row>
    <row r="6" ht="18.75" customHeight="1">
      <c r="A6" s="33"/>
      <c r="B6" s="33"/>
      <c r="C6" s="34"/>
      <c r="D6" s="34"/>
      <c r="E6" s="35"/>
      <c r="F6" s="33"/>
      <c r="G6" s="13"/>
      <c r="H6" s="31">
        <v>1.3</v>
      </c>
      <c r="I6" s="32" t="s">
        <v>36</v>
      </c>
      <c r="J6" s="28">
        <f>SUMIF($E$8:$E$54,1.3,$C$8:$C$45)</f>
        <v>0</v>
      </c>
      <c r="K6" s="13"/>
    </row>
    <row r="7" ht="21.75" customHeight="1">
      <c r="A7" s="36"/>
      <c r="B7" s="37"/>
      <c r="C7" s="42">
        <f t="shared" ref="C7:D7" si="1">SUM(C8:C100)</f>
        <v>100000000</v>
      </c>
      <c r="D7" s="42">
        <f t="shared" si="1"/>
        <v>231694626</v>
      </c>
      <c r="E7" s="39"/>
      <c r="F7" s="40"/>
      <c r="G7" s="40" t="s">
        <v>37</v>
      </c>
      <c r="H7" s="41"/>
      <c r="I7" s="40"/>
      <c r="J7" s="42"/>
      <c r="K7" s="40"/>
    </row>
    <row r="8" ht="18.75" customHeight="1">
      <c r="A8" s="99"/>
      <c r="B8" s="100">
        <v>45905.0</v>
      </c>
      <c r="C8" s="101"/>
      <c r="D8" s="101">
        <v>1.4E7</v>
      </c>
      <c r="E8" s="98">
        <v>2.6</v>
      </c>
      <c r="F8" s="102" t="s">
        <v>198</v>
      </c>
      <c r="G8" s="13"/>
      <c r="H8" s="26">
        <v>2.0</v>
      </c>
      <c r="I8" s="49" t="s">
        <v>40</v>
      </c>
      <c r="J8" s="28">
        <f>SUM(J9:J19)</f>
        <v>231694626</v>
      </c>
      <c r="K8" s="13"/>
    </row>
    <row r="9" ht="18.75" customHeight="1">
      <c r="A9" s="99"/>
      <c r="B9" s="100">
        <v>45905.0</v>
      </c>
      <c r="C9" s="101"/>
      <c r="D9" s="101">
        <v>1400000.0</v>
      </c>
      <c r="E9" s="98">
        <v>2.6</v>
      </c>
      <c r="F9" s="102" t="s">
        <v>199</v>
      </c>
      <c r="G9" s="52"/>
      <c r="H9" s="53">
        <v>2.1</v>
      </c>
      <c r="I9" s="54" t="s">
        <v>42</v>
      </c>
      <c r="J9" s="55">
        <f>SUMIF($E$8:$E$54,2.1,$D$8:$D$45)</f>
        <v>0</v>
      </c>
      <c r="K9" s="13"/>
    </row>
    <row r="10" ht="18.75" customHeight="1">
      <c r="A10" s="50"/>
      <c r="B10" s="76">
        <v>45905.0</v>
      </c>
      <c r="C10" s="93"/>
      <c r="D10" s="93">
        <v>2240740.0</v>
      </c>
      <c r="E10" s="98">
        <v>2.6</v>
      </c>
      <c r="F10" s="54" t="s">
        <v>200</v>
      </c>
      <c r="G10" s="52"/>
      <c r="H10" s="53">
        <v>2.2</v>
      </c>
      <c r="I10" s="54" t="s">
        <v>45</v>
      </c>
      <c r="J10" s="28">
        <f>SUMIF($E$8:$E$54,2.2,$D$8:$D$45)</f>
        <v>86044626</v>
      </c>
      <c r="K10" s="13"/>
    </row>
    <row r="11" ht="18.75" customHeight="1">
      <c r="A11" s="50"/>
      <c r="B11" s="76">
        <v>45905.0</v>
      </c>
      <c r="C11" s="60"/>
      <c r="D11" s="60">
        <v>179260.0</v>
      </c>
      <c r="E11" s="98">
        <v>2.6</v>
      </c>
      <c r="F11" s="54" t="s">
        <v>201</v>
      </c>
      <c r="G11" s="52"/>
      <c r="H11" s="53">
        <v>2.3</v>
      </c>
      <c r="I11" s="54" t="s">
        <v>48</v>
      </c>
      <c r="J11" s="28">
        <f>SUMIF($E$8:$E$54,2.3,$D$8:$D$45)</f>
        <v>3000000</v>
      </c>
      <c r="K11" s="13"/>
    </row>
    <row r="12" ht="18.75" customHeight="1">
      <c r="A12" s="50"/>
      <c r="B12" s="76">
        <v>45905.0</v>
      </c>
      <c r="C12" s="60"/>
      <c r="D12" s="60">
        <v>8.6044626E7</v>
      </c>
      <c r="E12" s="98">
        <v>2.2</v>
      </c>
      <c r="F12" s="54" t="s">
        <v>202</v>
      </c>
      <c r="G12" s="52"/>
      <c r="H12" s="53">
        <v>2.4</v>
      </c>
      <c r="I12" s="54" t="s">
        <v>51</v>
      </c>
      <c r="J12" s="28">
        <f>SUMIF($E$8:$E$54,2.4,$D$8:$D$45)</f>
        <v>4000000</v>
      </c>
      <c r="K12" s="13"/>
    </row>
    <row r="13" ht="18.75" customHeight="1">
      <c r="A13" s="50"/>
      <c r="B13" s="76">
        <v>45909.0</v>
      </c>
      <c r="C13" s="60"/>
      <c r="D13" s="60">
        <v>1000000.0</v>
      </c>
      <c r="E13" s="98">
        <v>2.3</v>
      </c>
      <c r="F13" s="54" t="s">
        <v>203</v>
      </c>
      <c r="G13" s="52"/>
      <c r="H13" s="53">
        <v>2.5</v>
      </c>
      <c r="I13" s="54" t="s">
        <v>53</v>
      </c>
      <c r="J13" s="28">
        <f>SUMIF($E$8:$E$54,2.5,$D$8:$D$45)</f>
        <v>0</v>
      </c>
      <c r="K13" s="13"/>
    </row>
    <row r="14" ht="18.75" customHeight="1">
      <c r="A14" s="50"/>
      <c r="B14" s="76">
        <v>45909.0</v>
      </c>
      <c r="C14" s="60"/>
      <c r="D14" s="60">
        <v>2000000.0</v>
      </c>
      <c r="E14" s="98">
        <v>2.3</v>
      </c>
      <c r="F14" s="86" t="s">
        <v>204</v>
      </c>
      <c r="G14" s="52"/>
      <c r="H14" s="53">
        <v>2.6</v>
      </c>
      <c r="I14" s="54" t="s">
        <v>55</v>
      </c>
      <c r="J14" s="28">
        <f>SUMIF($E$8:$E$54,2.6,$D$8:$D$45)</f>
        <v>17820000</v>
      </c>
      <c r="K14" s="13"/>
    </row>
    <row r="15" ht="18.75" customHeight="1">
      <c r="A15" s="50"/>
      <c r="B15" s="76">
        <v>45929.0</v>
      </c>
      <c r="C15" s="60"/>
      <c r="D15" s="60">
        <v>2520000.0</v>
      </c>
      <c r="E15" s="98">
        <v>2.9</v>
      </c>
      <c r="F15" s="86" t="s">
        <v>205</v>
      </c>
      <c r="G15" s="52"/>
      <c r="H15" s="53">
        <v>2.7</v>
      </c>
      <c r="I15" s="54" t="s">
        <v>57</v>
      </c>
      <c r="J15" s="28">
        <f>SUMIF($E$8:$E$54,2.7,$D$8:$D$45)</f>
        <v>0</v>
      </c>
      <c r="K15" s="13"/>
    </row>
    <row r="16" ht="18.75" customHeight="1">
      <c r="A16" s="50"/>
      <c r="B16" s="76">
        <v>45929.0</v>
      </c>
      <c r="C16" s="60"/>
      <c r="D16" s="60">
        <v>5160000.0</v>
      </c>
      <c r="E16" s="98">
        <v>2.9</v>
      </c>
      <c r="F16" s="86" t="s">
        <v>206</v>
      </c>
      <c r="G16" s="52"/>
      <c r="H16" s="53">
        <v>2.8</v>
      </c>
      <c r="I16" s="54" t="s">
        <v>59</v>
      </c>
      <c r="J16" s="28">
        <f>SUMIF($E$8:$E$54,2.8,$D$8:$D$45)</f>
        <v>13150000</v>
      </c>
      <c r="K16" s="13"/>
    </row>
    <row r="17" ht="18.75" customHeight="1">
      <c r="A17" s="50"/>
      <c r="B17" s="76">
        <v>45929.0</v>
      </c>
      <c r="C17" s="60"/>
      <c r="D17" s="60">
        <v>4000000.0</v>
      </c>
      <c r="E17" s="96">
        <v>2.4</v>
      </c>
      <c r="F17" s="86" t="s">
        <v>207</v>
      </c>
      <c r="G17" s="52"/>
      <c r="H17" s="53">
        <v>2.9</v>
      </c>
      <c r="I17" s="54" t="s">
        <v>62</v>
      </c>
      <c r="J17" s="28">
        <f>SUMIF($E$8:$E$54,2.9,$D$8:$D$45)</f>
        <v>7680000</v>
      </c>
      <c r="K17" s="13"/>
    </row>
    <row r="18" ht="18.75" customHeight="1">
      <c r="A18" s="50"/>
      <c r="B18" s="97">
        <v>45924.0</v>
      </c>
      <c r="C18" s="59">
        <v>1.0E8</v>
      </c>
      <c r="D18" s="60"/>
      <c r="E18" s="96">
        <v>1.1</v>
      </c>
      <c r="F18" s="61" t="s">
        <v>208</v>
      </c>
      <c r="G18" s="52"/>
      <c r="H18" s="53">
        <v>2.11</v>
      </c>
      <c r="I18" s="54" t="s">
        <v>64</v>
      </c>
      <c r="J18" s="28">
        <f>SUMIF($E$8:$E$54,2.11,$D$8:$D$45)</f>
        <v>100000000</v>
      </c>
      <c r="K18" s="13"/>
    </row>
    <row r="19" ht="18.75" customHeight="1">
      <c r="A19" s="50"/>
      <c r="B19" s="97">
        <v>45908.0</v>
      </c>
      <c r="C19" s="60"/>
      <c r="D19" s="59">
        <v>1.315E7</v>
      </c>
      <c r="E19" s="96">
        <v>2.8</v>
      </c>
      <c r="F19" s="61" t="s">
        <v>209</v>
      </c>
      <c r="G19" s="52"/>
      <c r="H19" s="53">
        <v>2.12</v>
      </c>
      <c r="I19" s="54" t="s">
        <v>67</v>
      </c>
      <c r="J19" s="28">
        <f>SUMIF($E$8:$E$54,2.12,$D$8:$D$45)</f>
        <v>0</v>
      </c>
      <c r="K19" s="13"/>
    </row>
    <row r="20" ht="18.75" customHeight="1">
      <c r="A20" s="50"/>
      <c r="B20" s="97">
        <v>45924.0</v>
      </c>
      <c r="C20" s="60"/>
      <c r="D20" s="59">
        <v>1.0E8</v>
      </c>
      <c r="E20" s="96">
        <v>2.11</v>
      </c>
      <c r="F20" s="61" t="s">
        <v>210</v>
      </c>
      <c r="G20" s="52"/>
      <c r="H20" s="63">
        <v>3.0</v>
      </c>
      <c r="I20" s="64" t="s">
        <v>70</v>
      </c>
      <c r="J20" s="65">
        <f>J3-J8</f>
        <v>-131694626</v>
      </c>
      <c r="K20" s="13"/>
    </row>
    <row r="21" ht="18.75" customHeight="1">
      <c r="A21" s="50"/>
      <c r="B21" s="76"/>
      <c r="C21" s="60"/>
      <c r="D21" s="60"/>
      <c r="E21" s="98"/>
      <c r="F21" s="54"/>
      <c r="G21" s="13"/>
      <c r="H21" s="13"/>
      <c r="I21" s="13"/>
      <c r="J21" s="13"/>
      <c r="K21" s="13"/>
    </row>
    <row r="22" ht="18.75" customHeight="1">
      <c r="A22" s="50"/>
      <c r="B22" s="76"/>
      <c r="C22" s="60"/>
      <c r="D22" s="60"/>
      <c r="E22" s="98"/>
      <c r="F22" s="54"/>
      <c r="G22" s="13"/>
      <c r="H22" s="14" t="s">
        <v>73</v>
      </c>
      <c r="I22" s="15"/>
      <c r="J22" s="16"/>
      <c r="K22" s="13"/>
    </row>
    <row r="23" ht="18.75" customHeight="1">
      <c r="A23" s="50"/>
      <c r="B23" s="76"/>
      <c r="C23" s="60"/>
      <c r="D23" s="60"/>
      <c r="E23" s="98"/>
      <c r="F23" s="54"/>
      <c r="G23" s="52"/>
      <c r="H23" s="54"/>
      <c r="I23" s="64" t="s">
        <v>26</v>
      </c>
      <c r="J23" s="53" t="s">
        <v>27</v>
      </c>
      <c r="K23" s="13"/>
    </row>
    <row r="24" ht="18.75" customHeight="1">
      <c r="A24" s="50"/>
      <c r="B24" s="76"/>
      <c r="C24" s="60"/>
      <c r="D24" s="60"/>
      <c r="E24" s="98"/>
      <c r="F24" s="54"/>
      <c r="G24" s="52"/>
      <c r="H24" s="64" t="s">
        <v>76</v>
      </c>
      <c r="I24" s="64" t="s">
        <v>77</v>
      </c>
      <c r="J24" s="67">
        <v>0.0</v>
      </c>
      <c r="K24" s="13"/>
    </row>
    <row r="25" ht="18.75" customHeight="1">
      <c r="A25" s="50"/>
      <c r="B25" s="76"/>
      <c r="C25" s="60"/>
      <c r="D25" s="60"/>
      <c r="E25" s="98"/>
      <c r="F25" s="54"/>
      <c r="G25" s="52"/>
      <c r="H25" s="64" t="s">
        <v>78</v>
      </c>
      <c r="I25" s="64" t="s">
        <v>79</v>
      </c>
      <c r="J25" s="69">
        <f>SUM(J26:J28)</f>
        <v>100000000</v>
      </c>
      <c r="K25" s="13"/>
    </row>
    <row r="26" ht="18.75" customHeight="1">
      <c r="A26" s="50"/>
      <c r="B26" s="76"/>
      <c r="C26" s="60"/>
      <c r="D26" s="60"/>
      <c r="E26" s="98"/>
      <c r="F26" s="54"/>
      <c r="G26" s="52"/>
      <c r="H26" s="54"/>
      <c r="I26" s="54" t="s">
        <v>80</v>
      </c>
      <c r="J26" s="69">
        <f>J3</f>
        <v>100000000</v>
      </c>
      <c r="K26" s="13"/>
    </row>
    <row r="27" ht="18.75" customHeight="1">
      <c r="A27" s="50"/>
      <c r="B27" s="76"/>
      <c r="C27" s="60"/>
      <c r="D27" s="60"/>
      <c r="E27" s="98"/>
      <c r="F27" s="54"/>
      <c r="G27" s="52"/>
      <c r="H27" s="54"/>
      <c r="I27" s="54" t="s">
        <v>81</v>
      </c>
      <c r="J27" s="64"/>
      <c r="K27" s="13"/>
    </row>
    <row r="28" ht="18.75" customHeight="1">
      <c r="A28" s="50"/>
      <c r="B28" s="76"/>
      <c r="C28" s="60"/>
      <c r="D28" s="60"/>
      <c r="E28" s="98"/>
      <c r="F28" s="54"/>
      <c r="G28" s="52"/>
      <c r="H28" s="54"/>
      <c r="I28" s="54" t="s">
        <v>82</v>
      </c>
      <c r="J28" s="64"/>
      <c r="K28" s="13"/>
    </row>
    <row r="29" ht="18.75" customHeight="1">
      <c r="A29" s="50"/>
      <c r="B29" s="76"/>
      <c r="C29" s="60"/>
      <c r="D29" s="60"/>
      <c r="E29" s="98"/>
      <c r="F29" s="54"/>
      <c r="G29" s="52"/>
      <c r="H29" s="64" t="s">
        <v>83</v>
      </c>
      <c r="I29" s="64" t="s">
        <v>84</v>
      </c>
      <c r="J29" s="69">
        <f>SUM(J30:J41)</f>
        <v>231694626</v>
      </c>
      <c r="K29" s="13"/>
    </row>
    <row r="30" ht="18.75" customHeight="1">
      <c r="A30" s="50"/>
      <c r="B30" s="76"/>
      <c r="C30" s="60"/>
      <c r="D30" s="60"/>
      <c r="E30" s="98"/>
      <c r="F30" s="54"/>
      <c r="G30" s="52"/>
      <c r="H30" s="53">
        <v>2.1</v>
      </c>
      <c r="I30" s="54" t="s">
        <v>42</v>
      </c>
      <c r="J30" s="69">
        <f>J9</f>
        <v>0</v>
      </c>
      <c r="K30" s="13"/>
    </row>
    <row r="31" ht="18.75" customHeight="1">
      <c r="A31" s="50"/>
      <c r="B31" s="76"/>
      <c r="C31" s="60"/>
      <c r="D31" s="60"/>
      <c r="E31" s="98"/>
      <c r="F31" s="54"/>
      <c r="G31" s="52"/>
      <c r="H31" s="31">
        <v>1.3</v>
      </c>
      <c r="I31" s="54" t="s">
        <v>85</v>
      </c>
      <c r="J31" s="67"/>
      <c r="K31" s="13"/>
    </row>
    <row r="32" ht="18.75" customHeight="1">
      <c r="A32" s="50"/>
      <c r="B32" s="76"/>
      <c r="C32" s="60"/>
      <c r="D32" s="60"/>
      <c r="E32" s="98"/>
      <c r="F32" s="54"/>
      <c r="G32" s="52"/>
      <c r="H32" s="53">
        <v>2.2</v>
      </c>
      <c r="I32" s="54" t="s">
        <v>45</v>
      </c>
      <c r="J32" s="69">
        <f t="shared" ref="J32:J41" si="2">J10</f>
        <v>86044626</v>
      </c>
      <c r="K32" s="13"/>
    </row>
    <row r="33" ht="18.75" customHeight="1">
      <c r="A33" s="50"/>
      <c r="B33" s="76"/>
      <c r="C33" s="60"/>
      <c r="D33" s="60"/>
      <c r="E33" s="98"/>
      <c r="F33" s="54"/>
      <c r="G33" s="52"/>
      <c r="H33" s="53">
        <v>2.3</v>
      </c>
      <c r="I33" s="54" t="s">
        <v>48</v>
      </c>
      <c r="J33" s="69">
        <f t="shared" si="2"/>
        <v>3000000</v>
      </c>
      <c r="K33" s="13"/>
    </row>
    <row r="34" ht="18.75" customHeight="1">
      <c r="A34" s="50"/>
      <c r="B34" s="76"/>
      <c r="C34" s="60"/>
      <c r="D34" s="60"/>
      <c r="E34" s="98"/>
      <c r="F34" s="54"/>
      <c r="G34" s="52"/>
      <c r="H34" s="53">
        <v>2.4</v>
      </c>
      <c r="I34" s="54" t="s">
        <v>51</v>
      </c>
      <c r="J34" s="69">
        <f t="shared" si="2"/>
        <v>4000000</v>
      </c>
      <c r="K34" s="13"/>
    </row>
    <row r="35" ht="18.75" customHeight="1">
      <c r="A35" s="50"/>
      <c r="B35" s="76"/>
      <c r="C35" s="60"/>
      <c r="D35" s="60"/>
      <c r="E35" s="98"/>
      <c r="F35" s="54"/>
      <c r="G35" s="52"/>
      <c r="H35" s="53">
        <v>2.5</v>
      </c>
      <c r="I35" s="54" t="s">
        <v>53</v>
      </c>
      <c r="J35" s="69">
        <f t="shared" si="2"/>
        <v>0</v>
      </c>
      <c r="K35" s="13"/>
    </row>
    <row r="36" ht="18.75" customHeight="1">
      <c r="A36" s="50"/>
      <c r="B36" s="76"/>
      <c r="C36" s="60"/>
      <c r="D36" s="60"/>
      <c r="E36" s="98"/>
      <c r="F36" s="54"/>
      <c r="G36" s="52"/>
      <c r="H36" s="53">
        <v>2.6</v>
      </c>
      <c r="I36" s="54" t="s">
        <v>55</v>
      </c>
      <c r="J36" s="69">
        <f t="shared" si="2"/>
        <v>17820000</v>
      </c>
      <c r="K36" s="13"/>
    </row>
    <row r="37" ht="18.75" customHeight="1">
      <c r="A37" s="50"/>
      <c r="B37" s="76"/>
      <c r="C37" s="60"/>
      <c r="D37" s="60"/>
      <c r="E37" s="98"/>
      <c r="F37" s="54"/>
      <c r="G37" s="52"/>
      <c r="H37" s="53">
        <v>2.7</v>
      </c>
      <c r="I37" s="54" t="s">
        <v>57</v>
      </c>
      <c r="J37" s="69">
        <f t="shared" si="2"/>
        <v>0</v>
      </c>
      <c r="K37" s="13"/>
    </row>
    <row r="38" ht="18.75" customHeight="1">
      <c r="A38" s="50"/>
      <c r="B38" s="76"/>
      <c r="C38" s="60"/>
      <c r="D38" s="60"/>
      <c r="E38" s="98"/>
      <c r="F38" s="54"/>
      <c r="G38" s="52"/>
      <c r="H38" s="53">
        <v>2.8</v>
      </c>
      <c r="I38" s="54" t="s">
        <v>59</v>
      </c>
      <c r="J38" s="69">
        <f t="shared" si="2"/>
        <v>13150000</v>
      </c>
      <c r="K38" s="13"/>
    </row>
    <row r="39" ht="18.75" customHeight="1">
      <c r="A39" s="50"/>
      <c r="B39" s="76"/>
      <c r="C39" s="60"/>
      <c r="D39" s="60"/>
      <c r="E39" s="98"/>
      <c r="F39" s="54"/>
      <c r="G39" s="52"/>
      <c r="H39" s="53">
        <v>2.9</v>
      </c>
      <c r="I39" s="54" t="s">
        <v>62</v>
      </c>
      <c r="J39" s="69">
        <f t="shared" si="2"/>
        <v>7680000</v>
      </c>
      <c r="K39" s="13"/>
    </row>
    <row r="40" ht="18.75" customHeight="1">
      <c r="A40" s="50"/>
      <c r="B40" s="76"/>
      <c r="C40" s="60"/>
      <c r="D40" s="60"/>
      <c r="E40" s="98"/>
      <c r="F40" s="54"/>
      <c r="G40" s="52"/>
      <c r="H40" s="53">
        <v>2.11</v>
      </c>
      <c r="I40" s="54" t="s">
        <v>64</v>
      </c>
      <c r="J40" s="69">
        <f t="shared" si="2"/>
        <v>100000000</v>
      </c>
      <c r="K40" s="13"/>
    </row>
    <row r="41" ht="18.75" customHeight="1">
      <c r="A41" s="50"/>
      <c r="B41" s="76"/>
      <c r="C41" s="60"/>
      <c r="D41" s="60"/>
      <c r="E41" s="98"/>
      <c r="F41" s="54"/>
      <c r="G41" s="52"/>
      <c r="H41" s="53">
        <v>2.12</v>
      </c>
      <c r="I41" s="54" t="s">
        <v>86</v>
      </c>
      <c r="J41" s="69">
        <f t="shared" si="2"/>
        <v>0</v>
      </c>
      <c r="K41" s="13"/>
    </row>
    <row r="42" ht="18.75" customHeight="1">
      <c r="A42" s="50"/>
      <c r="B42" s="76"/>
      <c r="C42" s="60"/>
      <c r="D42" s="60"/>
      <c r="E42" s="53"/>
      <c r="F42" s="54"/>
      <c r="G42" s="52"/>
      <c r="H42" s="64" t="s">
        <v>87</v>
      </c>
      <c r="I42" s="64" t="s">
        <v>5</v>
      </c>
      <c r="J42" s="28">
        <f>J24+J25-J29</f>
        <v>-131694626</v>
      </c>
      <c r="K42" s="13"/>
    </row>
    <row r="43" ht="18.75" customHeight="1">
      <c r="A43" s="50"/>
      <c r="B43" s="76"/>
      <c r="C43" s="60"/>
      <c r="D43" s="60"/>
      <c r="E43" s="53"/>
      <c r="F43" s="54"/>
      <c r="G43" s="13"/>
      <c r="H43" s="13"/>
      <c r="I43" s="13"/>
      <c r="J43" s="13"/>
      <c r="K43" s="13"/>
    </row>
    <row r="44" ht="18.75" customHeight="1">
      <c r="A44" s="50"/>
      <c r="B44" s="76"/>
      <c r="C44" s="60"/>
      <c r="D44" s="60"/>
      <c r="E44" s="53"/>
      <c r="F44" s="54"/>
      <c r="G44" s="13"/>
      <c r="H44" s="70" t="s">
        <v>88</v>
      </c>
      <c r="I44" s="71"/>
      <c r="J44" s="71"/>
      <c r="K44" s="24"/>
    </row>
    <row r="45" ht="18.75" customHeight="1">
      <c r="A45" s="50"/>
      <c r="B45" s="76"/>
      <c r="C45" s="60"/>
      <c r="D45" s="60"/>
      <c r="E45" s="53"/>
      <c r="F45" s="54"/>
      <c r="G45" s="52"/>
      <c r="H45" s="64" t="s">
        <v>25</v>
      </c>
      <c r="I45" s="64" t="s">
        <v>26</v>
      </c>
      <c r="J45" s="53" t="s">
        <v>27</v>
      </c>
      <c r="K45" s="72" t="s">
        <v>89</v>
      </c>
    </row>
    <row r="46" ht="18.75" customHeight="1">
      <c r="A46" s="50"/>
      <c r="B46" s="76"/>
      <c r="C46" s="60"/>
      <c r="D46" s="60"/>
      <c r="E46" s="53"/>
      <c r="F46" s="54"/>
      <c r="G46" s="52"/>
      <c r="H46" s="64" t="s">
        <v>76</v>
      </c>
      <c r="I46" s="64" t="s">
        <v>77</v>
      </c>
      <c r="J46" s="69">
        <f>J42</f>
        <v>-131694626</v>
      </c>
      <c r="K46" s="73"/>
    </row>
    <row r="47" ht="18.75" customHeight="1">
      <c r="A47" s="50"/>
      <c r="B47" s="76"/>
      <c r="C47" s="60"/>
      <c r="D47" s="60"/>
      <c r="E47" s="53"/>
      <c r="F47" s="54"/>
      <c r="G47" s="52"/>
      <c r="H47" s="64" t="s">
        <v>78</v>
      </c>
      <c r="I47" s="64" t="s">
        <v>79</v>
      </c>
      <c r="J47" s="69">
        <f>SUM(J48:J54)</f>
        <v>0</v>
      </c>
      <c r="K47" s="73"/>
    </row>
    <row r="48" ht="18.75" customHeight="1">
      <c r="A48" s="50"/>
      <c r="B48" s="76"/>
      <c r="C48" s="54"/>
      <c r="D48" s="60"/>
      <c r="E48" s="53"/>
      <c r="F48" s="54"/>
      <c r="G48" s="52"/>
      <c r="H48" s="54"/>
      <c r="I48" s="54"/>
      <c r="J48" s="74"/>
      <c r="K48" s="73"/>
    </row>
    <row r="49" ht="18.75" customHeight="1">
      <c r="A49" s="50"/>
      <c r="B49" s="76"/>
      <c r="C49" s="54"/>
      <c r="D49" s="60"/>
      <c r="E49" s="53"/>
      <c r="F49" s="54"/>
      <c r="G49" s="52"/>
      <c r="H49" s="54"/>
      <c r="I49" s="54"/>
      <c r="J49" s="74"/>
      <c r="K49" s="73"/>
    </row>
    <row r="50" ht="18.75" customHeight="1">
      <c r="A50" s="50"/>
      <c r="B50" s="76"/>
      <c r="C50" s="54"/>
      <c r="D50" s="60"/>
      <c r="E50" s="53"/>
      <c r="F50" s="54"/>
      <c r="G50" s="52"/>
      <c r="H50" s="54"/>
      <c r="I50" s="54"/>
      <c r="J50" s="74"/>
      <c r="K50" s="73"/>
    </row>
    <row r="51" ht="18.75" customHeight="1">
      <c r="A51" s="50"/>
      <c r="B51" s="76"/>
      <c r="C51" s="54"/>
      <c r="D51" s="60"/>
      <c r="E51" s="53"/>
      <c r="F51" s="54"/>
      <c r="G51" s="52"/>
      <c r="H51" s="54"/>
      <c r="I51" s="54"/>
      <c r="J51" s="74"/>
      <c r="K51" s="73"/>
    </row>
    <row r="52" ht="18.75" customHeight="1">
      <c r="A52" s="50"/>
      <c r="B52" s="76"/>
      <c r="C52" s="54"/>
      <c r="D52" s="60"/>
      <c r="E52" s="53"/>
      <c r="F52" s="54"/>
      <c r="G52" s="52"/>
      <c r="H52" s="54"/>
      <c r="I52" s="54"/>
      <c r="J52" s="64"/>
      <c r="K52" s="73"/>
    </row>
    <row r="53" ht="18.75" customHeight="1">
      <c r="A53" s="50"/>
      <c r="B53" s="76"/>
      <c r="C53" s="54"/>
      <c r="D53" s="60"/>
      <c r="E53" s="53"/>
      <c r="F53" s="54"/>
      <c r="G53" s="52"/>
      <c r="H53" s="54"/>
      <c r="I53" s="54"/>
      <c r="J53" s="64"/>
      <c r="K53" s="73"/>
    </row>
    <row r="54" ht="18.75" customHeight="1">
      <c r="A54" s="50"/>
      <c r="B54" s="76"/>
      <c r="C54" s="54"/>
      <c r="D54" s="60"/>
      <c r="E54" s="53"/>
      <c r="F54" s="54"/>
      <c r="G54" s="52"/>
      <c r="H54" s="54"/>
      <c r="I54" s="54"/>
      <c r="J54" s="64"/>
      <c r="K54" s="73"/>
    </row>
    <row r="55" ht="18.75" customHeight="1">
      <c r="A55" s="50"/>
      <c r="B55" s="76"/>
      <c r="C55" s="54"/>
      <c r="D55" s="60"/>
      <c r="E55" s="53"/>
      <c r="F55" s="54"/>
      <c r="G55" s="52"/>
      <c r="H55" s="64" t="s">
        <v>83</v>
      </c>
      <c r="I55" s="64" t="s">
        <v>84</v>
      </c>
      <c r="J55" s="74">
        <f>SUM(J56:J65)</f>
        <v>101962219</v>
      </c>
      <c r="K55" s="73"/>
    </row>
    <row r="56" ht="18.75" customHeight="1">
      <c r="A56" s="50"/>
      <c r="B56" s="76"/>
      <c r="C56" s="75"/>
      <c r="D56" s="60"/>
      <c r="E56" s="53"/>
      <c r="F56" s="54"/>
      <c r="G56" s="52"/>
      <c r="H56" s="54"/>
      <c r="I56" s="54" t="s">
        <v>211</v>
      </c>
      <c r="J56" s="74">
        <v>6.605E7</v>
      </c>
      <c r="K56" s="76"/>
    </row>
    <row r="57" ht="18.75" customHeight="1">
      <c r="A57" s="50"/>
      <c r="B57" s="76"/>
      <c r="C57" s="54"/>
      <c r="D57" s="60"/>
      <c r="E57" s="53"/>
      <c r="F57" s="54"/>
      <c r="G57" s="52"/>
      <c r="H57" s="54"/>
      <c r="I57" s="54" t="s">
        <v>212</v>
      </c>
      <c r="J57" s="74">
        <v>1.6652219E7</v>
      </c>
      <c r="K57" s="76"/>
    </row>
    <row r="58" ht="18.75" customHeight="1">
      <c r="A58" s="50"/>
      <c r="B58" s="76"/>
      <c r="C58" s="54"/>
      <c r="D58" s="60"/>
      <c r="E58" s="53"/>
      <c r="F58" s="54"/>
      <c r="G58" s="52"/>
      <c r="H58" s="54"/>
      <c r="I58" s="54" t="s">
        <v>213</v>
      </c>
      <c r="J58" s="74">
        <v>1.35E7</v>
      </c>
      <c r="K58" s="76"/>
    </row>
    <row r="59" ht="18.75" customHeight="1">
      <c r="A59" s="50"/>
      <c r="B59" s="76"/>
      <c r="C59" s="75"/>
      <c r="D59" s="60"/>
      <c r="E59" s="53"/>
      <c r="F59" s="54"/>
      <c r="G59" s="52"/>
      <c r="H59" s="54"/>
      <c r="I59" s="54" t="s">
        <v>214</v>
      </c>
      <c r="J59" s="74">
        <f>1920000*3</f>
        <v>5760000</v>
      </c>
      <c r="K59" s="76"/>
    </row>
    <row r="60" ht="18.75" customHeight="1">
      <c r="A60" s="50"/>
      <c r="B60" s="76"/>
      <c r="C60" s="54"/>
      <c r="D60" s="60"/>
      <c r="E60" s="53"/>
      <c r="F60" s="54"/>
      <c r="G60" s="52"/>
      <c r="H60" s="54"/>
      <c r="I60" s="54"/>
      <c r="J60" s="74"/>
      <c r="K60" s="73"/>
    </row>
    <row r="61" ht="18.75" customHeight="1">
      <c r="A61" s="50"/>
      <c r="B61" s="76"/>
      <c r="C61" s="54"/>
      <c r="D61" s="60"/>
      <c r="E61" s="53"/>
      <c r="F61" s="54"/>
      <c r="G61" s="52"/>
      <c r="H61" s="54"/>
      <c r="I61" s="54"/>
      <c r="J61" s="74"/>
      <c r="K61" s="73"/>
    </row>
    <row r="62" ht="18.75" customHeight="1">
      <c r="A62" s="50"/>
      <c r="B62" s="76"/>
      <c r="C62" s="54"/>
      <c r="D62" s="60"/>
      <c r="E62" s="53"/>
      <c r="F62" s="54"/>
      <c r="G62" s="52"/>
      <c r="H62" s="54"/>
      <c r="I62" s="54"/>
      <c r="J62" s="74"/>
      <c r="K62" s="73"/>
    </row>
    <row r="63" ht="18.75" customHeight="1">
      <c r="A63" s="50"/>
      <c r="B63" s="76"/>
      <c r="C63" s="54"/>
      <c r="D63" s="60"/>
      <c r="E63" s="53"/>
      <c r="F63" s="54"/>
      <c r="G63" s="52"/>
      <c r="H63" s="54"/>
      <c r="I63" s="54"/>
      <c r="J63" s="74"/>
      <c r="K63" s="73"/>
    </row>
    <row r="64" ht="18.75" customHeight="1">
      <c r="A64" s="50"/>
      <c r="B64" s="76"/>
      <c r="C64" s="54"/>
      <c r="D64" s="60"/>
      <c r="E64" s="53"/>
      <c r="F64" s="54"/>
      <c r="G64" s="52"/>
      <c r="H64" s="54"/>
      <c r="I64" s="54"/>
      <c r="J64" s="74"/>
      <c r="K64" s="73"/>
    </row>
    <row r="65" ht="18.75" customHeight="1">
      <c r="A65" s="50"/>
      <c r="B65" s="76"/>
      <c r="C65" s="54"/>
      <c r="D65" s="60"/>
      <c r="E65" s="53"/>
      <c r="F65" s="54"/>
      <c r="G65" s="52"/>
      <c r="H65" s="54"/>
      <c r="I65" s="54"/>
      <c r="J65" s="74"/>
      <c r="K65" s="73"/>
    </row>
    <row r="66" ht="18.75" customHeight="1">
      <c r="A66" s="50"/>
      <c r="B66" s="76"/>
      <c r="C66" s="75"/>
      <c r="D66" s="60"/>
      <c r="E66" s="53"/>
      <c r="F66" s="54"/>
      <c r="G66" s="52"/>
      <c r="H66" s="64" t="s">
        <v>87</v>
      </c>
      <c r="I66" s="64" t="s">
        <v>5</v>
      </c>
      <c r="J66" s="28">
        <f>J46+J47-J55</f>
        <v>-233656845</v>
      </c>
      <c r="K66" s="73"/>
    </row>
    <row r="67" ht="18.75" customHeight="1">
      <c r="A67" s="77"/>
      <c r="B67" s="87"/>
      <c r="C67" s="77"/>
      <c r="D67" s="77"/>
      <c r="E67" s="77"/>
      <c r="F67" s="77"/>
      <c r="G67" s="77"/>
      <c r="H67" s="77"/>
      <c r="I67" s="77"/>
      <c r="J67" s="77"/>
      <c r="K67" s="77"/>
    </row>
    <row r="68" ht="18.75" customHeight="1">
      <c r="A68" s="77"/>
      <c r="B68" s="87"/>
      <c r="C68" s="77"/>
      <c r="D68" s="77"/>
      <c r="E68" s="77"/>
      <c r="F68" s="77"/>
      <c r="G68" s="77"/>
      <c r="H68" s="77"/>
      <c r="I68" s="77"/>
      <c r="J68" s="77"/>
      <c r="K68" s="77"/>
    </row>
    <row r="69" ht="18.75" customHeight="1">
      <c r="A69" s="77"/>
      <c r="B69" s="87"/>
      <c r="C69" s="77"/>
      <c r="D69" s="77"/>
      <c r="E69" s="77"/>
      <c r="F69" s="77"/>
      <c r="G69" s="77"/>
      <c r="H69" s="77"/>
      <c r="I69" s="77"/>
      <c r="J69" s="77"/>
      <c r="K69" s="77"/>
    </row>
    <row r="70" ht="18.75" customHeight="1">
      <c r="A70" s="77"/>
      <c r="B70" s="87"/>
      <c r="C70" s="77"/>
      <c r="D70" s="77"/>
      <c r="E70" s="77"/>
      <c r="F70" s="77"/>
      <c r="G70" s="77"/>
      <c r="H70" s="77"/>
      <c r="I70" s="77"/>
      <c r="J70" s="77"/>
      <c r="K70" s="77"/>
    </row>
    <row r="71" ht="18.75" customHeight="1">
      <c r="A71" s="77"/>
      <c r="B71" s="87"/>
      <c r="C71" s="77"/>
      <c r="D71" s="77"/>
      <c r="E71" s="77"/>
      <c r="F71" s="77"/>
      <c r="G71" s="77"/>
      <c r="H71" s="77"/>
      <c r="I71" s="77"/>
      <c r="J71" s="77"/>
      <c r="K71" s="77"/>
    </row>
    <row r="72" ht="18.75" customHeight="1">
      <c r="A72" s="77"/>
      <c r="B72" s="87"/>
      <c r="C72" s="77"/>
      <c r="D72" s="77"/>
      <c r="E72" s="77"/>
      <c r="F72" s="77"/>
      <c r="G72" s="77"/>
      <c r="H72" s="77"/>
      <c r="I72" s="77"/>
      <c r="J72" s="77"/>
      <c r="K72" s="77"/>
    </row>
    <row r="73" ht="18.75" customHeight="1">
      <c r="A73" s="77"/>
      <c r="B73" s="87"/>
      <c r="C73" s="77"/>
      <c r="D73" s="77"/>
      <c r="E73" s="77"/>
      <c r="F73" s="77"/>
      <c r="G73" s="77"/>
      <c r="H73" s="77"/>
      <c r="I73" s="77"/>
      <c r="J73" s="77"/>
      <c r="K73" s="77"/>
    </row>
    <row r="74" ht="18.75" customHeight="1">
      <c r="A74" s="77"/>
      <c r="B74" s="87"/>
      <c r="C74" s="77"/>
      <c r="D74" s="77"/>
      <c r="E74" s="77"/>
      <c r="F74" s="77"/>
      <c r="G74" s="77"/>
      <c r="H74" s="77"/>
      <c r="I74" s="77"/>
      <c r="J74" s="77"/>
      <c r="K74" s="77"/>
    </row>
    <row r="75" ht="18.75" customHeight="1">
      <c r="A75" s="77"/>
      <c r="B75" s="87"/>
      <c r="C75" s="77"/>
      <c r="D75" s="77"/>
      <c r="E75" s="77"/>
      <c r="F75" s="77"/>
      <c r="G75" s="77"/>
      <c r="H75" s="77"/>
      <c r="I75" s="77"/>
      <c r="J75" s="77"/>
      <c r="K75" s="77"/>
    </row>
    <row r="76" ht="18.75" customHeight="1">
      <c r="A76" s="77"/>
      <c r="B76" s="87"/>
      <c r="C76" s="77"/>
      <c r="D76" s="77"/>
      <c r="E76" s="77"/>
      <c r="F76" s="77"/>
      <c r="G76" s="77"/>
      <c r="H76" s="77"/>
      <c r="I76" s="77"/>
      <c r="J76" s="77"/>
      <c r="K76" s="77"/>
    </row>
    <row r="77" ht="18.75" customHeight="1">
      <c r="A77" s="77"/>
      <c r="B77" s="87"/>
      <c r="C77" s="77"/>
      <c r="D77" s="77"/>
      <c r="E77" s="77"/>
      <c r="F77" s="77"/>
      <c r="G77" s="77"/>
      <c r="H77" s="77"/>
      <c r="I77" s="77"/>
      <c r="J77" s="77"/>
      <c r="K77" s="77"/>
    </row>
    <row r="78" ht="18.75" customHeight="1">
      <c r="A78" s="77"/>
      <c r="B78" s="87"/>
      <c r="C78" s="77"/>
      <c r="D78" s="77"/>
      <c r="E78" s="77"/>
      <c r="F78" s="77"/>
      <c r="G78" s="77"/>
      <c r="H78" s="77"/>
      <c r="I78" s="77"/>
      <c r="J78" s="77"/>
      <c r="K78" s="77"/>
    </row>
    <row r="79" ht="18.75" customHeight="1">
      <c r="A79" s="77"/>
      <c r="B79" s="87"/>
      <c r="C79" s="77"/>
      <c r="D79" s="77"/>
      <c r="E79" s="77"/>
      <c r="F79" s="77"/>
      <c r="G79" s="77"/>
      <c r="H79" s="77"/>
      <c r="I79" s="77"/>
      <c r="J79" s="77"/>
      <c r="K79" s="77"/>
    </row>
    <row r="80" ht="18.75" customHeight="1">
      <c r="A80" s="77"/>
      <c r="B80" s="87"/>
      <c r="C80" s="77"/>
      <c r="D80" s="77"/>
      <c r="E80" s="77"/>
      <c r="F80" s="77"/>
      <c r="G80" s="77"/>
      <c r="H80" s="77"/>
      <c r="I80" s="77"/>
      <c r="J80" s="77"/>
      <c r="K80" s="77"/>
    </row>
    <row r="81" ht="18.75" customHeight="1">
      <c r="A81" s="77"/>
      <c r="B81" s="87"/>
      <c r="C81" s="77"/>
      <c r="D81" s="77"/>
      <c r="E81" s="77"/>
      <c r="F81" s="77"/>
      <c r="G81" s="77"/>
      <c r="H81" s="77"/>
      <c r="I81" s="77"/>
      <c r="J81" s="77"/>
      <c r="K81" s="77"/>
    </row>
    <row r="82" ht="18.75" customHeight="1">
      <c r="A82" s="77"/>
      <c r="B82" s="87"/>
      <c r="C82" s="77"/>
      <c r="D82" s="77"/>
      <c r="E82" s="77"/>
      <c r="F82" s="77"/>
      <c r="G82" s="77"/>
      <c r="H82" s="77"/>
      <c r="I82" s="77"/>
      <c r="J82" s="77"/>
      <c r="K82" s="77"/>
    </row>
    <row r="83" ht="18.75" customHeight="1">
      <c r="A83" s="77"/>
      <c r="B83" s="87"/>
      <c r="C83" s="77"/>
      <c r="D83" s="77"/>
      <c r="E83" s="77"/>
      <c r="F83" s="77"/>
      <c r="G83" s="77"/>
      <c r="H83" s="77"/>
      <c r="I83" s="77"/>
      <c r="J83" s="77"/>
      <c r="K83" s="77"/>
    </row>
    <row r="84" ht="18.75" customHeight="1">
      <c r="A84" s="77"/>
      <c r="B84" s="87"/>
      <c r="C84" s="77"/>
      <c r="D84" s="77"/>
      <c r="E84" s="77"/>
      <c r="F84" s="77"/>
      <c r="G84" s="77"/>
      <c r="H84" s="77"/>
      <c r="I84" s="77"/>
      <c r="J84" s="77"/>
      <c r="K84" s="77"/>
    </row>
    <row r="85" ht="18.75" customHeight="1">
      <c r="A85" s="77"/>
      <c r="B85" s="87"/>
      <c r="C85" s="77"/>
      <c r="D85" s="77"/>
      <c r="E85" s="77"/>
      <c r="F85" s="77"/>
      <c r="G85" s="77"/>
      <c r="H85" s="77"/>
      <c r="I85" s="77"/>
      <c r="J85" s="77"/>
      <c r="K85" s="77"/>
    </row>
    <row r="86" ht="18.75" customHeight="1">
      <c r="A86" s="77"/>
      <c r="B86" s="87"/>
      <c r="C86" s="77"/>
      <c r="D86" s="77"/>
      <c r="E86" s="77"/>
      <c r="F86" s="77"/>
      <c r="G86" s="77"/>
      <c r="H86" s="77"/>
      <c r="I86" s="77"/>
      <c r="J86" s="77"/>
      <c r="K86" s="77"/>
    </row>
    <row r="87" ht="18.75" customHeight="1">
      <c r="A87" s="77"/>
      <c r="B87" s="87"/>
      <c r="C87" s="77"/>
      <c r="D87" s="77"/>
      <c r="E87" s="77"/>
      <c r="F87" s="77"/>
      <c r="G87" s="77"/>
      <c r="H87" s="77"/>
      <c r="I87" s="77"/>
      <c r="J87" s="77"/>
      <c r="K87" s="77"/>
    </row>
    <row r="88" ht="18.75" customHeight="1">
      <c r="A88" s="77"/>
      <c r="B88" s="87"/>
      <c r="C88" s="77"/>
      <c r="D88" s="77"/>
      <c r="E88" s="77"/>
      <c r="F88" s="77"/>
      <c r="G88" s="77"/>
      <c r="H88" s="77"/>
      <c r="I88" s="77"/>
      <c r="J88" s="77"/>
      <c r="K88" s="77"/>
    </row>
    <row r="89" ht="18.75" customHeight="1">
      <c r="A89" s="77"/>
      <c r="B89" s="87"/>
      <c r="C89" s="77"/>
      <c r="D89" s="77"/>
      <c r="E89" s="77"/>
      <c r="F89" s="77"/>
      <c r="G89" s="77"/>
      <c r="H89" s="77"/>
      <c r="I89" s="77"/>
      <c r="J89" s="77"/>
      <c r="K89" s="77"/>
    </row>
    <row r="90" ht="18.75" customHeight="1">
      <c r="A90" s="77"/>
      <c r="B90" s="87"/>
      <c r="C90" s="77"/>
      <c r="D90" s="77"/>
      <c r="E90" s="77"/>
      <c r="F90" s="77"/>
      <c r="G90" s="77"/>
      <c r="H90" s="77"/>
      <c r="I90" s="77"/>
      <c r="J90" s="77"/>
      <c r="K90" s="77"/>
    </row>
    <row r="91" ht="18.75" customHeight="1">
      <c r="A91" s="77"/>
      <c r="B91" s="87"/>
      <c r="C91" s="77"/>
      <c r="D91" s="77"/>
      <c r="E91" s="77"/>
      <c r="F91" s="77"/>
      <c r="G91" s="77"/>
      <c r="H91" s="77"/>
      <c r="I91" s="77"/>
      <c r="J91" s="77"/>
      <c r="K91" s="77"/>
    </row>
    <row r="92" ht="18.75" customHeight="1">
      <c r="A92" s="77"/>
      <c r="B92" s="87"/>
      <c r="C92" s="77"/>
      <c r="D92" s="77"/>
      <c r="E92" s="77"/>
      <c r="F92" s="77"/>
      <c r="G92" s="77"/>
      <c r="H92" s="77"/>
      <c r="I92" s="77"/>
      <c r="J92" s="77"/>
      <c r="K92" s="77"/>
    </row>
    <row r="93" ht="18.75" customHeight="1">
      <c r="A93" s="77"/>
      <c r="B93" s="87"/>
      <c r="C93" s="77"/>
      <c r="D93" s="77"/>
      <c r="E93" s="77"/>
      <c r="F93" s="77"/>
      <c r="G93" s="77"/>
      <c r="H93" s="77"/>
      <c r="I93" s="77"/>
      <c r="J93" s="77"/>
      <c r="K93" s="77"/>
    </row>
    <row r="94" ht="18.75" customHeight="1">
      <c r="A94" s="77"/>
      <c r="B94" s="87"/>
      <c r="C94" s="77"/>
      <c r="D94" s="77"/>
      <c r="E94" s="77"/>
      <c r="F94" s="77"/>
      <c r="G94" s="77"/>
      <c r="H94" s="77"/>
      <c r="I94" s="77"/>
      <c r="J94" s="77"/>
      <c r="K94" s="77"/>
    </row>
    <row r="95" ht="18.75" customHeight="1">
      <c r="A95" s="77"/>
      <c r="B95" s="87"/>
      <c r="C95" s="77"/>
      <c r="D95" s="77"/>
      <c r="E95" s="77"/>
      <c r="F95" s="77"/>
      <c r="G95" s="77"/>
      <c r="H95" s="77"/>
      <c r="I95" s="77"/>
      <c r="J95" s="77"/>
      <c r="K95" s="77"/>
    </row>
    <row r="96" ht="18.75" customHeight="1">
      <c r="A96" s="77"/>
      <c r="B96" s="87"/>
      <c r="C96" s="77"/>
      <c r="D96" s="77"/>
      <c r="E96" s="77"/>
      <c r="F96" s="77"/>
      <c r="G96" s="77"/>
      <c r="H96" s="77"/>
      <c r="I96" s="77"/>
      <c r="J96" s="77"/>
      <c r="K96" s="77"/>
    </row>
    <row r="97" ht="18.75" customHeight="1">
      <c r="A97" s="77"/>
      <c r="B97" s="87"/>
      <c r="C97" s="77"/>
      <c r="D97" s="77"/>
      <c r="E97" s="77"/>
      <c r="F97" s="77"/>
      <c r="G97" s="77"/>
      <c r="H97" s="77"/>
      <c r="I97" s="77"/>
      <c r="J97" s="77"/>
      <c r="K97" s="77"/>
    </row>
    <row r="98" ht="18.75" customHeight="1">
      <c r="A98" s="77"/>
      <c r="B98" s="87"/>
      <c r="C98" s="77"/>
      <c r="D98" s="77"/>
      <c r="E98" s="77"/>
      <c r="F98" s="77"/>
      <c r="G98" s="77"/>
      <c r="H98" s="77"/>
      <c r="I98" s="77"/>
      <c r="J98" s="77"/>
      <c r="K98" s="77"/>
    </row>
    <row r="99" ht="18.75" customHeight="1">
      <c r="A99" s="77"/>
      <c r="B99" s="87"/>
      <c r="C99" s="77"/>
      <c r="D99" s="77"/>
      <c r="E99" s="77"/>
      <c r="F99" s="77"/>
      <c r="G99" s="77"/>
      <c r="H99" s="77"/>
      <c r="I99" s="77"/>
      <c r="J99" s="77"/>
      <c r="K99" s="77"/>
    </row>
    <row r="100" ht="18.75" customHeight="1">
      <c r="A100" s="77"/>
      <c r="B100" s="87"/>
      <c r="C100" s="77"/>
      <c r="D100" s="77"/>
      <c r="E100" s="77"/>
      <c r="F100" s="77"/>
      <c r="G100" s="77"/>
      <c r="H100" s="77"/>
      <c r="I100" s="77"/>
      <c r="J100" s="77"/>
      <c r="K100" s="77"/>
    </row>
    <row r="101" ht="18.75" customHeight="1">
      <c r="A101" s="77"/>
      <c r="B101" s="87"/>
      <c r="C101" s="77"/>
      <c r="D101" s="77"/>
      <c r="E101" s="77"/>
      <c r="F101" s="77"/>
      <c r="G101" s="77"/>
      <c r="H101" s="77"/>
      <c r="I101" s="77"/>
      <c r="J101" s="77"/>
      <c r="K101" s="77"/>
    </row>
    <row r="102" ht="18.75" customHeight="1">
      <c r="A102" s="77"/>
      <c r="B102" s="87"/>
      <c r="C102" s="77"/>
      <c r="D102" s="77"/>
      <c r="E102" s="77"/>
      <c r="F102" s="77"/>
      <c r="G102" s="77"/>
      <c r="H102" s="77"/>
      <c r="I102" s="77"/>
      <c r="J102" s="77"/>
      <c r="K102" s="77"/>
    </row>
    <row r="103" ht="18.75" customHeight="1">
      <c r="A103" s="77"/>
      <c r="B103" s="87"/>
      <c r="C103" s="77"/>
      <c r="D103" s="77"/>
      <c r="E103" s="77"/>
      <c r="F103" s="77"/>
      <c r="G103" s="77"/>
      <c r="H103" s="77"/>
      <c r="I103" s="77"/>
      <c r="J103" s="77"/>
      <c r="K103" s="77"/>
    </row>
    <row r="104" ht="18.75" customHeight="1">
      <c r="A104" s="77"/>
      <c r="B104" s="87"/>
      <c r="C104" s="77"/>
      <c r="D104" s="77"/>
      <c r="E104" s="77"/>
      <c r="F104" s="77"/>
      <c r="G104" s="77"/>
      <c r="H104" s="77"/>
      <c r="I104" s="77"/>
      <c r="J104" s="77"/>
      <c r="K104" s="77"/>
    </row>
    <row r="105" ht="18.75" customHeight="1">
      <c r="A105" s="77"/>
      <c r="B105" s="87"/>
      <c r="C105" s="77"/>
      <c r="D105" s="77"/>
      <c r="E105" s="77"/>
      <c r="F105" s="77"/>
      <c r="G105" s="77"/>
      <c r="H105" s="77"/>
      <c r="I105" s="77"/>
      <c r="J105" s="77"/>
      <c r="K105" s="77"/>
    </row>
    <row r="106" ht="18.75" customHeight="1">
      <c r="A106" s="77"/>
      <c r="B106" s="87"/>
      <c r="C106" s="77"/>
      <c r="D106" s="77"/>
      <c r="E106" s="77"/>
      <c r="F106" s="77"/>
      <c r="G106" s="77"/>
      <c r="H106" s="77"/>
      <c r="I106" s="77"/>
      <c r="J106" s="77"/>
      <c r="K106" s="77"/>
    </row>
    <row r="107" ht="18.75" customHeight="1">
      <c r="A107" s="77"/>
      <c r="B107" s="87"/>
      <c r="C107" s="77"/>
      <c r="D107" s="77"/>
      <c r="E107" s="77"/>
      <c r="F107" s="77"/>
      <c r="G107" s="77"/>
      <c r="H107" s="77"/>
      <c r="I107" s="77"/>
      <c r="J107" s="77"/>
      <c r="K107" s="77"/>
    </row>
    <row r="108" ht="18.75" customHeight="1">
      <c r="A108" s="77"/>
      <c r="B108" s="87"/>
      <c r="C108" s="77"/>
      <c r="D108" s="77"/>
      <c r="E108" s="77"/>
      <c r="F108" s="77"/>
      <c r="G108" s="77"/>
      <c r="H108" s="77"/>
      <c r="I108" s="77"/>
      <c r="J108" s="77"/>
      <c r="K108" s="77"/>
    </row>
    <row r="109" ht="18.75" customHeight="1">
      <c r="A109" s="77"/>
      <c r="B109" s="87"/>
      <c r="C109" s="77"/>
      <c r="D109" s="77"/>
      <c r="E109" s="77"/>
      <c r="F109" s="77"/>
      <c r="G109" s="77"/>
      <c r="H109" s="77"/>
      <c r="I109" s="77"/>
      <c r="J109" s="77"/>
      <c r="K109" s="77"/>
    </row>
    <row r="110" ht="18.75" customHeight="1">
      <c r="A110" s="77"/>
      <c r="B110" s="87"/>
      <c r="C110" s="77"/>
      <c r="D110" s="77"/>
      <c r="E110" s="77"/>
      <c r="F110" s="77"/>
      <c r="G110" s="77"/>
      <c r="H110" s="77"/>
      <c r="I110" s="77"/>
      <c r="J110" s="77"/>
      <c r="K110" s="77"/>
    </row>
    <row r="111" ht="18.75" customHeight="1">
      <c r="A111" s="77"/>
      <c r="B111" s="87"/>
      <c r="C111" s="77"/>
      <c r="D111" s="77"/>
      <c r="E111" s="77"/>
      <c r="F111" s="77"/>
      <c r="G111" s="77"/>
      <c r="H111" s="77"/>
      <c r="I111" s="77"/>
      <c r="J111" s="77"/>
      <c r="K111" s="77"/>
    </row>
    <row r="112" ht="18.75" customHeight="1">
      <c r="A112" s="77"/>
      <c r="B112" s="87"/>
      <c r="C112" s="77"/>
      <c r="D112" s="77"/>
      <c r="E112" s="77"/>
      <c r="F112" s="77"/>
      <c r="G112" s="77"/>
      <c r="H112" s="77"/>
      <c r="I112" s="77"/>
      <c r="J112" s="77"/>
      <c r="K112" s="77"/>
    </row>
    <row r="113" ht="18.75" customHeight="1">
      <c r="A113" s="77"/>
      <c r="B113" s="87"/>
      <c r="C113" s="77"/>
      <c r="D113" s="77"/>
      <c r="E113" s="77"/>
      <c r="F113" s="77"/>
      <c r="G113" s="77"/>
      <c r="H113" s="77"/>
      <c r="I113" s="77"/>
      <c r="J113" s="77"/>
      <c r="K113" s="77"/>
    </row>
    <row r="114" ht="18.75" customHeight="1">
      <c r="A114" s="77"/>
      <c r="B114" s="87"/>
      <c r="C114" s="77"/>
      <c r="D114" s="77"/>
      <c r="E114" s="77"/>
      <c r="F114" s="77"/>
      <c r="G114" s="77"/>
      <c r="H114" s="77"/>
      <c r="I114" s="77"/>
      <c r="J114" s="77"/>
      <c r="K114" s="77"/>
    </row>
    <row r="115" ht="18.75" customHeight="1">
      <c r="A115" s="77"/>
      <c r="B115" s="87"/>
      <c r="C115" s="77"/>
      <c r="D115" s="77"/>
      <c r="E115" s="77"/>
      <c r="F115" s="77"/>
      <c r="G115" s="77"/>
      <c r="H115" s="77"/>
      <c r="I115" s="77"/>
      <c r="J115" s="77"/>
      <c r="K115" s="77"/>
    </row>
    <row r="116" ht="18.75" customHeight="1">
      <c r="A116" s="77"/>
      <c r="B116" s="87"/>
      <c r="C116" s="77"/>
      <c r="D116" s="77"/>
      <c r="E116" s="77"/>
      <c r="F116" s="77"/>
      <c r="G116" s="77"/>
      <c r="H116" s="77"/>
      <c r="I116" s="77"/>
      <c r="J116" s="77"/>
      <c r="K116" s="77"/>
    </row>
    <row r="117" ht="18.75" customHeight="1">
      <c r="A117" s="77"/>
      <c r="B117" s="87"/>
      <c r="C117" s="77"/>
      <c r="D117" s="77"/>
      <c r="E117" s="77"/>
      <c r="F117" s="77"/>
      <c r="G117" s="77"/>
      <c r="H117" s="77"/>
      <c r="I117" s="77"/>
      <c r="J117" s="77"/>
      <c r="K117" s="77"/>
    </row>
    <row r="118" ht="18.75" customHeight="1">
      <c r="A118" s="77"/>
      <c r="B118" s="87"/>
      <c r="C118" s="77"/>
      <c r="D118" s="77"/>
      <c r="E118" s="77"/>
      <c r="F118" s="77"/>
      <c r="G118" s="77"/>
      <c r="H118" s="77"/>
      <c r="I118" s="77"/>
      <c r="J118" s="77"/>
      <c r="K118" s="77"/>
    </row>
    <row r="119" ht="18.75" customHeight="1">
      <c r="A119" s="77"/>
      <c r="B119" s="87"/>
      <c r="C119" s="77"/>
      <c r="D119" s="77"/>
      <c r="E119" s="77"/>
      <c r="F119" s="77"/>
      <c r="G119" s="77"/>
      <c r="H119" s="77"/>
      <c r="I119" s="77"/>
      <c r="J119" s="77"/>
      <c r="K119" s="77"/>
    </row>
    <row r="120" ht="18.75" customHeight="1">
      <c r="A120" s="77"/>
      <c r="B120" s="87"/>
      <c r="C120" s="77"/>
      <c r="D120" s="77"/>
      <c r="E120" s="77"/>
      <c r="F120" s="77"/>
      <c r="G120" s="77"/>
      <c r="H120" s="77"/>
      <c r="I120" s="77"/>
      <c r="J120" s="77"/>
      <c r="K120" s="77"/>
    </row>
    <row r="121" ht="18.75" customHeight="1">
      <c r="A121" s="77"/>
      <c r="B121" s="87"/>
      <c r="C121" s="77"/>
      <c r="D121" s="77"/>
      <c r="E121" s="77"/>
      <c r="F121" s="77"/>
      <c r="G121" s="77"/>
      <c r="H121" s="77"/>
      <c r="I121" s="77"/>
      <c r="J121" s="77"/>
      <c r="K121" s="77"/>
    </row>
    <row r="122" ht="18.75" customHeight="1">
      <c r="A122" s="77"/>
      <c r="B122" s="87"/>
      <c r="C122" s="77"/>
      <c r="D122" s="77"/>
      <c r="E122" s="77"/>
      <c r="F122" s="77"/>
      <c r="G122" s="77"/>
      <c r="H122" s="77"/>
      <c r="I122" s="77"/>
      <c r="J122" s="77"/>
      <c r="K122" s="77"/>
    </row>
    <row r="123" ht="18.75" customHeight="1">
      <c r="A123" s="77"/>
      <c r="B123" s="87"/>
      <c r="C123" s="77"/>
      <c r="D123" s="77"/>
      <c r="E123" s="77"/>
      <c r="F123" s="77"/>
      <c r="G123" s="77"/>
      <c r="H123" s="77"/>
      <c r="I123" s="77"/>
      <c r="J123" s="77"/>
      <c r="K123" s="77"/>
    </row>
    <row r="124" ht="18.75" customHeight="1">
      <c r="A124" s="77"/>
      <c r="B124" s="87"/>
      <c r="C124" s="77"/>
      <c r="D124" s="77"/>
      <c r="E124" s="77"/>
      <c r="F124" s="77"/>
      <c r="G124" s="77"/>
      <c r="H124" s="77"/>
      <c r="I124" s="77"/>
      <c r="J124" s="77"/>
      <c r="K124" s="77"/>
    </row>
    <row r="125" ht="18.75" customHeight="1">
      <c r="A125" s="77"/>
      <c r="B125" s="87"/>
      <c r="C125" s="77"/>
      <c r="D125" s="77"/>
      <c r="E125" s="77"/>
      <c r="F125" s="77"/>
      <c r="G125" s="77"/>
      <c r="H125" s="77"/>
      <c r="I125" s="77"/>
      <c r="J125" s="77"/>
      <c r="K125" s="77"/>
    </row>
    <row r="126" ht="18.75" customHeight="1">
      <c r="A126" s="77"/>
      <c r="B126" s="87"/>
      <c r="C126" s="77"/>
      <c r="D126" s="77"/>
      <c r="E126" s="77"/>
      <c r="F126" s="77"/>
      <c r="G126" s="77"/>
      <c r="H126" s="77"/>
      <c r="I126" s="77"/>
      <c r="J126" s="77"/>
      <c r="K126" s="77"/>
    </row>
    <row r="127" ht="18.75" customHeight="1">
      <c r="A127" s="77"/>
      <c r="B127" s="87"/>
      <c r="C127" s="77"/>
      <c r="D127" s="77"/>
      <c r="E127" s="77"/>
      <c r="F127" s="77"/>
      <c r="G127" s="77"/>
      <c r="H127" s="77"/>
      <c r="I127" s="77"/>
      <c r="J127" s="77"/>
      <c r="K127" s="77"/>
    </row>
    <row r="128" ht="18.75" customHeight="1">
      <c r="A128" s="77"/>
      <c r="B128" s="87"/>
      <c r="C128" s="77"/>
      <c r="D128" s="77"/>
      <c r="E128" s="77"/>
      <c r="F128" s="77"/>
      <c r="G128" s="77"/>
      <c r="H128" s="77"/>
      <c r="I128" s="77"/>
      <c r="J128" s="77"/>
      <c r="K128" s="77"/>
    </row>
    <row r="129" ht="18.75" customHeight="1">
      <c r="A129" s="77"/>
      <c r="B129" s="87"/>
      <c r="C129" s="77"/>
      <c r="D129" s="77"/>
      <c r="E129" s="77"/>
      <c r="F129" s="77"/>
      <c r="G129" s="77"/>
      <c r="H129" s="77"/>
      <c r="I129" s="77"/>
      <c r="J129" s="77"/>
      <c r="K129" s="77"/>
    </row>
    <row r="130" ht="18.75" customHeight="1">
      <c r="A130" s="77"/>
      <c r="B130" s="87"/>
      <c r="C130" s="77"/>
      <c r="D130" s="77"/>
      <c r="E130" s="77"/>
      <c r="F130" s="77"/>
      <c r="G130" s="77"/>
      <c r="H130" s="77"/>
      <c r="I130" s="77"/>
      <c r="J130" s="77"/>
      <c r="K130" s="77"/>
    </row>
    <row r="131" ht="18.75" customHeight="1">
      <c r="A131" s="77"/>
      <c r="B131" s="87"/>
      <c r="C131" s="77"/>
      <c r="D131" s="77"/>
      <c r="E131" s="77"/>
      <c r="F131" s="77"/>
      <c r="G131" s="77"/>
      <c r="H131" s="77"/>
      <c r="I131" s="77"/>
      <c r="J131" s="77"/>
      <c r="K131" s="77"/>
    </row>
    <row r="132" ht="18.75" customHeight="1">
      <c r="A132" s="77"/>
      <c r="B132" s="87"/>
      <c r="C132" s="77"/>
      <c r="D132" s="77"/>
      <c r="E132" s="77"/>
      <c r="F132" s="77"/>
      <c r="G132" s="77"/>
      <c r="H132" s="77"/>
      <c r="I132" s="77"/>
      <c r="J132" s="77"/>
      <c r="K132" s="77"/>
    </row>
    <row r="133" ht="18.75" customHeight="1">
      <c r="A133" s="77"/>
      <c r="B133" s="87"/>
      <c r="C133" s="77"/>
      <c r="D133" s="77"/>
      <c r="E133" s="77"/>
      <c r="F133" s="77"/>
      <c r="G133" s="77"/>
      <c r="H133" s="77"/>
      <c r="I133" s="77"/>
      <c r="J133" s="77"/>
      <c r="K133" s="77"/>
    </row>
    <row r="134" ht="18.75" customHeight="1">
      <c r="A134" s="77"/>
      <c r="B134" s="87"/>
      <c r="C134" s="77"/>
      <c r="D134" s="77"/>
      <c r="E134" s="77"/>
      <c r="F134" s="77"/>
      <c r="G134" s="77"/>
      <c r="H134" s="77"/>
      <c r="I134" s="77"/>
      <c r="J134" s="77"/>
      <c r="K134" s="77"/>
    </row>
    <row r="135" ht="18.75" customHeight="1">
      <c r="A135" s="77"/>
      <c r="B135" s="87"/>
      <c r="C135" s="77"/>
      <c r="D135" s="77"/>
      <c r="E135" s="77"/>
      <c r="F135" s="77"/>
      <c r="G135" s="77"/>
      <c r="H135" s="77"/>
      <c r="I135" s="77"/>
      <c r="J135" s="77"/>
      <c r="K135" s="77"/>
    </row>
    <row r="136" ht="18.75" customHeight="1">
      <c r="A136" s="77"/>
      <c r="B136" s="87"/>
      <c r="C136" s="77"/>
      <c r="D136" s="77"/>
      <c r="E136" s="77"/>
      <c r="F136" s="77"/>
      <c r="G136" s="77"/>
      <c r="H136" s="77"/>
      <c r="I136" s="77"/>
      <c r="J136" s="77"/>
      <c r="K136" s="77"/>
    </row>
    <row r="137" ht="18.75" customHeight="1">
      <c r="A137" s="77"/>
      <c r="B137" s="87"/>
      <c r="C137" s="77"/>
      <c r="D137" s="77"/>
      <c r="E137" s="77"/>
      <c r="F137" s="77"/>
      <c r="G137" s="77"/>
      <c r="H137" s="77"/>
      <c r="I137" s="77"/>
      <c r="J137" s="77"/>
      <c r="K137" s="77"/>
    </row>
    <row r="138" ht="18.75" customHeight="1">
      <c r="A138" s="77"/>
      <c r="B138" s="87"/>
      <c r="C138" s="77"/>
      <c r="D138" s="77"/>
      <c r="E138" s="77"/>
      <c r="F138" s="77"/>
      <c r="G138" s="77"/>
      <c r="H138" s="77"/>
      <c r="I138" s="77"/>
      <c r="J138" s="77"/>
      <c r="K138" s="77"/>
    </row>
    <row r="139" ht="18.75" customHeight="1">
      <c r="A139" s="77"/>
      <c r="B139" s="87"/>
      <c r="C139" s="77"/>
      <c r="D139" s="77"/>
      <c r="E139" s="77"/>
      <c r="F139" s="77"/>
      <c r="G139" s="77"/>
      <c r="H139" s="77"/>
      <c r="I139" s="77"/>
      <c r="J139" s="77"/>
      <c r="K139" s="77"/>
    </row>
    <row r="140" ht="18.75" customHeight="1">
      <c r="A140" s="77"/>
      <c r="B140" s="87"/>
      <c r="C140" s="77"/>
      <c r="D140" s="77"/>
      <c r="E140" s="77"/>
      <c r="F140" s="77"/>
      <c r="G140" s="77"/>
      <c r="H140" s="77"/>
      <c r="I140" s="77"/>
      <c r="J140" s="77"/>
      <c r="K140" s="77"/>
    </row>
    <row r="141" ht="18.75" customHeight="1">
      <c r="A141" s="77"/>
      <c r="B141" s="87"/>
      <c r="C141" s="77"/>
      <c r="D141" s="77"/>
      <c r="E141" s="77"/>
      <c r="F141" s="77"/>
      <c r="G141" s="77"/>
      <c r="H141" s="77"/>
      <c r="I141" s="77"/>
      <c r="J141" s="77"/>
      <c r="K141" s="77"/>
    </row>
    <row r="142" ht="18.75" customHeight="1">
      <c r="A142" s="77"/>
      <c r="B142" s="87"/>
      <c r="C142" s="77"/>
      <c r="D142" s="77"/>
      <c r="E142" s="77"/>
      <c r="F142" s="77"/>
      <c r="G142" s="77"/>
      <c r="H142" s="77"/>
      <c r="I142" s="77"/>
      <c r="J142" s="77"/>
      <c r="K142" s="77"/>
    </row>
    <row r="143" ht="18.75" customHeight="1">
      <c r="A143" s="77"/>
      <c r="B143" s="87"/>
      <c r="C143" s="77"/>
      <c r="D143" s="77"/>
      <c r="E143" s="77"/>
      <c r="F143" s="77"/>
      <c r="G143" s="77"/>
      <c r="H143" s="77"/>
      <c r="I143" s="77"/>
      <c r="J143" s="77"/>
      <c r="K143" s="77"/>
    </row>
    <row r="144" ht="18.75" customHeight="1">
      <c r="A144" s="77"/>
      <c r="B144" s="87"/>
      <c r="C144" s="77"/>
      <c r="D144" s="77"/>
      <c r="E144" s="77"/>
      <c r="F144" s="77"/>
      <c r="G144" s="77"/>
      <c r="H144" s="77"/>
      <c r="I144" s="77"/>
      <c r="J144" s="77"/>
      <c r="K144" s="77"/>
    </row>
    <row r="145" ht="18.75" customHeight="1">
      <c r="A145" s="77"/>
      <c r="B145" s="87"/>
      <c r="C145" s="77"/>
      <c r="D145" s="77"/>
      <c r="E145" s="77"/>
      <c r="F145" s="77"/>
      <c r="G145" s="77"/>
      <c r="H145" s="77"/>
      <c r="I145" s="77"/>
      <c r="J145" s="77"/>
      <c r="K145" s="77"/>
    </row>
    <row r="146" ht="18.75" customHeight="1">
      <c r="A146" s="77"/>
      <c r="B146" s="87"/>
      <c r="C146" s="77"/>
      <c r="D146" s="77"/>
      <c r="E146" s="77"/>
      <c r="F146" s="77"/>
      <c r="G146" s="77"/>
      <c r="H146" s="77"/>
      <c r="I146" s="77"/>
      <c r="J146" s="77"/>
      <c r="K146" s="77"/>
    </row>
    <row r="147" ht="18.75" customHeight="1">
      <c r="A147" s="77"/>
      <c r="B147" s="87"/>
      <c r="C147" s="77"/>
      <c r="D147" s="77"/>
      <c r="E147" s="77"/>
      <c r="F147" s="77"/>
      <c r="G147" s="77"/>
      <c r="H147" s="77"/>
      <c r="I147" s="77"/>
      <c r="J147" s="77"/>
      <c r="K147" s="77"/>
    </row>
    <row r="148" ht="18.75" customHeight="1">
      <c r="A148" s="77"/>
      <c r="B148" s="87"/>
      <c r="C148" s="77"/>
      <c r="D148" s="77"/>
      <c r="E148" s="77"/>
      <c r="F148" s="77"/>
      <c r="G148" s="77"/>
      <c r="H148" s="77"/>
      <c r="I148" s="77"/>
      <c r="J148" s="77"/>
      <c r="K148" s="77"/>
    </row>
    <row r="149" ht="18.75" customHeight="1">
      <c r="A149" s="77"/>
      <c r="B149" s="87"/>
      <c r="C149" s="77"/>
      <c r="D149" s="77"/>
      <c r="E149" s="77"/>
      <c r="F149" s="77"/>
      <c r="G149" s="77"/>
      <c r="H149" s="77"/>
      <c r="I149" s="77"/>
      <c r="J149" s="77"/>
      <c r="K149" s="77"/>
    </row>
    <row r="150" ht="18.75" customHeight="1">
      <c r="A150" s="77"/>
      <c r="B150" s="87"/>
      <c r="C150" s="77"/>
      <c r="D150" s="77"/>
      <c r="E150" s="77"/>
      <c r="F150" s="77"/>
      <c r="G150" s="77"/>
      <c r="H150" s="77"/>
      <c r="I150" s="77"/>
      <c r="J150" s="77"/>
      <c r="K150" s="77"/>
    </row>
    <row r="151" ht="18.75" customHeight="1">
      <c r="A151" s="77"/>
      <c r="B151" s="87"/>
      <c r="C151" s="77"/>
      <c r="D151" s="77"/>
      <c r="E151" s="77"/>
      <c r="F151" s="77"/>
      <c r="G151" s="77"/>
      <c r="H151" s="77"/>
      <c r="I151" s="77"/>
      <c r="J151" s="77"/>
      <c r="K151" s="77"/>
    </row>
    <row r="152" ht="18.75" customHeight="1">
      <c r="A152" s="77"/>
      <c r="B152" s="87"/>
      <c r="C152" s="77"/>
      <c r="D152" s="77"/>
      <c r="E152" s="77"/>
      <c r="F152" s="77"/>
      <c r="G152" s="77"/>
      <c r="H152" s="77"/>
      <c r="I152" s="77"/>
      <c r="J152" s="77"/>
      <c r="K152" s="77"/>
    </row>
    <row r="153" ht="18.75" customHeight="1">
      <c r="A153" s="77"/>
      <c r="B153" s="87"/>
      <c r="C153" s="77"/>
      <c r="D153" s="77"/>
      <c r="E153" s="77"/>
      <c r="F153" s="77"/>
      <c r="G153" s="77"/>
      <c r="H153" s="77"/>
      <c r="I153" s="77"/>
      <c r="J153" s="77"/>
      <c r="K153" s="77"/>
    </row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mergeCells count="12">
    <mergeCell ref="C3:D3"/>
    <mergeCell ref="C4:C5"/>
    <mergeCell ref="D4:D5"/>
    <mergeCell ref="H22:J22"/>
    <mergeCell ref="H44:K44"/>
    <mergeCell ref="A1:F1"/>
    <mergeCell ref="H1:J1"/>
    <mergeCell ref="A2:F2"/>
    <mergeCell ref="A3:A6"/>
    <mergeCell ref="B3:B6"/>
    <mergeCell ref="E3:E6"/>
    <mergeCell ref="F3:F6"/>
  </mergeCells>
  <dataValidations>
    <dataValidation type="list" allowBlank="1" showErrorMessage="1" sqref="H4:H6 H9:H19 H30:H41 E42:E153">
      <formula1>"1.1,1.2,1.3,2.1,2.2,2.3,2.4,2.5,2.6,2.7,2.8,2.9,2.11,2.12"</formula1>
    </dataValidation>
    <dataValidation type="list" allowBlank="1" showErrorMessage="1" sqref="E8:E41">
      <formula1>"1,1,1,2,2,1,2,11,2,12,2,2,2,3,2,5,2,6,2,7,2,8,2,9,2,4,1,3"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6.0"/>
    <col customWidth="1" min="2" max="2" width="15.0"/>
    <col customWidth="1" min="3" max="4" width="17.0"/>
    <col customWidth="1" min="5" max="5" width="13.0"/>
    <col customWidth="1" min="6" max="6" width="47.0"/>
    <col customWidth="1" min="7" max="7" width="7.0"/>
    <col customWidth="1" min="8" max="8" width="14.0"/>
    <col customWidth="1" min="9" max="9" width="46.0"/>
    <col customWidth="1" min="10" max="10" width="16.0"/>
    <col customWidth="1" min="11" max="26" width="14.0"/>
  </cols>
  <sheetData>
    <row r="1" ht="18.75" customHeight="1">
      <c r="A1" s="11" t="s">
        <v>22</v>
      </c>
      <c r="F1" s="12"/>
      <c r="G1" s="13"/>
      <c r="H1" s="103" t="s">
        <v>23</v>
      </c>
      <c r="I1" s="15"/>
      <c r="J1" s="16"/>
      <c r="K1" s="13"/>
    </row>
    <row r="2" ht="18.75" customHeight="1">
      <c r="A2" s="36" t="s">
        <v>215</v>
      </c>
      <c r="G2" s="13"/>
      <c r="H2" s="104" t="s">
        <v>25</v>
      </c>
      <c r="I2" s="19" t="s">
        <v>26</v>
      </c>
      <c r="J2" s="20" t="s">
        <v>27</v>
      </c>
      <c r="K2" s="13"/>
    </row>
    <row r="3" ht="18.75" customHeight="1">
      <c r="A3" s="21" t="s">
        <v>28</v>
      </c>
      <c r="B3" s="21" t="s">
        <v>29</v>
      </c>
      <c r="C3" s="23" t="s">
        <v>30</v>
      </c>
      <c r="D3" s="24"/>
      <c r="E3" s="105" t="s">
        <v>25</v>
      </c>
      <c r="F3" s="21" t="s">
        <v>26</v>
      </c>
      <c r="G3" s="13"/>
      <c r="H3" s="106" t="s">
        <v>216</v>
      </c>
      <c r="I3" s="27" t="s">
        <v>31</v>
      </c>
      <c r="J3" s="28">
        <f>SUM(J4:J6)</f>
        <v>472747966</v>
      </c>
      <c r="K3" s="13"/>
    </row>
    <row r="4" ht="18.75" customHeight="1">
      <c r="A4" s="29"/>
      <c r="B4" s="29"/>
      <c r="C4" s="21" t="s">
        <v>32</v>
      </c>
      <c r="D4" s="21" t="s">
        <v>33</v>
      </c>
      <c r="E4" s="30"/>
      <c r="F4" s="29"/>
      <c r="G4" s="13"/>
      <c r="H4" s="107" t="s">
        <v>217</v>
      </c>
      <c r="I4" s="32" t="s">
        <v>34</v>
      </c>
      <c r="J4" s="28">
        <f>SUMIF($E$8:$E$54,1.1,$C$8:$C$45)</f>
        <v>0</v>
      </c>
      <c r="K4" s="13"/>
    </row>
    <row r="5" ht="18.75" customHeight="1">
      <c r="A5" s="29"/>
      <c r="B5" s="29"/>
      <c r="C5" s="33"/>
      <c r="D5" s="33"/>
      <c r="E5" s="30"/>
      <c r="F5" s="29"/>
      <c r="G5" s="13"/>
      <c r="H5" s="107" t="s">
        <v>218</v>
      </c>
      <c r="I5" s="32" t="s">
        <v>35</v>
      </c>
      <c r="J5" s="28">
        <f>SUMIF($E$8:$E$54,1.2,$C$8:$C$45)</f>
        <v>472747966</v>
      </c>
      <c r="K5" s="13"/>
    </row>
    <row r="6" ht="18.75" customHeight="1">
      <c r="A6" s="33"/>
      <c r="B6" s="33"/>
      <c r="C6" s="34"/>
      <c r="D6" s="34"/>
      <c r="E6" s="35"/>
      <c r="F6" s="33"/>
      <c r="G6" s="13"/>
      <c r="H6" s="107" t="s">
        <v>219</v>
      </c>
      <c r="I6" s="32" t="s">
        <v>36</v>
      </c>
      <c r="J6" s="28">
        <f>SUMIF($E$8:$E$54,1.3,$C$8:$C$45)</f>
        <v>0</v>
      </c>
      <c r="K6" s="13"/>
    </row>
    <row r="7" ht="21.75" customHeight="1">
      <c r="A7" s="36"/>
      <c r="B7" s="37"/>
      <c r="C7" s="42">
        <f t="shared" ref="C7:D7" si="1">SUM(C8:C100)</f>
        <v>472747966</v>
      </c>
      <c r="D7" s="42">
        <f t="shared" si="1"/>
        <v>359524900</v>
      </c>
      <c r="E7" s="39"/>
      <c r="F7" s="40"/>
      <c r="G7" s="40" t="s">
        <v>37</v>
      </c>
      <c r="H7" s="41"/>
      <c r="I7" s="40"/>
      <c r="J7" s="42"/>
      <c r="K7" s="40"/>
    </row>
    <row r="8" ht="18.75" customHeight="1">
      <c r="A8" s="99"/>
      <c r="B8" s="108">
        <v>45938.0</v>
      </c>
      <c r="C8" s="101"/>
      <c r="D8" s="109">
        <v>1.6652E7</v>
      </c>
      <c r="E8" s="110" t="s">
        <v>46</v>
      </c>
      <c r="F8" s="111" t="s">
        <v>220</v>
      </c>
      <c r="G8" s="13"/>
      <c r="H8" s="106" t="s">
        <v>221</v>
      </c>
      <c r="I8" s="49" t="s">
        <v>40</v>
      </c>
      <c r="J8" s="28">
        <f>SUM(J9:J19)</f>
        <v>359524900</v>
      </c>
      <c r="K8" s="13"/>
    </row>
    <row r="9" ht="18.75" customHeight="1">
      <c r="A9" s="50"/>
      <c r="B9" s="108">
        <v>45938.0</v>
      </c>
      <c r="C9" s="93"/>
      <c r="D9" s="112">
        <v>1.31E7</v>
      </c>
      <c r="E9" s="113" t="s">
        <v>60</v>
      </c>
      <c r="F9" s="66" t="s">
        <v>222</v>
      </c>
      <c r="G9" s="52"/>
      <c r="H9" s="113" t="s">
        <v>223</v>
      </c>
      <c r="I9" s="54" t="s">
        <v>42</v>
      </c>
      <c r="J9" s="55">
        <f>SUMIF($E$8:$E$54,2.1,$D$8:$D$45)</f>
        <v>0</v>
      </c>
      <c r="K9" s="13"/>
    </row>
    <row r="10" ht="18.75" customHeight="1">
      <c r="A10" s="50"/>
      <c r="B10" s="108">
        <v>45951.0</v>
      </c>
      <c r="C10" s="60"/>
      <c r="D10" s="59">
        <v>1297000.0</v>
      </c>
      <c r="E10" s="113" t="s">
        <v>49</v>
      </c>
      <c r="F10" s="66" t="s">
        <v>50</v>
      </c>
      <c r="G10" s="52"/>
      <c r="H10" s="113" t="s">
        <v>224</v>
      </c>
      <c r="I10" s="54" t="s">
        <v>45</v>
      </c>
      <c r="J10" s="28">
        <f>SUMIF($E$8:$E$54,2.2,$D$8:$D$45)</f>
        <v>78763000</v>
      </c>
      <c r="K10" s="13"/>
    </row>
    <row r="11" ht="18.75" customHeight="1">
      <c r="A11" s="50"/>
      <c r="B11" s="108">
        <v>45952.0</v>
      </c>
      <c r="C11" s="60"/>
      <c r="D11" s="59">
        <v>4212900.0</v>
      </c>
      <c r="E11" s="113" t="s">
        <v>225</v>
      </c>
      <c r="F11" s="66" t="s">
        <v>226</v>
      </c>
      <c r="G11" s="52"/>
      <c r="H11" s="113" t="s">
        <v>227</v>
      </c>
      <c r="I11" s="54" t="s">
        <v>48</v>
      </c>
      <c r="J11" s="28">
        <f>SUMIF($E$8:$E$54,2.3,$D$8:$D$45)</f>
        <v>245500000</v>
      </c>
      <c r="K11" s="13"/>
    </row>
    <row r="12" ht="18.75" customHeight="1">
      <c r="A12" s="50"/>
      <c r="B12" s="108">
        <v>45933.0</v>
      </c>
      <c r="C12" s="60"/>
      <c r="D12" s="59">
        <v>6.605E7</v>
      </c>
      <c r="E12" s="113" t="s">
        <v>43</v>
      </c>
      <c r="F12" s="66" t="s">
        <v>228</v>
      </c>
      <c r="G12" s="52"/>
      <c r="H12" s="113" t="s">
        <v>229</v>
      </c>
      <c r="I12" s="54" t="s">
        <v>51</v>
      </c>
      <c r="J12" s="28">
        <f>SUMIF($E$8:$E$54,2.4,$D$8:$D$45)</f>
        <v>4212900</v>
      </c>
      <c r="K12" s="13"/>
    </row>
    <row r="13" ht="18.75" customHeight="1">
      <c r="A13" s="50"/>
      <c r="B13" s="108">
        <v>45954.0</v>
      </c>
      <c r="C13" s="60"/>
      <c r="D13" s="59">
        <v>4713000.0</v>
      </c>
      <c r="E13" s="113" t="s">
        <v>43</v>
      </c>
      <c r="F13" s="66" t="s">
        <v>230</v>
      </c>
      <c r="G13" s="52"/>
      <c r="H13" s="113" t="s">
        <v>231</v>
      </c>
      <c r="I13" s="54" t="s">
        <v>53</v>
      </c>
      <c r="J13" s="28">
        <f>SUMIF($E$8:$E$54,2.5,$D$8:$D$45)</f>
        <v>0</v>
      </c>
      <c r="K13" s="13"/>
    </row>
    <row r="14" ht="18.75" customHeight="1">
      <c r="A14" s="50"/>
      <c r="B14" s="108">
        <v>45946.0</v>
      </c>
      <c r="C14" s="60"/>
      <c r="D14" s="59">
        <v>1500000.0</v>
      </c>
      <c r="E14" s="114" t="s">
        <v>68</v>
      </c>
      <c r="F14" s="61" t="s">
        <v>232</v>
      </c>
      <c r="G14" s="52"/>
      <c r="H14" s="113" t="s">
        <v>233</v>
      </c>
      <c r="I14" s="54" t="s">
        <v>55</v>
      </c>
      <c r="J14" s="28">
        <f>SUMIF($E$8:$E$54,2.6,$D$8:$D$45)</f>
        <v>16652000</v>
      </c>
      <c r="K14" s="13"/>
    </row>
    <row r="15" ht="18.75" customHeight="1">
      <c r="A15" s="50"/>
      <c r="B15" s="108">
        <v>45956.0</v>
      </c>
      <c r="C15" s="60"/>
      <c r="D15" s="59">
        <v>1.0E7</v>
      </c>
      <c r="E15" s="114" t="s">
        <v>68</v>
      </c>
      <c r="F15" s="61" t="s">
        <v>234</v>
      </c>
      <c r="G15" s="52"/>
      <c r="H15" s="113" t="s">
        <v>235</v>
      </c>
      <c r="I15" s="54" t="s">
        <v>57</v>
      </c>
      <c r="J15" s="28">
        <f>SUMIF($E$8:$E$54,2.7,$D$8:$D$45)</f>
        <v>1297000</v>
      </c>
      <c r="K15" s="13"/>
    </row>
    <row r="16" ht="18.75" customHeight="1">
      <c r="A16" s="50"/>
      <c r="B16" s="108">
        <v>45957.0</v>
      </c>
      <c r="C16" s="60"/>
      <c r="D16" s="59">
        <v>2.0E7</v>
      </c>
      <c r="E16" s="114" t="s">
        <v>68</v>
      </c>
      <c r="F16" s="61" t="s">
        <v>234</v>
      </c>
      <c r="G16" s="52"/>
      <c r="H16" s="113" t="s">
        <v>236</v>
      </c>
      <c r="I16" s="54" t="s">
        <v>59</v>
      </c>
      <c r="J16" s="28">
        <f>SUMIF($E$8:$E$54,2.8,$D$8:$D$45)</f>
        <v>13100000</v>
      </c>
      <c r="K16" s="13"/>
    </row>
    <row r="17" ht="18.75" customHeight="1">
      <c r="A17" s="50"/>
      <c r="B17" s="108">
        <v>45957.0</v>
      </c>
      <c r="C17" s="60"/>
      <c r="D17" s="59">
        <v>8000000.0</v>
      </c>
      <c r="E17" s="114" t="s">
        <v>43</v>
      </c>
      <c r="F17" s="61" t="s">
        <v>237</v>
      </c>
      <c r="G17" s="52"/>
      <c r="H17" s="113" t="s">
        <v>238</v>
      </c>
      <c r="I17" s="54" t="s">
        <v>62</v>
      </c>
      <c r="J17" s="28">
        <f>SUMIF($E$8:$E$54,2.9,$D$8:$D$45)</f>
        <v>0</v>
      </c>
      <c r="K17" s="13"/>
    </row>
    <row r="18" ht="18.75" customHeight="1">
      <c r="A18" s="50"/>
      <c r="B18" s="108">
        <v>45959.0</v>
      </c>
      <c r="C18" s="60"/>
      <c r="D18" s="59">
        <v>800000.0</v>
      </c>
      <c r="E18" s="114" t="s">
        <v>68</v>
      </c>
      <c r="F18" s="61" t="s">
        <v>239</v>
      </c>
      <c r="G18" s="52"/>
      <c r="H18" s="113" t="s">
        <v>240</v>
      </c>
      <c r="I18" s="54" t="s">
        <v>64</v>
      </c>
      <c r="J18" s="28">
        <f>SUMIF($E$8:$E$54,2.11,$D$8:$D$45)</f>
        <v>0</v>
      </c>
      <c r="K18" s="13"/>
    </row>
    <row r="19" ht="18.75" customHeight="1">
      <c r="A19" s="50"/>
      <c r="B19" s="108">
        <v>45960.0</v>
      </c>
      <c r="C19" s="60"/>
      <c r="D19" s="59">
        <v>3.0E7</v>
      </c>
      <c r="E19" s="114" t="s">
        <v>68</v>
      </c>
      <c r="F19" s="61" t="s">
        <v>234</v>
      </c>
      <c r="G19" s="52"/>
      <c r="H19" s="113" t="s">
        <v>241</v>
      </c>
      <c r="I19" s="54" t="s">
        <v>67</v>
      </c>
      <c r="J19" s="28">
        <f>SUMIF($E$8:$E$54,2.12,$D$8:$D$45)</f>
        <v>0</v>
      </c>
      <c r="K19" s="13"/>
    </row>
    <row r="20" ht="18.75" customHeight="1">
      <c r="A20" s="50"/>
      <c r="B20" s="108">
        <v>45960.0</v>
      </c>
      <c r="C20" s="60"/>
      <c r="D20" s="59">
        <v>200000.0</v>
      </c>
      <c r="E20" s="114" t="s">
        <v>68</v>
      </c>
      <c r="F20" s="61" t="s">
        <v>234</v>
      </c>
      <c r="G20" s="52"/>
      <c r="H20" s="115" t="s">
        <v>242</v>
      </c>
      <c r="I20" s="64" t="s">
        <v>70</v>
      </c>
      <c r="J20" s="65">
        <f>J3-J8</f>
        <v>113223066</v>
      </c>
      <c r="K20" s="13"/>
    </row>
    <row r="21" ht="18.75" customHeight="1">
      <c r="A21" s="50"/>
      <c r="B21" s="108">
        <v>45954.0</v>
      </c>
      <c r="C21" s="59">
        <v>8.25E7</v>
      </c>
      <c r="D21" s="59"/>
      <c r="E21" s="113" t="s">
        <v>114</v>
      </c>
      <c r="F21" s="66" t="s">
        <v>243</v>
      </c>
      <c r="G21" s="13"/>
      <c r="H21" s="116"/>
      <c r="I21" s="13"/>
      <c r="J21" s="13"/>
      <c r="K21" s="13"/>
    </row>
    <row r="22" ht="18.75" customHeight="1">
      <c r="A22" s="50"/>
      <c r="B22" s="108">
        <v>45954.0</v>
      </c>
      <c r="C22" s="59">
        <v>8.25E7</v>
      </c>
      <c r="D22" s="60"/>
      <c r="E22" s="113" t="s">
        <v>114</v>
      </c>
      <c r="F22" s="66" t="s">
        <v>244</v>
      </c>
      <c r="G22" s="13"/>
      <c r="H22" s="103" t="s">
        <v>73</v>
      </c>
      <c r="I22" s="15"/>
      <c r="J22" s="16"/>
      <c r="K22" s="13"/>
    </row>
    <row r="23" ht="18.75" customHeight="1">
      <c r="A23" s="50"/>
      <c r="B23" s="108">
        <v>45940.0</v>
      </c>
      <c r="C23" s="59">
        <v>8.25E7</v>
      </c>
      <c r="D23" s="60"/>
      <c r="E23" s="113" t="s">
        <v>114</v>
      </c>
      <c r="F23" s="66" t="s">
        <v>245</v>
      </c>
      <c r="G23" s="52"/>
      <c r="H23" s="117"/>
      <c r="I23" s="64" t="s">
        <v>26</v>
      </c>
      <c r="J23" s="53" t="s">
        <v>27</v>
      </c>
      <c r="K23" s="13"/>
    </row>
    <row r="24" ht="18.75" customHeight="1">
      <c r="A24" s="50"/>
      <c r="B24" s="108">
        <v>45943.0</v>
      </c>
      <c r="C24" s="59">
        <v>8.25E7</v>
      </c>
      <c r="D24" s="60"/>
      <c r="E24" s="113" t="s">
        <v>114</v>
      </c>
      <c r="F24" s="66" t="s">
        <v>246</v>
      </c>
      <c r="G24" s="52"/>
      <c r="H24" s="118" t="s">
        <v>76</v>
      </c>
      <c r="I24" s="64" t="s">
        <v>77</v>
      </c>
      <c r="J24" s="67">
        <v>0.0</v>
      </c>
      <c r="K24" s="13"/>
    </row>
    <row r="25" ht="18.75" customHeight="1">
      <c r="A25" s="50"/>
      <c r="B25" s="97">
        <v>45939.0</v>
      </c>
      <c r="C25" s="59">
        <v>1.2E8</v>
      </c>
      <c r="D25" s="60"/>
      <c r="E25" s="113" t="s">
        <v>114</v>
      </c>
      <c r="F25" s="66" t="s">
        <v>247</v>
      </c>
      <c r="G25" s="52"/>
      <c r="H25" s="118" t="s">
        <v>78</v>
      </c>
      <c r="I25" s="64" t="s">
        <v>79</v>
      </c>
      <c r="J25" s="69">
        <f>SUM(J26:J28)</f>
        <v>472747966</v>
      </c>
      <c r="K25" s="13"/>
    </row>
    <row r="26" ht="18.75" customHeight="1">
      <c r="A26" s="50"/>
      <c r="B26" s="97">
        <v>45950.0</v>
      </c>
      <c r="C26" s="59">
        <v>2747966.0</v>
      </c>
      <c r="D26" s="60"/>
      <c r="E26" s="113" t="s">
        <v>114</v>
      </c>
      <c r="F26" s="66" t="s">
        <v>248</v>
      </c>
      <c r="G26" s="52"/>
      <c r="H26" s="117"/>
      <c r="I26" s="54" t="s">
        <v>80</v>
      </c>
      <c r="J26" s="69">
        <f>J3</f>
        <v>472747966</v>
      </c>
      <c r="K26" s="13"/>
    </row>
    <row r="27" ht="18.75" customHeight="1">
      <c r="A27" s="50"/>
      <c r="B27" s="97">
        <v>45948.0</v>
      </c>
      <c r="C27" s="59">
        <v>2.0E7</v>
      </c>
      <c r="D27" s="60"/>
      <c r="E27" s="113" t="s">
        <v>114</v>
      </c>
      <c r="F27" s="66" t="s">
        <v>249</v>
      </c>
      <c r="G27" s="52"/>
      <c r="H27" s="117"/>
      <c r="I27" s="54" t="s">
        <v>81</v>
      </c>
      <c r="J27" s="64"/>
      <c r="K27" s="13"/>
    </row>
    <row r="28" ht="18.75" customHeight="1">
      <c r="A28" s="50"/>
      <c r="B28" s="97">
        <v>45938.0</v>
      </c>
      <c r="C28" s="60"/>
      <c r="D28" s="59">
        <v>2000000.0</v>
      </c>
      <c r="E28" s="114" t="s">
        <v>68</v>
      </c>
      <c r="F28" s="61" t="s">
        <v>234</v>
      </c>
      <c r="G28" s="52"/>
      <c r="H28" s="117"/>
      <c r="I28" s="54" t="s">
        <v>82</v>
      </c>
      <c r="J28" s="64"/>
      <c r="K28" s="13"/>
    </row>
    <row r="29" ht="18.75" customHeight="1">
      <c r="A29" s="50"/>
      <c r="B29" s="97">
        <v>45939.0</v>
      </c>
      <c r="C29" s="60"/>
      <c r="D29" s="59">
        <v>2000000.0</v>
      </c>
      <c r="E29" s="114" t="s">
        <v>68</v>
      </c>
      <c r="F29" s="61" t="s">
        <v>234</v>
      </c>
      <c r="G29" s="52"/>
      <c r="H29" s="118" t="s">
        <v>83</v>
      </c>
      <c r="I29" s="64" t="s">
        <v>84</v>
      </c>
      <c r="J29" s="69">
        <f>SUM(J30:J41)</f>
        <v>359524900</v>
      </c>
      <c r="K29" s="13"/>
    </row>
    <row r="30" ht="18.75" customHeight="1">
      <c r="A30" s="50"/>
      <c r="B30" s="97">
        <v>45939.0</v>
      </c>
      <c r="C30" s="60"/>
      <c r="D30" s="59">
        <v>2000000.0</v>
      </c>
      <c r="E30" s="114" t="s">
        <v>68</v>
      </c>
      <c r="F30" s="61" t="s">
        <v>234</v>
      </c>
      <c r="G30" s="52"/>
      <c r="H30" s="113" t="s">
        <v>223</v>
      </c>
      <c r="I30" s="54" t="s">
        <v>42</v>
      </c>
      <c r="J30" s="69">
        <f>J9</f>
        <v>0</v>
      </c>
      <c r="K30" s="13"/>
    </row>
    <row r="31" ht="18.75" customHeight="1">
      <c r="A31" s="50"/>
      <c r="B31" s="97">
        <v>45939.0</v>
      </c>
      <c r="C31" s="60"/>
      <c r="D31" s="59">
        <v>2000000.0</v>
      </c>
      <c r="E31" s="114" t="s">
        <v>68</v>
      </c>
      <c r="F31" s="61" t="s">
        <v>234</v>
      </c>
      <c r="G31" s="52"/>
      <c r="H31" s="107" t="s">
        <v>219</v>
      </c>
      <c r="I31" s="54" t="s">
        <v>85</v>
      </c>
      <c r="J31" s="67"/>
      <c r="K31" s="13"/>
    </row>
    <row r="32" ht="18.75" customHeight="1">
      <c r="A32" s="50"/>
      <c r="B32" s="97">
        <v>45940.0</v>
      </c>
      <c r="C32" s="60"/>
      <c r="D32" s="59">
        <v>5000000.0</v>
      </c>
      <c r="E32" s="114" t="s">
        <v>68</v>
      </c>
      <c r="F32" s="61" t="s">
        <v>234</v>
      </c>
      <c r="G32" s="52"/>
      <c r="H32" s="113" t="s">
        <v>224</v>
      </c>
      <c r="I32" s="54" t="s">
        <v>45</v>
      </c>
      <c r="J32" s="69">
        <f t="shared" ref="J32:J41" si="2">J10</f>
        <v>78763000</v>
      </c>
      <c r="K32" s="13"/>
    </row>
    <row r="33" ht="18.75" customHeight="1">
      <c r="A33" s="50"/>
      <c r="B33" s="97">
        <v>45943.0</v>
      </c>
      <c r="C33" s="60"/>
      <c r="D33" s="59">
        <v>1.0E7</v>
      </c>
      <c r="E33" s="114" t="s">
        <v>68</v>
      </c>
      <c r="F33" s="61" t="s">
        <v>234</v>
      </c>
      <c r="G33" s="52"/>
      <c r="H33" s="113" t="s">
        <v>227</v>
      </c>
      <c r="I33" s="54" t="s">
        <v>48</v>
      </c>
      <c r="J33" s="69">
        <f t="shared" si="2"/>
        <v>245500000</v>
      </c>
      <c r="K33" s="13"/>
    </row>
    <row r="34" ht="18.75" customHeight="1">
      <c r="A34" s="50"/>
      <c r="B34" s="97">
        <v>45944.0</v>
      </c>
      <c r="C34" s="60"/>
      <c r="D34" s="59">
        <v>1.0E7</v>
      </c>
      <c r="E34" s="114" t="s">
        <v>68</v>
      </c>
      <c r="F34" s="61" t="s">
        <v>234</v>
      </c>
      <c r="G34" s="52"/>
      <c r="H34" s="113" t="s">
        <v>229</v>
      </c>
      <c r="I34" s="54" t="s">
        <v>51</v>
      </c>
      <c r="J34" s="69">
        <f t="shared" si="2"/>
        <v>4212900</v>
      </c>
      <c r="K34" s="13"/>
    </row>
    <row r="35" ht="18.75" customHeight="1">
      <c r="A35" s="50"/>
      <c r="B35" s="97">
        <v>45948.0</v>
      </c>
      <c r="C35" s="60"/>
      <c r="D35" s="59">
        <v>1.0E7</v>
      </c>
      <c r="E35" s="114" t="s">
        <v>68</v>
      </c>
      <c r="F35" s="61" t="s">
        <v>234</v>
      </c>
      <c r="G35" s="52"/>
      <c r="H35" s="113" t="s">
        <v>231</v>
      </c>
      <c r="I35" s="54" t="s">
        <v>53</v>
      </c>
      <c r="J35" s="69">
        <f t="shared" si="2"/>
        <v>0</v>
      </c>
      <c r="K35" s="13"/>
    </row>
    <row r="36" ht="18.75" customHeight="1">
      <c r="A36" s="50"/>
      <c r="B36" s="97">
        <v>45950.0</v>
      </c>
      <c r="C36" s="60"/>
      <c r="D36" s="59">
        <v>1.0E7</v>
      </c>
      <c r="E36" s="114" t="s">
        <v>68</v>
      </c>
      <c r="F36" s="61" t="s">
        <v>234</v>
      </c>
      <c r="G36" s="52"/>
      <c r="H36" s="113" t="s">
        <v>233</v>
      </c>
      <c r="I36" s="54" t="s">
        <v>55</v>
      </c>
      <c r="J36" s="69">
        <f t="shared" si="2"/>
        <v>16652000</v>
      </c>
      <c r="K36" s="13"/>
    </row>
    <row r="37" ht="18.75" customHeight="1">
      <c r="A37" s="50"/>
      <c r="B37" s="97">
        <v>45950.0</v>
      </c>
      <c r="C37" s="60"/>
      <c r="D37" s="59">
        <v>1.0E7</v>
      </c>
      <c r="E37" s="114" t="s">
        <v>68</v>
      </c>
      <c r="F37" s="61" t="s">
        <v>234</v>
      </c>
      <c r="G37" s="52"/>
      <c r="H37" s="113" t="s">
        <v>235</v>
      </c>
      <c r="I37" s="54" t="s">
        <v>57</v>
      </c>
      <c r="J37" s="69">
        <f t="shared" si="2"/>
        <v>1297000</v>
      </c>
      <c r="K37" s="13"/>
    </row>
    <row r="38" ht="18.75" customHeight="1">
      <c r="A38" s="50"/>
      <c r="B38" s="97">
        <v>45950.0</v>
      </c>
      <c r="C38" s="60"/>
      <c r="D38" s="59">
        <v>1.0E7</v>
      </c>
      <c r="E38" s="114" t="s">
        <v>68</v>
      </c>
      <c r="F38" s="61" t="s">
        <v>234</v>
      </c>
      <c r="G38" s="52"/>
      <c r="H38" s="113" t="s">
        <v>236</v>
      </c>
      <c r="I38" s="54" t="s">
        <v>59</v>
      </c>
      <c r="J38" s="69">
        <f t="shared" si="2"/>
        <v>13100000</v>
      </c>
      <c r="K38" s="13"/>
    </row>
    <row r="39" ht="18.75" customHeight="1">
      <c r="A39" s="50"/>
      <c r="B39" s="97">
        <v>45951.0</v>
      </c>
      <c r="C39" s="60"/>
      <c r="D39" s="59">
        <v>1.0E7</v>
      </c>
      <c r="E39" s="114" t="s">
        <v>68</v>
      </c>
      <c r="F39" s="61" t="s">
        <v>234</v>
      </c>
      <c r="G39" s="52"/>
      <c r="H39" s="113" t="s">
        <v>238</v>
      </c>
      <c r="I39" s="54" t="s">
        <v>62</v>
      </c>
      <c r="J39" s="69">
        <f t="shared" si="2"/>
        <v>0</v>
      </c>
      <c r="K39" s="13"/>
    </row>
    <row r="40" ht="18.75" customHeight="1">
      <c r="A40" s="50"/>
      <c r="B40" s="97">
        <v>45952.0</v>
      </c>
      <c r="C40" s="60"/>
      <c r="D40" s="59">
        <v>1.0E7</v>
      </c>
      <c r="E40" s="114" t="s">
        <v>68</v>
      </c>
      <c r="F40" s="61" t="s">
        <v>234</v>
      </c>
      <c r="G40" s="52"/>
      <c r="H40" s="113" t="s">
        <v>240</v>
      </c>
      <c r="I40" s="54" t="s">
        <v>64</v>
      </c>
      <c r="J40" s="69">
        <f t="shared" si="2"/>
        <v>0</v>
      </c>
      <c r="K40" s="13"/>
    </row>
    <row r="41" ht="18.75" customHeight="1">
      <c r="A41" s="50"/>
      <c r="B41" s="97">
        <v>45954.0</v>
      </c>
      <c r="C41" s="60"/>
      <c r="D41" s="59">
        <v>2.0E7</v>
      </c>
      <c r="E41" s="114" t="s">
        <v>68</v>
      </c>
      <c r="F41" s="61" t="s">
        <v>234</v>
      </c>
      <c r="G41" s="52"/>
      <c r="H41" s="113" t="s">
        <v>241</v>
      </c>
      <c r="I41" s="54" t="s">
        <v>86</v>
      </c>
      <c r="J41" s="69">
        <f t="shared" si="2"/>
        <v>0</v>
      </c>
      <c r="K41" s="13"/>
    </row>
    <row r="42" ht="18.75" customHeight="1">
      <c r="A42" s="50"/>
      <c r="B42" s="97">
        <v>45954.0</v>
      </c>
      <c r="C42" s="60"/>
      <c r="D42" s="59">
        <v>2.0E7</v>
      </c>
      <c r="E42" s="114" t="s">
        <v>68</v>
      </c>
      <c r="F42" s="61" t="s">
        <v>234</v>
      </c>
      <c r="G42" s="52"/>
      <c r="H42" s="118" t="s">
        <v>87</v>
      </c>
      <c r="I42" s="64" t="s">
        <v>5</v>
      </c>
      <c r="J42" s="28">
        <f>J24+J25-J29</f>
        <v>113223066</v>
      </c>
      <c r="K42" s="13"/>
    </row>
    <row r="43" ht="18.75" customHeight="1">
      <c r="A43" s="50"/>
      <c r="B43" s="97">
        <v>45956.0</v>
      </c>
      <c r="C43" s="60"/>
      <c r="D43" s="59">
        <v>1.0E7</v>
      </c>
      <c r="E43" s="114" t="s">
        <v>68</v>
      </c>
      <c r="F43" s="61" t="s">
        <v>234</v>
      </c>
      <c r="G43" s="13"/>
      <c r="H43" s="116"/>
      <c r="I43" s="13"/>
      <c r="J43" s="13"/>
      <c r="K43" s="13"/>
    </row>
    <row r="44" ht="18.75" customHeight="1">
      <c r="A44" s="50"/>
      <c r="B44" s="97">
        <v>45957.0</v>
      </c>
      <c r="C44" s="60"/>
      <c r="D44" s="59">
        <v>2.0E7</v>
      </c>
      <c r="E44" s="114" t="s">
        <v>68</v>
      </c>
      <c r="F44" s="61" t="s">
        <v>234</v>
      </c>
      <c r="G44" s="13"/>
      <c r="H44" s="119" t="s">
        <v>88</v>
      </c>
      <c r="I44" s="71"/>
      <c r="J44" s="71"/>
      <c r="K44" s="24"/>
    </row>
    <row r="45" ht="18.75" customHeight="1">
      <c r="A45" s="50"/>
      <c r="B45" s="97">
        <v>45960.0</v>
      </c>
      <c r="C45" s="60"/>
      <c r="D45" s="59">
        <v>2.0E7</v>
      </c>
      <c r="E45" s="114" t="s">
        <v>68</v>
      </c>
      <c r="F45" s="61" t="s">
        <v>234</v>
      </c>
      <c r="G45" s="52"/>
      <c r="H45" s="118" t="s">
        <v>25</v>
      </c>
      <c r="I45" s="64" t="s">
        <v>26</v>
      </c>
      <c r="J45" s="53" t="s">
        <v>27</v>
      </c>
      <c r="K45" s="72" t="s">
        <v>89</v>
      </c>
    </row>
    <row r="46" ht="18.75" customHeight="1">
      <c r="A46" s="50"/>
      <c r="B46" s="76"/>
      <c r="C46" s="60"/>
      <c r="D46" s="60"/>
      <c r="E46" s="114" t="s">
        <v>68</v>
      </c>
      <c r="F46" s="61" t="s">
        <v>234</v>
      </c>
      <c r="G46" s="52"/>
      <c r="H46" s="118" t="s">
        <v>76</v>
      </c>
      <c r="I46" s="64" t="s">
        <v>77</v>
      </c>
      <c r="J46" s="69">
        <f>J42</f>
        <v>113223066</v>
      </c>
      <c r="K46" s="73"/>
    </row>
    <row r="47" ht="18.75" customHeight="1">
      <c r="A47" s="50"/>
      <c r="B47" s="76"/>
      <c r="C47" s="60"/>
      <c r="D47" s="60"/>
      <c r="E47" s="120"/>
      <c r="F47" s="54"/>
      <c r="G47" s="52"/>
      <c r="H47" s="118" t="s">
        <v>78</v>
      </c>
      <c r="I47" s="64" t="s">
        <v>79</v>
      </c>
      <c r="J47" s="69">
        <f>SUM(J48:J54)</f>
        <v>270000000</v>
      </c>
      <c r="K47" s="73"/>
    </row>
    <row r="48" ht="18.75" customHeight="1">
      <c r="A48" s="50"/>
      <c r="B48" s="76"/>
      <c r="C48" s="54"/>
      <c r="D48" s="60"/>
      <c r="E48" s="120"/>
      <c r="F48" s="54"/>
      <c r="G48" s="52"/>
      <c r="H48" s="117"/>
      <c r="I48" s="66" t="s">
        <v>250</v>
      </c>
      <c r="J48" s="121">
        <v>5.0E7</v>
      </c>
      <c r="K48" s="73"/>
    </row>
    <row r="49" ht="18.75" customHeight="1">
      <c r="A49" s="50"/>
      <c r="B49" s="76"/>
      <c r="C49" s="54"/>
      <c r="D49" s="60"/>
      <c r="E49" s="120"/>
      <c r="F49" s="54"/>
      <c r="G49" s="52"/>
      <c r="H49" s="117"/>
      <c r="I49" s="66" t="s">
        <v>251</v>
      </c>
      <c r="J49" s="121">
        <v>1.1E8</v>
      </c>
      <c r="K49" s="73"/>
    </row>
    <row r="50" ht="18.75" customHeight="1">
      <c r="A50" s="50"/>
      <c r="B50" s="76"/>
      <c r="C50" s="54"/>
      <c r="D50" s="60"/>
      <c r="E50" s="120"/>
      <c r="F50" s="54"/>
      <c r="G50" s="52"/>
      <c r="H50" s="117"/>
      <c r="I50" s="66" t="s">
        <v>252</v>
      </c>
      <c r="J50" s="121">
        <v>1.1E8</v>
      </c>
      <c r="K50" s="73"/>
    </row>
    <row r="51" ht="18.75" customHeight="1">
      <c r="A51" s="50"/>
      <c r="B51" s="76"/>
      <c r="C51" s="54"/>
      <c r="D51" s="60"/>
      <c r="E51" s="120"/>
      <c r="F51" s="54"/>
      <c r="G51" s="52"/>
      <c r="H51" s="117"/>
      <c r="I51" s="54"/>
      <c r="J51" s="74"/>
      <c r="K51" s="73"/>
    </row>
    <row r="52" ht="18.75" customHeight="1">
      <c r="A52" s="50"/>
      <c r="B52" s="76"/>
      <c r="C52" s="54"/>
      <c r="D52" s="60"/>
      <c r="E52" s="120"/>
      <c r="F52" s="54"/>
      <c r="G52" s="52"/>
      <c r="H52" s="117"/>
      <c r="I52" s="54"/>
      <c r="J52" s="64"/>
      <c r="K52" s="73"/>
    </row>
    <row r="53" ht="18.75" customHeight="1">
      <c r="A53" s="50"/>
      <c r="B53" s="76"/>
      <c r="C53" s="54"/>
      <c r="D53" s="60"/>
      <c r="E53" s="120"/>
      <c r="F53" s="54"/>
      <c r="G53" s="52"/>
      <c r="H53" s="117"/>
      <c r="I53" s="54"/>
      <c r="J53" s="64"/>
      <c r="K53" s="73"/>
    </row>
    <row r="54" ht="18.75" customHeight="1">
      <c r="A54" s="50"/>
      <c r="B54" s="76"/>
      <c r="C54" s="54"/>
      <c r="D54" s="60"/>
      <c r="E54" s="120"/>
      <c r="F54" s="54"/>
      <c r="G54" s="52"/>
      <c r="H54" s="117"/>
      <c r="I54" s="54"/>
      <c r="J54" s="64"/>
      <c r="K54" s="73"/>
    </row>
    <row r="55" ht="18.75" customHeight="1">
      <c r="A55" s="50"/>
      <c r="B55" s="76"/>
      <c r="C55" s="54"/>
      <c r="D55" s="60"/>
      <c r="E55" s="120"/>
      <c r="F55" s="54"/>
      <c r="G55" s="52"/>
      <c r="H55" s="118" t="s">
        <v>83</v>
      </c>
      <c r="I55" s="64" t="s">
        <v>84</v>
      </c>
      <c r="J55" s="74">
        <f>SUM(J56:J65)</f>
        <v>80024000</v>
      </c>
      <c r="K55" s="73"/>
    </row>
    <row r="56" ht="18.75" customHeight="1">
      <c r="A56" s="50"/>
      <c r="B56" s="76"/>
      <c r="C56" s="75"/>
      <c r="D56" s="60"/>
      <c r="E56" s="120"/>
      <c r="F56" s="54"/>
      <c r="G56" s="52"/>
      <c r="H56" s="117"/>
      <c r="I56" s="66" t="s">
        <v>253</v>
      </c>
      <c r="J56" s="74">
        <f>3000000+15000000+30000000+1000000+1500000</f>
        <v>50500000</v>
      </c>
      <c r="K56" s="97">
        <v>45966.0</v>
      </c>
    </row>
    <row r="57" ht="18.75" customHeight="1">
      <c r="A57" s="50"/>
      <c r="B57" s="76"/>
      <c r="C57" s="54"/>
      <c r="D57" s="60"/>
      <c r="E57" s="120"/>
      <c r="F57" s="54"/>
      <c r="G57" s="52"/>
      <c r="H57" s="117"/>
      <c r="I57" s="66" t="s">
        <v>254</v>
      </c>
      <c r="J57" s="121">
        <v>5600000.0</v>
      </c>
      <c r="K57" s="97">
        <v>45966.0</v>
      </c>
    </row>
    <row r="58" ht="18.75" customHeight="1">
      <c r="A58" s="50"/>
      <c r="B58" s="76"/>
      <c r="C58" s="54"/>
      <c r="D58" s="60"/>
      <c r="E58" s="120"/>
      <c r="F58" s="54"/>
      <c r="G58" s="52"/>
      <c r="H58" s="117"/>
      <c r="I58" s="66" t="s">
        <v>255</v>
      </c>
      <c r="J58" s="74"/>
      <c r="K58" s="76"/>
    </row>
    <row r="59" ht="18.75" customHeight="1">
      <c r="A59" s="50"/>
      <c r="B59" s="76"/>
      <c r="C59" s="75"/>
      <c r="D59" s="60"/>
      <c r="E59" s="120"/>
      <c r="F59" s="54"/>
      <c r="G59" s="52"/>
      <c r="H59" s="117"/>
      <c r="I59" s="66" t="s">
        <v>256</v>
      </c>
      <c r="J59" s="121">
        <v>1.1124E7</v>
      </c>
      <c r="K59" s="97">
        <v>45966.0</v>
      </c>
    </row>
    <row r="60" ht="18.75" customHeight="1">
      <c r="A60" s="50"/>
      <c r="B60" s="76"/>
      <c r="C60" s="54"/>
      <c r="D60" s="60"/>
      <c r="E60" s="120"/>
      <c r="F60" s="54"/>
      <c r="G60" s="52"/>
      <c r="H60" s="117"/>
      <c r="I60" s="66" t="s">
        <v>257</v>
      </c>
      <c r="J60" s="121">
        <v>1.28E7</v>
      </c>
      <c r="K60" s="97">
        <v>45966.0</v>
      </c>
    </row>
    <row r="61" ht="18.75" customHeight="1">
      <c r="A61" s="50"/>
      <c r="B61" s="76"/>
      <c r="C61" s="54"/>
      <c r="D61" s="60"/>
      <c r="E61" s="120"/>
      <c r="F61" s="54"/>
      <c r="G61" s="52"/>
      <c r="H61" s="117"/>
      <c r="I61" s="54"/>
      <c r="J61" s="74"/>
      <c r="K61" s="73"/>
    </row>
    <row r="62" ht="18.75" customHeight="1">
      <c r="A62" s="50"/>
      <c r="B62" s="76"/>
      <c r="C62" s="54"/>
      <c r="D62" s="60"/>
      <c r="E62" s="120"/>
      <c r="F62" s="54"/>
      <c r="G62" s="52"/>
      <c r="H62" s="117"/>
      <c r="I62" s="54"/>
      <c r="J62" s="74"/>
      <c r="K62" s="73"/>
    </row>
    <row r="63" ht="18.75" customHeight="1">
      <c r="A63" s="50"/>
      <c r="B63" s="76"/>
      <c r="C63" s="54"/>
      <c r="D63" s="60"/>
      <c r="E63" s="120"/>
      <c r="F63" s="54"/>
      <c r="G63" s="52"/>
      <c r="H63" s="117"/>
      <c r="I63" s="54"/>
      <c r="J63" s="74"/>
      <c r="K63" s="73"/>
    </row>
    <row r="64" ht="18.75" customHeight="1">
      <c r="A64" s="50"/>
      <c r="B64" s="76"/>
      <c r="C64" s="54"/>
      <c r="D64" s="60"/>
      <c r="E64" s="120"/>
      <c r="F64" s="54"/>
      <c r="G64" s="52"/>
      <c r="H64" s="117"/>
      <c r="I64" s="54"/>
      <c r="J64" s="74"/>
      <c r="K64" s="73"/>
    </row>
    <row r="65" ht="18.75" customHeight="1">
      <c r="A65" s="50"/>
      <c r="B65" s="76"/>
      <c r="C65" s="54"/>
      <c r="D65" s="60"/>
      <c r="E65" s="120"/>
      <c r="F65" s="54"/>
      <c r="G65" s="52"/>
      <c r="H65" s="117"/>
      <c r="I65" s="54"/>
      <c r="J65" s="74"/>
      <c r="K65" s="73"/>
    </row>
    <row r="66" ht="18.75" customHeight="1">
      <c r="A66" s="50"/>
      <c r="B66" s="76"/>
      <c r="C66" s="75"/>
      <c r="D66" s="60"/>
      <c r="E66" s="120"/>
      <c r="F66" s="54"/>
      <c r="G66" s="52"/>
      <c r="H66" s="118" t="s">
        <v>87</v>
      </c>
      <c r="I66" s="64" t="s">
        <v>5</v>
      </c>
      <c r="J66" s="28">
        <f>J46+J47-J55</f>
        <v>303199066</v>
      </c>
      <c r="K66" s="73"/>
    </row>
    <row r="67" ht="18.75" customHeight="1">
      <c r="A67" s="77"/>
      <c r="B67" s="87"/>
      <c r="C67" s="77"/>
      <c r="D67" s="60"/>
      <c r="E67" s="122"/>
      <c r="F67" s="77"/>
      <c r="G67" s="77"/>
      <c r="H67" s="122"/>
      <c r="I67" s="77"/>
      <c r="J67" s="77"/>
      <c r="K67" s="77"/>
    </row>
    <row r="68" ht="18.75" customHeight="1">
      <c r="A68" s="77"/>
      <c r="B68" s="87"/>
      <c r="C68" s="77"/>
      <c r="D68" s="60"/>
      <c r="E68" s="122"/>
      <c r="F68" s="77"/>
      <c r="G68" s="77"/>
      <c r="H68" s="122"/>
      <c r="I68" s="77"/>
      <c r="J68" s="77"/>
      <c r="K68" s="77"/>
    </row>
    <row r="69" ht="18.75" customHeight="1">
      <c r="A69" s="77"/>
      <c r="B69" s="87"/>
      <c r="C69" s="77"/>
      <c r="D69" s="60"/>
      <c r="E69" s="122"/>
      <c r="F69" s="77"/>
      <c r="G69" s="77"/>
      <c r="H69" s="122"/>
      <c r="I69" s="77"/>
      <c r="J69" s="77"/>
      <c r="K69" s="77"/>
    </row>
    <row r="70" ht="18.75" customHeight="1">
      <c r="A70" s="77"/>
      <c r="B70" s="87"/>
      <c r="C70" s="77"/>
      <c r="D70" s="60"/>
      <c r="E70" s="122"/>
      <c r="F70" s="77"/>
      <c r="G70" s="77"/>
      <c r="H70" s="122"/>
      <c r="I70" s="77"/>
      <c r="J70" s="77"/>
      <c r="K70" s="77"/>
    </row>
    <row r="71" ht="18.75" customHeight="1">
      <c r="A71" s="77"/>
      <c r="B71" s="87"/>
      <c r="C71" s="77"/>
      <c r="D71" s="60"/>
      <c r="E71" s="122"/>
      <c r="F71" s="77"/>
      <c r="G71" s="77"/>
      <c r="H71" s="122"/>
      <c r="I71" s="77"/>
      <c r="J71" s="77"/>
      <c r="K71" s="77"/>
    </row>
    <row r="72" ht="18.75" customHeight="1">
      <c r="A72" s="77"/>
      <c r="B72" s="87"/>
      <c r="C72" s="77"/>
      <c r="D72" s="60"/>
      <c r="E72" s="122"/>
      <c r="F72" s="77"/>
      <c r="G72" s="77"/>
      <c r="H72" s="122"/>
      <c r="I72" s="77"/>
      <c r="J72" s="77"/>
      <c r="K72" s="77"/>
    </row>
    <row r="73" ht="18.75" customHeight="1">
      <c r="A73" s="77"/>
      <c r="B73" s="87"/>
      <c r="C73" s="77"/>
      <c r="D73" s="60"/>
      <c r="E73" s="122"/>
      <c r="F73" s="77"/>
      <c r="G73" s="77"/>
      <c r="H73" s="122"/>
      <c r="I73" s="77"/>
      <c r="J73" s="77"/>
      <c r="K73" s="77"/>
    </row>
    <row r="74" ht="18.75" customHeight="1">
      <c r="A74" s="77"/>
      <c r="B74" s="87"/>
      <c r="C74" s="77"/>
      <c r="D74" s="60"/>
      <c r="E74" s="122"/>
      <c r="F74" s="77"/>
      <c r="G74" s="77"/>
      <c r="H74" s="122"/>
      <c r="I74" s="77"/>
      <c r="J74" s="77"/>
      <c r="K74" s="77"/>
    </row>
    <row r="75" ht="18.75" customHeight="1">
      <c r="A75" s="77"/>
      <c r="B75" s="87"/>
      <c r="C75" s="77"/>
      <c r="D75" s="60"/>
      <c r="E75" s="122"/>
      <c r="F75" s="77"/>
      <c r="G75" s="77"/>
      <c r="H75" s="122"/>
      <c r="I75" s="77"/>
      <c r="J75" s="77"/>
      <c r="K75" s="77"/>
    </row>
    <row r="76" ht="18.75" customHeight="1">
      <c r="A76" s="77"/>
      <c r="B76" s="87"/>
      <c r="C76" s="77"/>
      <c r="D76" s="60"/>
      <c r="E76" s="122"/>
      <c r="F76" s="77"/>
      <c r="G76" s="77"/>
      <c r="H76" s="122"/>
      <c r="I76" s="77"/>
      <c r="J76" s="77"/>
      <c r="K76" s="77"/>
    </row>
    <row r="77" ht="18.75" customHeight="1">
      <c r="A77" s="77"/>
      <c r="B77" s="87"/>
      <c r="C77" s="77"/>
      <c r="D77" s="60"/>
      <c r="E77" s="122"/>
      <c r="F77" s="77"/>
      <c r="G77" s="77"/>
      <c r="H77" s="122"/>
      <c r="I77" s="77"/>
      <c r="J77" s="77"/>
      <c r="K77" s="77"/>
    </row>
    <row r="78" ht="18.75" customHeight="1">
      <c r="A78" s="77"/>
      <c r="B78" s="87"/>
      <c r="C78" s="77"/>
      <c r="D78" s="60"/>
      <c r="E78" s="122"/>
      <c r="F78" s="77"/>
      <c r="G78" s="77"/>
      <c r="H78" s="122"/>
      <c r="I78" s="77"/>
      <c r="J78" s="77"/>
      <c r="K78" s="77"/>
    </row>
    <row r="79" ht="18.75" customHeight="1">
      <c r="A79" s="77"/>
      <c r="B79" s="87"/>
      <c r="C79" s="77"/>
      <c r="D79" s="60"/>
      <c r="E79" s="122"/>
      <c r="F79" s="77"/>
      <c r="G79" s="77"/>
      <c r="H79" s="122"/>
      <c r="I79" s="77"/>
      <c r="J79" s="77"/>
      <c r="K79" s="77"/>
    </row>
    <row r="80" ht="18.75" customHeight="1">
      <c r="A80" s="77"/>
      <c r="B80" s="87"/>
      <c r="C80" s="77"/>
      <c r="D80" s="60"/>
      <c r="E80" s="122"/>
      <c r="F80" s="77"/>
      <c r="G80" s="77"/>
      <c r="H80" s="122"/>
      <c r="I80" s="77"/>
      <c r="J80" s="77"/>
      <c r="K80" s="77"/>
    </row>
    <row r="81" ht="18.75" customHeight="1">
      <c r="A81" s="77"/>
      <c r="B81" s="87"/>
      <c r="C81" s="77"/>
      <c r="D81" s="60"/>
      <c r="E81" s="122"/>
      <c r="F81" s="77"/>
      <c r="G81" s="77"/>
      <c r="H81" s="122"/>
      <c r="I81" s="77"/>
      <c r="J81" s="77"/>
      <c r="K81" s="77"/>
    </row>
    <row r="82" ht="18.75" customHeight="1">
      <c r="A82" s="77"/>
      <c r="B82" s="87"/>
      <c r="C82" s="77"/>
      <c r="D82" s="60"/>
      <c r="E82" s="122"/>
      <c r="F82" s="77"/>
      <c r="G82" s="77"/>
      <c r="H82" s="122"/>
      <c r="I82" s="77"/>
      <c r="J82" s="77"/>
      <c r="K82" s="77"/>
    </row>
    <row r="83" ht="18.75" customHeight="1">
      <c r="A83" s="77"/>
      <c r="B83" s="87"/>
      <c r="C83" s="77"/>
      <c r="D83" s="60"/>
      <c r="E83" s="122"/>
      <c r="F83" s="77"/>
      <c r="G83" s="77"/>
      <c r="H83" s="122"/>
      <c r="I83" s="77"/>
      <c r="J83" s="77"/>
      <c r="K83" s="77"/>
    </row>
    <row r="84" ht="18.75" customHeight="1">
      <c r="A84" s="77"/>
      <c r="B84" s="87"/>
      <c r="C84" s="77"/>
      <c r="D84" s="60"/>
      <c r="E84" s="122"/>
      <c r="F84" s="77"/>
      <c r="G84" s="77"/>
      <c r="H84" s="122"/>
      <c r="I84" s="77"/>
      <c r="J84" s="77"/>
      <c r="K84" s="77"/>
    </row>
    <row r="85" ht="18.75" customHeight="1">
      <c r="A85" s="77"/>
      <c r="B85" s="87"/>
      <c r="C85" s="77"/>
      <c r="D85" s="60"/>
      <c r="E85" s="122"/>
      <c r="F85" s="77"/>
      <c r="G85" s="77"/>
      <c r="H85" s="122"/>
      <c r="I85" s="77"/>
      <c r="J85" s="77"/>
      <c r="K85" s="77"/>
    </row>
    <row r="86" ht="18.75" customHeight="1">
      <c r="A86" s="77"/>
      <c r="B86" s="87"/>
      <c r="C86" s="77"/>
      <c r="D86" s="60"/>
      <c r="E86" s="122"/>
      <c r="F86" s="77"/>
      <c r="G86" s="77"/>
      <c r="H86" s="122"/>
      <c r="I86" s="77"/>
      <c r="J86" s="77"/>
      <c r="K86" s="77"/>
    </row>
    <row r="87" ht="18.75" customHeight="1">
      <c r="A87" s="77"/>
      <c r="B87" s="87"/>
      <c r="C87" s="77"/>
      <c r="D87" s="60"/>
      <c r="E87" s="122"/>
      <c r="F87" s="77"/>
      <c r="G87" s="77"/>
      <c r="H87" s="122"/>
      <c r="I87" s="77"/>
      <c r="J87" s="77"/>
      <c r="K87" s="77"/>
    </row>
    <row r="88" ht="18.75" customHeight="1">
      <c r="A88" s="77"/>
      <c r="B88" s="87"/>
      <c r="C88" s="77"/>
      <c r="D88" s="60"/>
      <c r="E88" s="122"/>
      <c r="F88" s="77"/>
      <c r="G88" s="77"/>
      <c r="H88" s="122"/>
      <c r="I88" s="77"/>
      <c r="J88" s="77"/>
      <c r="K88" s="77"/>
    </row>
    <row r="89" ht="18.75" customHeight="1">
      <c r="A89" s="77"/>
      <c r="B89" s="87"/>
      <c r="C89" s="77"/>
      <c r="D89" s="60"/>
      <c r="E89" s="122"/>
      <c r="F89" s="77"/>
      <c r="G89" s="77"/>
      <c r="H89" s="122"/>
      <c r="I89" s="77"/>
      <c r="J89" s="77"/>
      <c r="K89" s="77"/>
    </row>
    <row r="90" ht="18.75" customHeight="1">
      <c r="A90" s="77"/>
      <c r="B90" s="87"/>
      <c r="C90" s="77"/>
      <c r="D90" s="60"/>
      <c r="E90" s="122"/>
      <c r="F90" s="77"/>
      <c r="G90" s="77"/>
      <c r="H90" s="122"/>
      <c r="I90" s="77"/>
      <c r="J90" s="77"/>
      <c r="K90" s="77"/>
    </row>
    <row r="91" ht="18.75" customHeight="1">
      <c r="A91" s="77"/>
      <c r="B91" s="87"/>
      <c r="C91" s="77"/>
      <c r="D91" s="60"/>
      <c r="E91" s="122"/>
      <c r="F91" s="77"/>
      <c r="G91" s="77"/>
      <c r="H91" s="122"/>
      <c r="I91" s="77"/>
      <c r="J91" s="77"/>
      <c r="K91" s="77"/>
    </row>
    <row r="92" ht="18.75" customHeight="1">
      <c r="A92" s="77"/>
      <c r="B92" s="87"/>
      <c r="C92" s="77"/>
      <c r="D92" s="60"/>
      <c r="E92" s="122"/>
      <c r="F92" s="77"/>
      <c r="G92" s="77"/>
      <c r="H92" s="122"/>
      <c r="I92" s="77"/>
      <c r="J92" s="77"/>
      <c r="K92" s="77"/>
    </row>
    <row r="93" ht="18.75" customHeight="1">
      <c r="A93" s="77"/>
      <c r="B93" s="87"/>
      <c r="C93" s="77"/>
      <c r="D93" s="60"/>
      <c r="E93" s="122"/>
      <c r="F93" s="77"/>
      <c r="G93" s="77"/>
      <c r="H93" s="122"/>
      <c r="I93" s="77"/>
      <c r="J93" s="77"/>
      <c r="K93" s="77"/>
    </row>
    <row r="94" ht="18.75" customHeight="1">
      <c r="A94" s="77"/>
      <c r="B94" s="87"/>
      <c r="C94" s="77"/>
      <c r="D94" s="60"/>
      <c r="E94" s="122"/>
      <c r="F94" s="77"/>
      <c r="G94" s="77"/>
      <c r="H94" s="122"/>
      <c r="I94" s="77"/>
      <c r="J94" s="77"/>
      <c r="K94" s="77"/>
    </row>
    <row r="95" ht="18.75" customHeight="1">
      <c r="A95" s="77"/>
      <c r="B95" s="87"/>
      <c r="C95" s="77"/>
      <c r="D95" s="60"/>
      <c r="E95" s="122"/>
      <c r="F95" s="77"/>
      <c r="G95" s="77"/>
      <c r="H95" s="122"/>
      <c r="I95" s="77"/>
      <c r="J95" s="77"/>
      <c r="K95" s="77"/>
    </row>
    <row r="96" ht="18.75" customHeight="1">
      <c r="A96" s="77"/>
      <c r="B96" s="87"/>
      <c r="C96" s="77"/>
      <c r="D96" s="77"/>
      <c r="E96" s="122"/>
      <c r="F96" s="77"/>
      <c r="G96" s="77"/>
      <c r="H96" s="122"/>
      <c r="I96" s="77"/>
      <c r="J96" s="77"/>
      <c r="K96" s="77"/>
    </row>
    <row r="97" ht="18.75" customHeight="1">
      <c r="A97" s="77"/>
      <c r="B97" s="87"/>
      <c r="C97" s="77"/>
      <c r="D97" s="77"/>
      <c r="E97" s="122"/>
      <c r="F97" s="77"/>
      <c r="G97" s="77"/>
      <c r="H97" s="122"/>
      <c r="I97" s="77"/>
      <c r="J97" s="77"/>
      <c r="K97" s="77"/>
    </row>
    <row r="98" ht="18.75" customHeight="1">
      <c r="A98" s="77"/>
      <c r="B98" s="87"/>
      <c r="C98" s="77"/>
      <c r="D98" s="77"/>
      <c r="E98" s="122"/>
      <c r="F98" s="77"/>
      <c r="G98" s="77"/>
      <c r="H98" s="122"/>
      <c r="I98" s="77"/>
      <c r="J98" s="77"/>
      <c r="K98" s="77"/>
    </row>
    <row r="99" ht="18.75" customHeight="1">
      <c r="A99" s="77"/>
      <c r="B99" s="87"/>
      <c r="C99" s="77"/>
      <c r="D99" s="77"/>
      <c r="E99" s="122"/>
      <c r="F99" s="77"/>
      <c r="G99" s="77"/>
      <c r="H99" s="122"/>
      <c r="I99" s="77"/>
      <c r="J99" s="77"/>
      <c r="K99" s="77"/>
    </row>
    <row r="100" ht="18.75" customHeight="1">
      <c r="A100" s="77"/>
      <c r="B100" s="87"/>
      <c r="C100" s="77"/>
      <c r="D100" s="77"/>
      <c r="E100" s="122"/>
      <c r="F100" s="77"/>
      <c r="G100" s="77"/>
      <c r="H100" s="122"/>
      <c r="I100" s="77"/>
      <c r="J100" s="77"/>
      <c r="K100" s="77"/>
    </row>
    <row r="101" ht="18.75" customHeight="1">
      <c r="A101" s="77"/>
      <c r="B101" s="87"/>
      <c r="C101" s="77"/>
      <c r="D101" s="77"/>
      <c r="E101" s="122"/>
      <c r="F101" s="77"/>
      <c r="G101" s="77"/>
      <c r="H101" s="122"/>
      <c r="I101" s="77"/>
      <c r="J101" s="77"/>
      <c r="K101" s="77"/>
    </row>
    <row r="102" ht="18.75" customHeight="1">
      <c r="A102" s="77"/>
      <c r="B102" s="87"/>
      <c r="C102" s="77"/>
      <c r="D102" s="77"/>
      <c r="E102" s="122"/>
      <c r="F102" s="77"/>
      <c r="G102" s="77"/>
      <c r="H102" s="122"/>
      <c r="I102" s="77"/>
      <c r="J102" s="77"/>
      <c r="K102" s="77"/>
    </row>
    <row r="103" ht="18.75" customHeight="1">
      <c r="A103" s="77"/>
      <c r="B103" s="87"/>
      <c r="C103" s="77"/>
      <c r="D103" s="77"/>
      <c r="E103" s="122"/>
      <c r="F103" s="77"/>
      <c r="G103" s="77"/>
      <c r="H103" s="122"/>
      <c r="I103" s="77"/>
      <c r="J103" s="77"/>
      <c r="K103" s="77"/>
    </row>
    <row r="104" ht="18.75" customHeight="1">
      <c r="A104" s="77"/>
      <c r="B104" s="87"/>
      <c r="C104" s="77"/>
      <c r="D104" s="77"/>
      <c r="E104" s="122"/>
      <c r="F104" s="77"/>
      <c r="G104" s="77"/>
      <c r="H104" s="122"/>
      <c r="I104" s="77"/>
      <c r="J104" s="77"/>
      <c r="K104" s="77"/>
    </row>
    <row r="105" ht="18.75" customHeight="1">
      <c r="A105" s="77"/>
      <c r="B105" s="87"/>
      <c r="C105" s="77"/>
      <c r="D105" s="77"/>
      <c r="E105" s="122"/>
      <c r="F105" s="77"/>
      <c r="G105" s="77"/>
      <c r="H105" s="122"/>
      <c r="I105" s="77"/>
      <c r="J105" s="77"/>
      <c r="K105" s="77"/>
    </row>
    <row r="106" ht="18.75" customHeight="1">
      <c r="A106" s="77"/>
      <c r="B106" s="87"/>
      <c r="C106" s="77"/>
      <c r="D106" s="77"/>
      <c r="E106" s="122"/>
      <c r="F106" s="77"/>
      <c r="G106" s="77"/>
      <c r="H106" s="122"/>
      <c r="I106" s="77"/>
      <c r="J106" s="77"/>
      <c r="K106" s="77"/>
    </row>
    <row r="107" ht="18.75" customHeight="1">
      <c r="A107" s="77"/>
      <c r="B107" s="87"/>
      <c r="C107" s="77"/>
      <c r="D107" s="77"/>
      <c r="E107" s="122"/>
      <c r="F107" s="77"/>
      <c r="G107" s="77"/>
      <c r="H107" s="122"/>
      <c r="I107" s="77"/>
      <c r="J107" s="77"/>
      <c r="K107" s="77"/>
    </row>
    <row r="108" ht="18.75" customHeight="1">
      <c r="A108" s="77"/>
      <c r="B108" s="87"/>
      <c r="C108" s="77"/>
      <c r="D108" s="77"/>
      <c r="E108" s="122"/>
      <c r="F108" s="77"/>
      <c r="G108" s="77"/>
      <c r="H108" s="122"/>
      <c r="I108" s="77"/>
      <c r="J108" s="77"/>
      <c r="K108" s="77"/>
    </row>
    <row r="109" ht="18.75" customHeight="1">
      <c r="A109" s="77"/>
      <c r="B109" s="87"/>
      <c r="C109" s="77"/>
      <c r="D109" s="77"/>
      <c r="E109" s="122"/>
      <c r="F109" s="77"/>
      <c r="G109" s="77"/>
      <c r="H109" s="122"/>
      <c r="I109" s="77"/>
      <c r="J109" s="77"/>
      <c r="K109" s="77"/>
    </row>
    <row r="110" ht="18.75" customHeight="1">
      <c r="A110" s="77"/>
      <c r="B110" s="87"/>
      <c r="C110" s="77"/>
      <c r="D110" s="77"/>
      <c r="E110" s="122"/>
      <c r="F110" s="77"/>
      <c r="G110" s="77"/>
      <c r="H110" s="122"/>
      <c r="I110" s="77"/>
      <c r="J110" s="77"/>
      <c r="K110" s="77"/>
    </row>
    <row r="111" ht="18.75" customHeight="1">
      <c r="A111" s="77"/>
      <c r="B111" s="87"/>
      <c r="C111" s="77"/>
      <c r="D111" s="77"/>
      <c r="E111" s="122"/>
      <c r="F111" s="77"/>
      <c r="G111" s="77"/>
      <c r="H111" s="122"/>
      <c r="I111" s="77"/>
      <c r="J111" s="77"/>
      <c r="K111" s="77"/>
    </row>
    <row r="112" ht="18.75" customHeight="1">
      <c r="A112" s="77"/>
      <c r="B112" s="87"/>
      <c r="C112" s="77"/>
      <c r="D112" s="77"/>
      <c r="E112" s="122"/>
      <c r="F112" s="77"/>
      <c r="G112" s="77"/>
      <c r="H112" s="122"/>
      <c r="I112" s="77"/>
      <c r="J112" s="77"/>
      <c r="K112" s="77"/>
    </row>
    <row r="113" ht="18.75" customHeight="1">
      <c r="A113" s="77"/>
      <c r="B113" s="87"/>
      <c r="C113" s="77"/>
      <c r="D113" s="77"/>
      <c r="E113" s="122"/>
      <c r="F113" s="77"/>
      <c r="G113" s="77"/>
      <c r="H113" s="122"/>
      <c r="I113" s="77"/>
      <c r="J113" s="77"/>
      <c r="K113" s="77"/>
    </row>
    <row r="114" ht="18.75" customHeight="1">
      <c r="A114" s="77"/>
      <c r="B114" s="87"/>
      <c r="C114" s="77"/>
      <c r="D114" s="77"/>
      <c r="E114" s="122"/>
      <c r="F114" s="77"/>
      <c r="G114" s="77"/>
      <c r="H114" s="122"/>
      <c r="I114" s="77"/>
      <c r="J114" s="77"/>
      <c r="K114" s="77"/>
    </row>
    <row r="115" ht="18.75" customHeight="1">
      <c r="A115" s="77"/>
      <c r="B115" s="87"/>
      <c r="C115" s="77"/>
      <c r="D115" s="77"/>
      <c r="E115" s="122"/>
      <c r="F115" s="77"/>
      <c r="G115" s="77"/>
      <c r="H115" s="122"/>
      <c r="I115" s="77"/>
      <c r="J115" s="77"/>
      <c r="K115" s="77"/>
    </row>
    <row r="116" ht="18.75" customHeight="1">
      <c r="A116" s="77"/>
      <c r="B116" s="87"/>
      <c r="C116" s="77"/>
      <c r="D116" s="77"/>
      <c r="E116" s="122"/>
      <c r="F116" s="77"/>
      <c r="G116" s="77"/>
      <c r="H116" s="122"/>
      <c r="I116" s="77"/>
      <c r="J116" s="77"/>
      <c r="K116" s="77"/>
    </row>
    <row r="117" ht="18.75" customHeight="1">
      <c r="A117" s="77"/>
      <c r="B117" s="87"/>
      <c r="C117" s="77"/>
      <c r="D117" s="77"/>
      <c r="E117" s="122"/>
      <c r="F117" s="77"/>
      <c r="G117" s="77"/>
      <c r="H117" s="122"/>
      <c r="I117" s="77"/>
      <c r="J117" s="77"/>
      <c r="K117" s="77"/>
    </row>
    <row r="118" ht="18.75" customHeight="1">
      <c r="A118" s="77"/>
      <c r="B118" s="87"/>
      <c r="C118" s="77"/>
      <c r="D118" s="77"/>
      <c r="E118" s="122"/>
      <c r="F118" s="77"/>
      <c r="G118" s="77"/>
      <c r="H118" s="122"/>
      <c r="I118" s="77"/>
      <c r="J118" s="77"/>
      <c r="K118" s="77"/>
    </row>
    <row r="119" ht="18.75" customHeight="1">
      <c r="A119" s="77"/>
      <c r="B119" s="87"/>
      <c r="C119" s="77"/>
      <c r="D119" s="77"/>
      <c r="E119" s="122"/>
      <c r="F119" s="77"/>
      <c r="G119" s="77"/>
      <c r="H119" s="122"/>
      <c r="I119" s="77"/>
      <c r="J119" s="77"/>
      <c r="K119" s="77"/>
    </row>
    <row r="120" ht="18.75" customHeight="1">
      <c r="A120" s="77"/>
      <c r="B120" s="87"/>
      <c r="C120" s="77"/>
      <c r="D120" s="77"/>
      <c r="E120" s="122"/>
      <c r="F120" s="77"/>
      <c r="G120" s="77"/>
      <c r="H120" s="122"/>
      <c r="I120" s="77"/>
      <c r="J120" s="77"/>
      <c r="K120" s="77"/>
    </row>
    <row r="121" ht="18.75" customHeight="1">
      <c r="A121" s="77"/>
      <c r="B121" s="87"/>
      <c r="C121" s="77"/>
      <c r="D121" s="77"/>
      <c r="E121" s="122"/>
      <c r="F121" s="77"/>
      <c r="G121" s="77"/>
      <c r="H121" s="122"/>
      <c r="I121" s="77"/>
      <c r="J121" s="77"/>
      <c r="K121" s="77"/>
    </row>
    <row r="122" ht="18.75" customHeight="1">
      <c r="A122" s="77"/>
      <c r="B122" s="87"/>
      <c r="C122" s="77"/>
      <c r="D122" s="77"/>
      <c r="E122" s="122"/>
      <c r="F122" s="77"/>
      <c r="G122" s="77"/>
      <c r="H122" s="122"/>
      <c r="I122" s="77"/>
      <c r="J122" s="77"/>
      <c r="K122" s="77"/>
    </row>
    <row r="123" ht="18.75" customHeight="1">
      <c r="A123" s="77"/>
      <c r="B123" s="87"/>
      <c r="C123" s="77"/>
      <c r="D123" s="77"/>
      <c r="E123" s="122"/>
      <c r="F123" s="77"/>
      <c r="G123" s="77"/>
      <c r="H123" s="122"/>
      <c r="I123" s="77"/>
      <c r="J123" s="77"/>
      <c r="K123" s="77"/>
    </row>
    <row r="124" ht="18.75" customHeight="1">
      <c r="A124" s="77"/>
      <c r="B124" s="87"/>
      <c r="C124" s="77"/>
      <c r="D124" s="77"/>
      <c r="E124" s="122"/>
      <c r="F124" s="77"/>
      <c r="G124" s="77"/>
      <c r="H124" s="122"/>
      <c r="I124" s="77"/>
      <c r="J124" s="77"/>
      <c r="K124" s="77"/>
    </row>
    <row r="125" ht="18.75" customHeight="1">
      <c r="A125" s="77"/>
      <c r="B125" s="87"/>
      <c r="C125" s="77"/>
      <c r="D125" s="77"/>
      <c r="E125" s="122"/>
      <c r="F125" s="77"/>
      <c r="G125" s="77"/>
      <c r="H125" s="122"/>
      <c r="I125" s="77"/>
      <c r="J125" s="77"/>
      <c r="K125" s="77"/>
    </row>
    <row r="126" ht="18.75" customHeight="1">
      <c r="A126" s="77"/>
      <c r="B126" s="87"/>
      <c r="C126" s="77"/>
      <c r="D126" s="77"/>
      <c r="E126" s="122"/>
      <c r="F126" s="77"/>
      <c r="G126" s="77"/>
      <c r="H126" s="122"/>
      <c r="I126" s="77"/>
      <c r="J126" s="77"/>
      <c r="K126" s="77"/>
    </row>
    <row r="127" ht="18.75" customHeight="1">
      <c r="A127" s="77"/>
      <c r="B127" s="87"/>
      <c r="C127" s="77"/>
      <c r="D127" s="77"/>
      <c r="E127" s="122"/>
      <c r="F127" s="77"/>
      <c r="G127" s="77"/>
      <c r="H127" s="122"/>
      <c r="I127" s="77"/>
      <c r="J127" s="77"/>
      <c r="K127" s="77"/>
    </row>
    <row r="128" ht="18.75" customHeight="1">
      <c r="A128" s="77"/>
      <c r="B128" s="87"/>
      <c r="C128" s="77"/>
      <c r="D128" s="77"/>
      <c r="E128" s="122"/>
      <c r="F128" s="77"/>
      <c r="G128" s="77"/>
      <c r="H128" s="122"/>
      <c r="I128" s="77"/>
      <c r="J128" s="77"/>
      <c r="K128" s="77"/>
    </row>
    <row r="129" ht="18.75" customHeight="1">
      <c r="A129" s="77"/>
      <c r="B129" s="87"/>
      <c r="C129" s="77"/>
      <c r="D129" s="77"/>
      <c r="E129" s="122"/>
      <c r="F129" s="77"/>
      <c r="G129" s="77"/>
      <c r="H129" s="122"/>
      <c r="I129" s="77"/>
      <c r="J129" s="77"/>
      <c r="K129" s="77"/>
    </row>
    <row r="130" ht="18.75" customHeight="1">
      <c r="A130" s="77"/>
      <c r="B130" s="87"/>
      <c r="C130" s="77"/>
      <c r="D130" s="77"/>
      <c r="E130" s="122"/>
      <c r="F130" s="77"/>
      <c r="G130" s="77"/>
      <c r="H130" s="122"/>
      <c r="I130" s="77"/>
      <c r="J130" s="77"/>
      <c r="K130" s="77"/>
    </row>
    <row r="131" ht="18.75" customHeight="1">
      <c r="A131" s="77"/>
      <c r="B131" s="87"/>
      <c r="C131" s="77"/>
      <c r="D131" s="77"/>
      <c r="E131" s="122"/>
      <c r="F131" s="77"/>
      <c r="G131" s="77"/>
      <c r="H131" s="122"/>
      <c r="I131" s="77"/>
      <c r="J131" s="77"/>
      <c r="K131" s="77"/>
    </row>
    <row r="132" ht="18.75" customHeight="1">
      <c r="A132" s="77"/>
      <c r="B132" s="87"/>
      <c r="C132" s="77"/>
      <c r="D132" s="77"/>
      <c r="E132" s="122"/>
      <c r="F132" s="77"/>
      <c r="G132" s="77"/>
      <c r="H132" s="122"/>
      <c r="I132" s="77"/>
      <c r="J132" s="77"/>
      <c r="K132" s="77"/>
    </row>
    <row r="133" ht="18.75" customHeight="1">
      <c r="A133" s="77"/>
      <c r="B133" s="87"/>
      <c r="C133" s="77"/>
      <c r="D133" s="77"/>
      <c r="E133" s="122"/>
      <c r="F133" s="77"/>
      <c r="G133" s="77"/>
      <c r="H133" s="122"/>
      <c r="I133" s="77"/>
      <c r="J133" s="77"/>
      <c r="K133" s="77"/>
    </row>
    <row r="134" ht="18.75" customHeight="1">
      <c r="A134" s="77"/>
      <c r="B134" s="87"/>
      <c r="C134" s="77"/>
      <c r="D134" s="77"/>
      <c r="E134" s="122"/>
      <c r="F134" s="77"/>
      <c r="G134" s="77"/>
      <c r="H134" s="122"/>
      <c r="I134" s="77"/>
      <c r="J134" s="77"/>
      <c r="K134" s="77"/>
    </row>
    <row r="135" ht="18.75" customHeight="1">
      <c r="A135" s="77"/>
      <c r="B135" s="87"/>
      <c r="C135" s="77"/>
      <c r="D135" s="77"/>
      <c r="E135" s="122"/>
      <c r="F135" s="77"/>
      <c r="G135" s="77"/>
      <c r="H135" s="122"/>
      <c r="I135" s="77"/>
      <c r="J135" s="77"/>
      <c r="K135" s="77"/>
    </row>
    <row r="136" ht="18.75" customHeight="1">
      <c r="A136" s="77"/>
      <c r="B136" s="87"/>
      <c r="C136" s="77"/>
      <c r="D136" s="77"/>
      <c r="E136" s="122"/>
      <c r="F136" s="77"/>
      <c r="G136" s="77"/>
      <c r="H136" s="122"/>
      <c r="I136" s="77"/>
      <c r="J136" s="77"/>
      <c r="K136" s="77"/>
    </row>
    <row r="137" ht="18.75" customHeight="1">
      <c r="A137" s="77"/>
      <c r="B137" s="87"/>
      <c r="C137" s="77"/>
      <c r="D137" s="77"/>
      <c r="E137" s="122"/>
      <c r="F137" s="77"/>
      <c r="G137" s="77"/>
      <c r="H137" s="122"/>
      <c r="I137" s="77"/>
      <c r="J137" s="77"/>
      <c r="K137" s="77"/>
    </row>
    <row r="138" ht="18.75" customHeight="1">
      <c r="A138" s="77"/>
      <c r="B138" s="87"/>
      <c r="C138" s="77"/>
      <c r="D138" s="77"/>
      <c r="E138" s="122"/>
      <c r="F138" s="77"/>
      <c r="G138" s="77"/>
      <c r="H138" s="122"/>
      <c r="I138" s="77"/>
      <c r="J138" s="77"/>
      <c r="K138" s="77"/>
    </row>
    <row r="139" ht="18.75" customHeight="1">
      <c r="A139" s="77"/>
      <c r="B139" s="87"/>
      <c r="C139" s="77"/>
      <c r="D139" s="77"/>
      <c r="E139" s="122"/>
      <c r="F139" s="77"/>
      <c r="G139" s="77"/>
      <c r="H139" s="122"/>
      <c r="I139" s="77"/>
      <c r="J139" s="77"/>
      <c r="K139" s="77"/>
    </row>
    <row r="140" ht="18.75" customHeight="1">
      <c r="A140" s="77"/>
      <c r="B140" s="87"/>
      <c r="C140" s="77"/>
      <c r="D140" s="77"/>
      <c r="E140" s="122"/>
      <c r="F140" s="77"/>
      <c r="G140" s="77"/>
      <c r="H140" s="122"/>
      <c r="I140" s="77"/>
      <c r="J140" s="77"/>
      <c r="K140" s="77"/>
    </row>
    <row r="141" ht="18.75" customHeight="1">
      <c r="A141" s="77"/>
      <c r="B141" s="87"/>
      <c r="C141" s="77"/>
      <c r="D141" s="77"/>
      <c r="E141" s="122"/>
      <c r="F141" s="77"/>
      <c r="G141" s="77"/>
      <c r="H141" s="122"/>
      <c r="I141" s="77"/>
      <c r="J141" s="77"/>
      <c r="K141" s="77"/>
    </row>
    <row r="142" ht="18.75" customHeight="1">
      <c r="A142" s="77"/>
      <c r="B142" s="87"/>
      <c r="C142" s="77"/>
      <c r="D142" s="77"/>
      <c r="E142" s="122"/>
      <c r="F142" s="77"/>
      <c r="G142" s="77"/>
      <c r="H142" s="122"/>
      <c r="I142" s="77"/>
      <c r="J142" s="77"/>
      <c r="K142" s="77"/>
    </row>
    <row r="143" ht="18.75" customHeight="1">
      <c r="A143" s="77"/>
      <c r="B143" s="87"/>
      <c r="C143" s="77"/>
      <c r="D143" s="77"/>
      <c r="E143" s="122"/>
      <c r="F143" s="77"/>
      <c r="G143" s="77"/>
      <c r="H143" s="122"/>
      <c r="I143" s="77"/>
      <c r="J143" s="77"/>
      <c r="K143" s="77"/>
    </row>
    <row r="144" ht="18.75" customHeight="1">
      <c r="A144" s="77"/>
      <c r="B144" s="87"/>
      <c r="C144" s="77"/>
      <c r="D144" s="77"/>
      <c r="E144" s="122"/>
      <c r="F144" s="77"/>
      <c r="G144" s="77"/>
      <c r="H144" s="122"/>
      <c r="I144" s="77"/>
      <c r="J144" s="77"/>
      <c r="K144" s="77"/>
    </row>
    <row r="145" ht="18.75" customHeight="1">
      <c r="A145" s="77"/>
      <c r="B145" s="87"/>
      <c r="C145" s="77"/>
      <c r="D145" s="77"/>
      <c r="E145" s="122"/>
      <c r="F145" s="77"/>
      <c r="G145" s="77"/>
      <c r="H145" s="122"/>
      <c r="I145" s="77"/>
      <c r="J145" s="77"/>
      <c r="K145" s="77"/>
    </row>
    <row r="146" ht="18.75" customHeight="1">
      <c r="A146" s="77"/>
      <c r="B146" s="87"/>
      <c r="C146" s="77"/>
      <c r="D146" s="77"/>
      <c r="E146" s="122"/>
      <c r="F146" s="77"/>
      <c r="G146" s="77"/>
      <c r="H146" s="122"/>
      <c r="I146" s="77"/>
      <c r="J146" s="77"/>
      <c r="K146" s="77"/>
    </row>
    <row r="147" ht="18.75" customHeight="1">
      <c r="A147" s="77"/>
      <c r="B147" s="87"/>
      <c r="C147" s="77"/>
      <c r="D147" s="77"/>
      <c r="E147" s="122"/>
      <c r="F147" s="77"/>
      <c r="G147" s="77"/>
      <c r="H147" s="122"/>
      <c r="I147" s="77"/>
      <c r="J147" s="77"/>
      <c r="K147" s="77"/>
    </row>
    <row r="148" ht="18.75" customHeight="1">
      <c r="A148" s="77"/>
      <c r="B148" s="87"/>
      <c r="C148" s="77"/>
      <c r="D148" s="77"/>
      <c r="E148" s="122"/>
      <c r="F148" s="77"/>
      <c r="G148" s="77"/>
      <c r="H148" s="122"/>
      <c r="I148" s="77"/>
      <c r="J148" s="77"/>
      <c r="K148" s="77"/>
    </row>
    <row r="149" ht="18.75" customHeight="1">
      <c r="A149" s="77"/>
      <c r="B149" s="87"/>
      <c r="C149" s="77"/>
      <c r="D149" s="77"/>
      <c r="E149" s="122"/>
      <c r="F149" s="77"/>
      <c r="G149" s="77"/>
      <c r="H149" s="122"/>
      <c r="I149" s="77"/>
      <c r="J149" s="77"/>
      <c r="K149" s="77"/>
    </row>
    <row r="150" ht="18.75" customHeight="1">
      <c r="A150" s="77"/>
      <c r="B150" s="87"/>
      <c r="C150" s="77"/>
      <c r="D150" s="77"/>
      <c r="E150" s="122"/>
      <c r="F150" s="77"/>
      <c r="G150" s="77"/>
      <c r="H150" s="122"/>
      <c r="I150" s="77"/>
      <c r="J150" s="77"/>
      <c r="K150" s="77"/>
    </row>
    <row r="151" ht="18.75" customHeight="1">
      <c r="A151" s="77"/>
      <c r="B151" s="87"/>
      <c r="C151" s="77"/>
      <c r="D151" s="77"/>
      <c r="E151" s="122"/>
      <c r="F151" s="77"/>
      <c r="G151" s="77"/>
      <c r="H151" s="122"/>
      <c r="I151" s="77"/>
      <c r="J151" s="77"/>
      <c r="K151" s="77"/>
    </row>
    <row r="152" ht="18.75" customHeight="1">
      <c r="A152" s="77"/>
      <c r="B152" s="87"/>
      <c r="C152" s="77"/>
      <c r="D152" s="77"/>
      <c r="E152" s="122"/>
      <c r="F152" s="77"/>
      <c r="G152" s="77"/>
      <c r="H152" s="122"/>
      <c r="I152" s="77"/>
      <c r="J152" s="77"/>
      <c r="K152" s="77"/>
    </row>
    <row r="153" ht="18.75" customHeight="1">
      <c r="A153" s="77"/>
      <c r="B153" s="87"/>
      <c r="C153" s="77"/>
      <c r="D153" s="77"/>
      <c r="E153" s="122"/>
      <c r="F153" s="77"/>
      <c r="G153" s="77"/>
      <c r="H153" s="122"/>
      <c r="I153" s="77"/>
      <c r="J153" s="77"/>
      <c r="K153" s="77"/>
    </row>
    <row r="154" ht="18.75" customHeight="1">
      <c r="A154" s="77"/>
      <c r="B154" s="87"/>
      <c r="C154" s="77"/>
      <c r="D154" s="77"/>
      <c r="E154" s="122"/>
      <c r="F154" s="77"/>
      <c r="G154" s="77"/>
      <c r="H154" s="122"/>
      <c r="I154" s="77"/>
      <c r="J154" s="77"/>
      <c r="K154" s="77"/>
    </row>
    <row r="155" ht="18.75" customHeight="1">
      <c r="A155" s="77"/>
      <c r="B155" s="87"/>
      <c r="C155" s="77"/>
      <c r="D155" s="77"/>
      <c r="E155" s="122"/>
      <c r="F155" s="77"/>
      <c r="G155" s="77"/>
      <c r="H155" s="122"/>
      <c r="I155" s="77"/>
      <c r="J155" s="77"/>
      <c r="K155" s="77"/>
    </row>
    <row r="156" ht="18.75" customHeight="1">
      <c r="A156" s="77"/>
      <c r="B156" s="87"/>
      <c r="C156" s="77"/>
      <c r="D156" s="77"/>
      <c r="E156" s="122"/>
      <c r="F156" s="77"/>
      <c r="G156" s="77"/>
      <c r="H156" s="122"/>
      <c r="I156" s="77"/>
      <c r="J156" s="77"/>
      <c r="K156" s="77"/>
    </row>
    <row r="157" ht="18.75" customHeight="1">
      <c r="A157" s="77"/>
      <c r="B157" s="87"/>
      <c r="C157" s="77"/>
      <c r="D157" s="77"/>
      <c r="E157" s="122"/>
      <c r="F157" s="77"/>
      <c r="G157" s="77"/>
      <c r="H157" s="122"/>
      <c r="I157" s="77"/>
      <c r="J157" s="77"/>
      <c r="K157" s="77"/>
    </row>
    <row r="158" ht="18.75" customHeight="1">
      <c r="A158" s="77"/>
      <c r="B158" s="87"/>
      <c r="C158" s="77"/>
      <c r="D158" s="77"/>
      <c r="E158" s="122"/>
      <c r="F158" s="77"/>
      <c r="G158" s="77"/>
      <c r="H158" s="122"/>
      <c r="I158" s="77"/>
      <c r="J158" s="77"/>
      <c r="K158" s="77"/>
    </row>
    <row r="159" ht="18.75" customHeight="1">
      <c r="A159" s="77"/>
      <c r="B159" s="87"/>
      <c r="C159" s="77"/>
      <c r="D159" s="77"/>
      <c r="E159" s="122"/>
      <c r="F159" s="77"/>
      <c r="G159" s="77"/>
      <c r="H159" s="122"/>
      <c r="I159" s="77"/>
      <c r="J159" s="77"/>
      <c r="K159" s="77"/>
    </row>
    <row r="160" ht="18.75" customHeight="1">
      <c r="A160" s="77"/>
      <c r="B160" s="87"/>
      <c r="C160" s="77"/>
      <c r="D160" s="77"/>
      <c r="E160" s="122"/>
      <c r="F160" s="77"/>
      <c r="G160" s="77"/>
      <c r="H160" s="122"/>
      <c r="I160" s="77"/>
      <c r="J160" s="77"/>
      <c r="K160" s="77"/>
    </row>
    <row r="161" ht="18.75" customHeight="1">
      <c r="A161" s="77"/>
      <c r="B161" s="87"/>
      <c r="C161" s="77"/>
      <c r="D161" s="77"/>
      <c r="E161" s="122"/>
      <c r="F161" s="77"/>
      <c r="G161" s="77"/>
      <c r="H161" s="122"/>
      <c r="I161" s="77"/>
      <c r="J161" s="77"/>
      <c r="K161" s="77"/>
    </row>
    <row r="162" ht="18.75" customHeight="1">
      <c r="A162" s="77"/>
      <c r="B162" s="87"/>
      <c r="C162" s="77"/>
      <c r="D162" s="77"/>
      <c r="E162" s="122"/>
      <c r="F162" s="77"/>
      <c r="G162" s="77"/>
      <c r="H162" s="122"/>
      <c r="I162" s="77"/>
      <c r="J162" s="77"/>
      <c r="K162" s="77"/>
    </row>
    <row r="163" ht="18.75" customHeight="1">
      <c r="A163" s="77"/>
      <c r="B163" s="87"/>
      <c r="C163" s="77"/>
      <c r="D163" s="77"/>
      <c r="E163" s="122"/>
      <c r="F163" s="77"/>
      <c r="G163" s="77"/>
      <c r="H163" s="122"/>
      <c r="I163" s="77"/>
      <c r="J163" s="77"/>
      <c r="K163" s="77"/>
    </row>
    <row r="164" ht="18.75" customHeight="1">
      <c r="A164" s="77"/>
      <c r="B164" s="87"/>
      <c r="C164" s="77"/>
      <c r="D164" s="77"/>
      <c r="E164" s="122"/>
      <c r="F164" s="77"/>
      <c r="G164" s="77"/>
      <c r="H164" s="122"/>
      <c r="I164" s="77"/>
      <c r="J164" s="77"/>
      <c r="K164" s="77"/>
    </row>
    <row r="165" ht="18.75" customHeight="1">
      <c r="A165" s="77"/>
      <c r="B165" s="87"/>
      <c r="C165" s="77"/>
      <c r="D165" s="77"/>
      <c r="E165" s="122"/>
      <c r="F165" s="77"/>
      <c r="G165" s="77"/>
      <c r="H165" s="122"/>
      <c r="I165" s="77"/>
      <c r="J165" s="77"/>
      <c r="K165" s="77"/>
    </row>
    <row r="166" ht="18.75" customHeight="1">
      <c r="A166" s="77"/>
      <c r="B166" s="87"/>
      <c r="C166" s="77"/>
      <c r="D166" s="77"/>
      <c r="E166" s="122"/>
      <c r="F166" s="77"/>
      <c r="G166" s="77"/>
      <c r="H166" s="122"/>
      <c r="I166" s="77"/>
      <c r="J166" s="77"/>
      <c r="K166" s="77"/>
    </row>
    <row r="167" ht="18.75" customHeight="1">
      <c r="A167" s="77"/>
      <c r="B167" s="87"/>
      <c r="C167" s="77"/>
      <c r="D167" s="77"/>
      <c r="E167" s="122"/>
      <c r="F167" s="77"/>
      <c r="G167" s="77"/>
      <c r="H167" s="122"/>
      <c r="I167" s="77"/>
      <c r="J167" s="77"/>
      <c r="K167" s="77"/>
    </row>
    <row r="168" ht="18.75" customHeight="1">
      <c r="A168" s="77"/>
      <c r="B168" s="87"/>
      <c r="C168" s="77"/>
      <c r="D168" s="77"/>
      <c r="E168" s="122"/>
      <c r="F168" s="77"/>
      <c r="G168" s="77"/>
      <c r="H168" s="122"/>
      <c r="I168" s="77"/>
      <c r="J168" s="77"/>
      <c r="K168" s="77"/>
    </row>
    <row r="169" ht="18.75" customHeight="1">
      <c r="A169" s="77"/>
      <c r="B169" s="87"/>
      <c r="C169" s="77"/>
      <c r="D169" s="77"/>
      <c r="E169" s="122"/>
      <c r="F169" s="77"/>
      <c r="G169" s="77"/>
      <c r="H169" s="122"/>
      <c r="I169" s="77"/>
      <c r="J169" s="77"/>
      <c r="K169" s="77"/>
    </row>
    <row r="170" ht="18.75" customHeight="1">
      <c r="A170" s="77"/>
      <c r="B170" s="87"/>
      <c r="C170" s="77"/>
      <c r="D170" s="77"/>
      <c r="E170" s="122"/>
      <c r="F170" s="77"/>
      <c r="G170" s="77"/>
      <c r="H170" s="122"/>
      <c r="I170" s="77"/>
      <c r="J170" s="77"/>
      <c r="K170" s="77"/>
    </row>
    <row r="171" ht="18.75" customHeight="1">
      <c r="A171" s="77"/>
      <c r="B171" s="87"/>
      <c r="C171" s="77"/>
      <c r="D171" s="77"/>
      <c r="E171" s="122"/>
      <c r="F171" s="77"/>
      <c r="G171" s="77"/>
      <c r="H171" s="122"/>
      <c r="I171" s="77"/>
      <c r="J171" s="77"/>
      <c r="K171" s="77"/>
    </row>
    <row r="172" ht="18.75" customHeight="1">
      <c r="A172" s="77"/>
      <c r="B172" s="87"/>
      <c r="C172" s="77"/>
      <c r="D172" s="77"/>
      <c r="E172" s="122"/>
      <c r="F172" s="77"/>
      <c r="G172" s="77"/>
      <c r="H172" s="122"/>
      <c r="I172" s="77"/>
      <c r="J172" s="77"/>
      <c r="K172" s="77"/>
    </row>
    <row r="173" ht="18.75" customHeight="1">
      <c r="A173" s="77"/>
      <c r="B173" s="87"/>
      <c r="C173" s="77"/>
      <c r="D173" s="77"/>
      <c r="E173" s="122"/>
      <c r="F173" s="77"/>
      <c r="G173" s="77"/>
      <c r="H173" s="122"/>
      <c r="I173" s="77"/>
      <c r="J173" s="77"/>
      <c r="K173" s="77"/>
    </row>
    <row r="174" ht="18.75" customHeight="1">
      <c r="A174" s="77"/>
      <c r="B174" s="87"/>
      <c r="C174" s="77"/>
      <c r="D174" s="77"/>
      <c r="E174" s="122"/>
      <c r="F174" s="77"/>
      <c r="G174" s="77"/>
      <c r="H174" s="122"/>
      <c r="I174" s="77"/>
      <c r="J174" s="77"/>
      <c r="K174" s="77"/>
    </row>
    <row r="175" ht="18.75" customHeight="1">
      <c r="A175" s="77"/>
      <c r="B175" s="87"/>
      <c r="C175" s="77"/>
      <c r="D175" s="77"/>
      <c r="E175" s="122"/>
      <c r="F175" s="77"/>
      <c r="G175" s="77"/>
      <c r="H175" s="122"/>
      <c r="I175" s="77"/>
      <c r="J175" s="77"/>
      <c r="K175" s="77"/>
    </row>
    <row r="176" ht="18.75" customHeight="1">
      <c r="A176" s="77"/>
      <c r="B176" s="87"/>
      <c r="C176" s="77"/>
      <c r="D176" s="77"/>
      <c r="E176" s="122"/>
      <c r="F176" s="77"/>
      <c r="G176" s="77"/>
      <c r="H176" s="122"/>
      <c r="I176" s="77"/>
      <c r="J176" s="77"/>
      <c r="K176" s="77"/>
    </row>
    <row r="177" ht="18.75" customHeight="1">
      <c r="A177" s="77"/>
      <c r="B177" s="87"/>
      <c r="C177" s="77"/>
      <c r="D177" s="77"/>
      <c r="E177" s="122"/>
      <c r="F177" s="77"/>
      <c r="G177" s="77"/>
      <c r="H177" s="122"/>
      <c r="I177" s="77"/>
      <c r="J177" s="77"/>
      <c r="K177" s="77"/>
    </row>
    <row r="178" ht="18.75" customHeight="1">
      <c r="A178" s="77"/>
      <c r="B178" s="87"/>
      <c r="C178" s="77"/>
      <c r="D178" s="77"/>
      <c r="E178" s="122"/>
      <c r="F178" s="77"/>
      <c r="G178" s="77"/>
      <c r="H178" s="122"/>
      <c r="I178" s="77"/>
      <c r="J178" s="77"/>
      <c r="K178" s="77"/>
    </row>
    <row r="179" ht="18.75" customHeight="1">
      <c r="A179" s="77"/>
      <c r="B179" s="87"/>
      <c r="C179" s="77"/>
      <c r="D179" s="77"/>
      <c r="E179" s="122"/>
      <c r="F179" s="77"/>
      <c r="G179" s="77"/>
      <c r="H179" s="122"/>
      <c r="I179" s="77"/>
      <c r="J179" s="77"/>
      <c r="K179" s="77"/>
    </row>
    <row r="180" ht="18.75" customHeight="1">
      <c r="A180" s="77"/>
      <c r="B180" s="87"/>
      <c r="C180" s="77"/>
      <c r="D180" s="77"/>
      <c r="E180" s="122"/>
      <c r="F180" s="77"/>
      <c r="G180" s="77"/>
      <c r="H180" s="122"/>
      <c r="I180" s="77"/>
      <c r="J180" s="77"/>
      <c r="K180" s="77"/>
    </row>
    <row r="181" ht="18.75" customHeight="1">
      <c r="A181" s="77"/>
      <c r="B181" s="87"/>
      <c r="C181" s="77"/>
      <c r="D181" s="77"/>
      <c r="E181" s="122"/>
      <c r="F181" s="77"/>
      <c r="G181" s="77"/>
      <c r="H181" s="122"/>
      <c r="I181" s="77"/>
      <c r="J181" s="77"/>
      <c r="K181" s="77"/>
    </row>
    <row r="182" ht="18.75" customHeight="1">
      <c r="A182" s="77"/>
      <c r="B182" s="87"/>
      <c r="C182" s="77"/>
      <c r="D182" s="77"/>
      <c r="E182" s="122"/>
      <c r="F182" s="77"/>
      <c r="G182" s="77"/>
      <c r="H182" s="122"/>
      <c r="I182" s="77"/>
      <c r="J182" s="77"/>
      <c r="K182" s="77"/>
    </row>
    <row r="183" ht="18.75" customHeight="1">
      <c r="A183" s="77"/>
      <c r="B183" s="87"/>
      <c r="C183" s="77"/>
      <c r="D183" s="77"/>
      <c r="E183" s="122"/>
      <c r="F183" s="77"/>
      <c r="G183" s="77"/>
      <c r="H183" s="122"/>
      <c r="I183" s="77"/>
      <c r="J183" s="77"/>
      <c r="K183" s="77"/>
    </row>
    <row r="184" ht="18.75" customHeight="1">
      <c r="A184" s="77"/>
      <c r="B184" s="87"/>
      <c r="C184" s="77"/>
      <c r="D184" s="77"/>
      <c r="E184" s="122"/>
      <c r="F184" s="77"/>
      <c r="G184" s="77"/>
      <c r="H184" s="122"/>
      <c r="I184" s="77"/>
      <c r="J184" s="77"/>
      <c r="K184" s="77"/>
    </row>
    <row r="185" ht="18.75" customHeight="1">
      <c r="A185" s="77"/>
      <c r="B185" s="87"/>
      <c r="C185" s="77"/>
      <c r="D185" s="77"/>
      <c r="E185" s="122"/>
      <c r="F185" s="77"/>
      <c r="G185" s="77"/>
      <c r="H185" s="122"/>
      <c r="I185" s="77"/>
      <c r="J185" s="77"/>
      <c r="K185" s="77"/>
    </row>
    <row r="186" ht="18.75" customHeight="1">
      <c r="A186" s="77"/>
      <c r="B186" s="87"/>
      <c r="C186" s="77"/>
      <c r="D186" s="77"/>
      <c r="E186" s="122"/>
      <c r="F186" s="77"/>
      <c r="G186" s="77"/>
      <c r="H186" s="122"/>
      <c r="I186" s="77"/>
      <c r="J186" s="77"/>
      <c r="K186" s="77"/>
    </row>
    <row r="187" ht="18.75" customHeight="1">
      <c r="A187" s="77"/>
      <c r="B187" s="87"/>
      <c r="C187" s="77"/>
      <c r="D187" s="77"/>
      <c r="E187" s="122"/>
      <c r="F187" s="77"/>
      <c r="G187" s="77"/>
      <c r="H187" s="122"/>
      <c r="I187" s="77"/>
      <c r="J187" s="77"/>
      <c r="K187" s="77"/>
    </row>
    <row r="188" ht="18.75" customHeight="1">
      <c r="A188" s="77"/>
      <c r="B188" s="87"/>
      <c r="C188" s="77"/>
      <c r="D188" s="77"/>
      <c r="E188" s="122"/>
      <c r="F188" s="77"/>
      <c r="G188" s="77"/>
      <c r="H188" s="122"/>
      <c r="I188" s="77"/>
      <c r="J188" s="77"/>
      <c r="K188" s="77"/>
    </row>
    <row r="189" ht="18.75" customHeight="1">
      <c r="A189" s="77"/>
      <c r="B189" s="87"/>
      <c r="C189" s="77"/>
      <c r="D189" s="77"/>
      <c r="E189" s="122"/>
      <c r="F189" s="77"/>
      <c r="G189" s="77"/>
      <c r="H189" s="122"/>
      <c r="I189" s="77"/>
      <c r="J189" s="77"/>
      <c r="K189" s="77"/>
    </row>
    <row r="190" ht="18.75" customHeight="1">
      <c r="A190" s="77"/>
      <c r="B190" s="87"/>
      <c r="C190" s="77"/>
      <c r="D190" s="77"/>
      <c r="E190" s="122"/>
      <c r="F190" s="77"/>
      <c r="G190" s="77"/>
      <c r="H190" s="122"/>
      <c r="I190" s="77"/>
      <c r="J190" s="77"/>
      <c r="K190" s="77"/>
    </row>
    <row r="191" ht="18.75" customHeight="1">
      <c r="A191" s="77"/>
      <c r="B191" s="87"/>
      <c r="C191" s="77"/>
      <c r="D191" s="77"/>
      <c r="E191" s="122"/>
      <c r="F191" s="77"/>
      <c r="G191" s="77"/>
      <c r="H191" s="122"/>
      <c r="I191" s="77"/>
      <c r="J191" s="77"/>
      <c r="K191" s="77"/>
    </row>
    <row r="192" ht="18.75" customHeight="1">
      <c r="A192" s="77"/>
      <c r="B192" s="87"/>
      <c r="C192" s="77"/>
      <c r="D192" s="77"/>
      <c r="E192" s="122"/>
      <c r="F192" s="77"/>
      <c r="G192" s="77"/>
      <c r="H192" s="122"/>
      <c r="I192" s="77"/>
      <c r="J192" s="77"/>
      <c r="K192" s="77"/>
    </row>
    <row r="193" ht="18.75" customHeight="1">
      <c r="A193" s="77"/>
      <c r="B193" s="87"/>
      <c r="C193" s="77"/>
      <c r="D193" s="77"/>
      <c r="E193" s="122"/>
      <c r="F193" s="77"/>
      <c r="G193" s="77"/>
      <c r="H193" s="122"/>
      <c r="I193" s="77"/>
      <c r="J193" s="77"/>
      <c r="K193" s="77"/>
    </row>
    <row r="194" ht="18.75" customHeight="1">
      <c r="A194" s="77"/>
      <c r="B194" s="87"/>
      <c r="C194" s="77"/>
      <c r="D194" s="77"/>
      <c r="E194" s="122"/>
      <c r="F194" s="77"/>
      <c r="G194" s="77"/>
      <c r="H194" s="122"/>
      <c r="I194" s="77"/>
      <c r="J194" s="77"/>
      <c r="K194" s="77"/>
    </row>
    <row r="195" ht="18.75" customHeight="1">
      <c r="A195" s="77"/>
      <c r="B195" s="87"/>
      <c r="C195" s="77"/>
      <c r="D195" s="77"/>
      <c r="E195" s="122"/>
      <c r="F195" s="77"/>
      <c r="G195" s="77"/>
      <c r="H195" s="122"/>
      <c r="I195" s="77"/>
      <c r="J195" s="77"/>
      <c r="K195" s="77"/>
    </row>
    <row r="196" ht="18.75" customHeight="1">
      <c r="A196" s="77"/>
      <c r="B196" s="87"/>
      <c r="C196" s="77"/>
      <c r="D196" s="77"/>
      <c r="E196" s="122"/>
      <c r="F196" s="77"/>
      <c r="G196" s="77"/>
      <c r="H196" s="122"/>
      <c r="I196" s="77"/>
      <c r="J196" s="77"/>
      <c r="K196" s="77"/>
    </row>
    <row r="197" ht="18.75" customHeight="1">
      <c r="A197" s="77"/>
      <c r="B197" s="87"/>
      <c r="C197" s="77"/>
      <c r="D197" s="77"/>
      <c r="E197" s="122"/>
      <c r="F197" s="77"/>
      <c r="G197" s="77"/>
      <c r="H197" s="122"/>
      <c r="I197" s="77"/>
      <c r="J197" s="77"/>
      <c r="K197" s="77"/>
    </row>
    <row r="198" ht="18.75" customHeight="1">
      <c r="A198" s="77"/>
      <c r="B198" s="87"/>
      <c r="C198" s="77"/>
      <c r="D198" s="77"/>
      <c r="E198" s="122"/>
      <c r="F198" s="77"/>
      <c r="G198" s="77"/>
      <c r="H198" s="122"/>
      <c r="I198" s="77"/>
      <c r="J198" s="77"/>
      <c r="K198" s="77"/>
    </row>
    <row r="199" ht="18.75" customHeight="1">
      <c r="A199" s="77"/>
      <c r="B199" s="87"/>
      <c r="C199" s="77"/>
      <c r="D199" s="77"/>
      <c r="E199" s="122"/>
      <c r="F199" s="77"/>
      <c r="G199" s="77"/>
      <c r="H199" s="122"/>
      <c r="I199" s="77"/>
      <c r="J199" s="77"/>
      <c r="K199" s="77"/>
    </row>
    <row r="200" ht="18.75" customHeight="1">
      <c r="A200" s="77"/>
      <c r="B200" s="87"/>
      <c r="C200" s="77"/>
      <c r="D200" s="77"/>
      <c r="E200" s="122"/>
      <c r="F200" s="77"/>
      <c r="G200" s="77"/>
      <c r="H200" s="122"/>
      <c r="I200" s="77"/>
      <c r="J200" s="77"/>
      <c r="K200" s="77"/>
    </row>
    <row r="201" ht="18.75" customHeight="1">
      <c r="E201" s="123"/>
      <c r="H201" s="123"/>
    </row>
    <row r="202" ht="18.75" customHeight="1">
      <c r="E202" s="123"/>
      <c r="H202" s="123"/>
    </row>
    <row r="203" ht="18.75" customHeight="1">
      <c r="E203" s="123"/>
      <c r="H203" s="123"/>
    </row>
    <row r="204" ht="18.75" customHeight="1">
      <c r="E204" s="123"/>
      <c r="H204" s="123"/>
    </row>
    <row r="205" ht="18.75" customHeight="1">
      <c r="E205" s="123"/>
      <c r="H205" s="123"/>
    </row>
    <row r="206" ht="18.75" customHeight="1">
      <c r="E206" s="123"/>
      <c r="H206" s="123"/>
    </row>
    <row r="207" ht="18.75" customHeight="1">
      <c r="E207" s="123"/>
      <c r="H207" s="123"/>
    </row>
    <row r="208" ht="18.75" customHeight="1">
      <c r="E208" s="123"/>
      <c r="H208" s="123"/>
    </row>
    <row r="209" ht="18.75" customHeight="1">
      <c r="E209" s="123"/>
      <c r="H209" s="123"/>
    </row>
    <row r="210" ht="18.75" customHeight="1">
      <c r="E210" s="123"/>
      <c r="H210" s="123"/>
    </row>
    <row r="211" ht="18.75" customHeight="1">
      <c r="E211" s="123"/>
      <c r="H211" s="123"/>
    </row>
    <row r="212" ht="18.75" customHeight="1">
      <c r="E212" s="123"/>
      <c r="H212" s="123"/>
    </row>
    <row r="213" ht="18.75" customHeight="1">
      <c r="E213" s="123"/>
      <c r="H213" s="123"/>
    </row>
    <row r="214" ht="18.75" customHeight="1">
      <c r="E214" s="123"/>
      <c r="H214" s="123"/>
    </row>
    <row r="215" ht="18.75" customHeight="1">
      <c r="E215" s="123"/>
      <c r="H215" s="123"/>
    </row>
    <row r="216" ht="18.75" customHeight="1">
      <c r="E216" s="123"/>
      <c r="H216" s="123"/>
    </row>
    <row r="217" ht="18.75" customHeight="1">
      <c r="E217" s="123"/>
      <c r="H217" s="123"/>
    </row>
    <row r="218" ht="18.75" customHeight="1">
      <c r="E218" s="123"/>
      <c r="H218" s="123"/>
    </row>
    <row r="219" ht="18.75" customHeight="1">
      <c r="E219" s="123"/>
      <c r="H219" s="123"/>
    </row>
    <row r="220" ht="18.75" customHeight="1">
      <c r="E220" s="123"/>
      <c r="H220" s="123"/>
    </row>
    <row r="221" ht="18.75" customHeight="1">
      <c r="E221" s="123"/>
      <c r="H221" s="123"/>
    </row>
    <row r="222" ht="18.75" customHeight="1">
      <c r="E222" s="123"/>
      <c r="H222" s="123"/>
    </row>
    <row r="223" ht="18.75" customHeight="1">
      <c r="E223" s="123"/>
      <c r="H223" s="123"/>
    </row>
    <row r="224" ht="18.75" customHeight="1">
      <c r="E224" s="123"/>
      <c r="H224" s="123"/>
    </row>
    <row r="225" ht="18.75" customHeight="1">
      <c r="E225" s="123"/>
      <c r="H225" s="123"/>
    </row>
    <row r="226" ht="18.75" customHeight="1">
      <c r="E226" s="123"/>
      <c r="H226" s="123"/>
    </row>
    <row r="227" ht="18.75" customHeight="1">
      <c r="E227" s="123"/>
      <c r="H227" s="123"/>
    </row>
    <row r="228" ht="18.75" customHeight="1">
      <c r="E228" s="123"/>
      <c r="H228" s="123"/>
    </row>
    <row r="229" ht="18.75" customHeight="1">
      <c r="E229" s="123"/>
      <c r="H229" s="123"/>
    </row>
    <row r="230" ht="18.75" customHeight="1">
      <c r="E230" s="123"/>
      <c r="H230" s="123"/>
    </row>
    <row r="231" ht="18.75" customHeight="1">
      <c r="E231" s="123"/>
      <c r="H231" s="123"/>
    </row>
    <row r="232" ht="18.75" customHeight="1">
      <c r="E232" s="123"/>
      <c r="H232" s="123"/>
    </row>
    <row r="233" ht="18.75" customHeight="1">
      <c r="E233" s="123"/>
      <c r="H233" s="123"/>
    </row>
    <row r="234" ht="18.75" customHeight="1">
      <c r="E234" s="123"/>
      <c r="H234" s="123"/>
    </row>
    <row r="235" ht="18.75" customHeight="1">
      <c r="E235" s="123"/>
      <c r="H235" s="123"/>
    </row>
    <row r="236" ht="18.75" customHeight="1">
      <c r="E236" s="123"/>
      <c r="H236" s="123"/>
    </row>
    <row r="237" ht="18.75" customHeight="1">
      <c r="E237" s="123"/>
      <c r="H237" s="123"/>
    </row>
    <row r="238" ht="18.75" customHeight="1">
      <c r="E238" s="123"/>
      <c r="H238" s="123"/>
    </row>
    <row r="239" ht="18.75" customHeight="1">
      <c r="E239" s="123"/>
      <c r="H239" s="123"/>
    </row>
    <row r="240" ht="18.75" customHeight="1">
      <c r="E240" s="123"/>
      <c r="H240" s="123"/>
    </row>
    <row r="241" ht="18.75" customHeight="1">
      <c r="E241" s="123"/>
      <c r="H241" s="123"/>
    </row>
    <row r="242" ht="18.75" customHeight="1">
      <c r="E242" s="123"/>
      <c r="H242" s="123"/>
    </row>
    <row r="243" ht="18.75" customHeight="1">
      <c r="E243" s="123"/>
      <c r="H243" s="123"/>
    </row>
    <row r="244" ht="18.75" customHeight="1">
      <c r="E244" s="123"/>
      <c r="H244" s="123"/>
    </row>
    <row r="245" ht="18.75" customHeight="1">
      <c r="E245" s="123"/>
      <c r="H245" s="123"/>
    </row>
    <row r="246" ht="18.75" customHeight="1">
      <c r="E246" s="123"/>
      <c r="H246" s="123"/>
    </row>
    <row r="247" ht="18.75" customHeight="1">
      <c r="E247" s="123"/>
      <c r="H247" s="123"/>
    </row>
    <row r="248" ht="18.75" customHeight="1">
      <c r="E248" s="123"/>
      <c r="H248" s="123"/>
    </row>
    <row r="249" ht="18.75" customHeight="1">
      <c r="E249" s="123"/>
      <c r="H249" s="123"/>
    </row>
    <row r="250" ht="18.75" customHeight="1">
      <c r="E250" s="123"/>
      <c r="H250" s="123"/>
    </row>
    <row r="251" ht="18.75" customHeight="1">
      <c r="E251" s="123"/>
      <c r="H251" s="123"/>
    </row>
    <row r="252" ht="18.75" customHeight="1">
      <c r="E252" s="123"/>
      <c r="H252" s="123"/>
    </row>
    <row r="253" ht="18.75" customHeight="1">
      <c r="E253" s="123"/>
      <c r="H253" s="123"/>
    </row>
    <row r="254" ht="18.75" customHeight="1">
      <c r="E254" s="123"/>
      <c r="H254" s="123"/>
    </row>
    <row r="255" ht="18.75" customHeight="1">
      <c r="E255" s="123"/>
      <c r="H255" s="123"/>
    </row>
    <row r="256" ht="18.75" customHeight="1">
      <c r="E256" s="123"/>
      <c r="H256" s="123"/>
    </row>
    <row r="257" ht="18.75" customHeight="1">
      <c r="E257" s="123"/>
      <c r="H257" s="123"/>
    </row>
    <row r="258" ht="18.75" customHeight="1">
      <c r="E258" s="123"/>
      <c r="H258" s="123"/>
    </row>
    <row r="259" ht="18.75" customHeight="1">
      <c r="E259" s="123"/>
      <c r="H259" s="123"/>
    </row>
    <row r="260" ht="18.75" customHeight="1">
      <c r="E260" s="123"/>
      <c r="H260" s="123"/>
    </row>
    <row r="261" ht="18.75" customHeight="1">
      <c r="E261" s="123"/>
      <c r="H261" s="123"/>
    </row>
    <row r="262" ht="18.75" customHeight="1">
      <c r="E262" s="123"/>
      <c r="H262" s="123"/>
    </row>
    <row r="263" ht="18.75" customHeight="1">
      <c r="E263" s="123"/>
      <c r="H263" s="123"/>
    </row>
    <row r="264" ht="18.75" customHeight="1">
      <c r="E264" s="123"/>
      <c r="H264" s="123"/>
    </row>
    <row r="265" ht="18.75" customHeight="1">
      <c r="E265" s="123"/>
      <c r="H265" s="123"/>
    </row>
    <row r="266" ht="18.75" customHeight="1">
      <c r="E266" s="123"/>
      <c r="H266" s="123"/>
    </row>
    <row r="267" ht="18.75" customHeight="1">
      <c r="E267" s="123"/>
      <c r="H267" s="123"/>
    </row>
    <row r="268" ht="18.75" customHeight="1">
      <c r="E268" s="123"/>
      <c r="H268" s="123"/>
    </row>
    <row r="269" ht="18.75" customHeight="1">
      <c r="E269" s="123"/>
      <c r="H269" s="123"/>
    </row>
    <row r="270" ht="18.75" customHeight="1">
      <c r="E270" s="123"/>
      <c r="H270" s="123"/>
    </row>
    <row r="271" ht="18.75" customHeight="1">
      <c r="E271" s="123"/>
      <c r="H271" s="123"/>
    </row>
    <row r="272" ht="18.75" customHeight="1">
      <c r="E272" s="123"/>
      <c r="H272" s="123"/>
    </row>
    <row r="273" ht="18.75" customHeight="1">
      <c r="E273" s="123"/>
      <c r="H273" s="123"/>
    </row>
    <row r="274" ht="18.75" customHeight="1">
      <c r="E274" s="123"/>
      <c r="H274" s="123"/>
    </row>
    <row r="275" ht="18.75" customHeight="1">
      <c r="E275" s="123"/>
      <c r="H275" s="123"/>
    </row>
    <row r="276" ht="18.75" customHeight="1">
      <c r="E276" s="123"/>
      <c r="H276" s="123"/>
    </row>
    <row r="277" ht="18.75" customHeight="1">
      <c r="E277" s="123"/>
      <c r="H277" s="123"/>
    </row>
    <row r="278" ht="18.75" customHeight="1">
      <c r="E278" s="123"/>
      <c r="H278" s="123"/>
    </row>
    <row r="279" ht="18.75" customHeight="1">
      <c r="E279" s="123"/>
      <c r="H279" s="123"/>
    </row>
    <row r="280" ht="18.75" customHeight="1">
      <c r="E280" s="123"/>
      <c r="H280" s="123"/>
    </row>
    <row r="281" ht="18.75" customHeight="1">
      <c r="E281" s="123"/>
      <c r="H281" s="123"/>
    </row>
    <row r="282" ht="18.75" customHeight="1">
      <c r="E282" s="123"/>
      <c r="H282" s="123"/>
    </row>
    <row r="283" ht="18.75" customHeight="1">
      <c r="E283" s="123"/>
      <c r="H283" s="123"/>
    </row>
    <row r="284" ht="18.75" customHeight="1">
      <c r="E284" s="123"/>
      <c r="H284" s="123"/>
    </row>
    <row r="285" ht="18.75" customHeight="1">
      <c r="E285" s="123"/>
      <c r="H285" s="123"/>
    </row>
    <row r="286" ht="18.75" customHeight="1">
      <c r="E286" s="123"/>
      <c r="H286" s="123"/>
    </row>
    <row r="287" ht="18.75" customHeight="1">
      <c r="E287" s="123"/>
      <c r="H287" s="123"/>
    </row>
    <row r="288" ht="18.75" customHeight="1">
      <c r="E288" s="123"/>
      <c r="H288" s="123"/>
    </row>
    <row r="289" ht="18.75" customHeight="1">
      <c r="E289" s="123"/>
      <c r="H289" s="123"/>
    </row>
    <row r="290" ht="18.75" customHeight="1">
      <c r="E290" s="123"/>
      <c r="H290" s="123"/>
    </row>
    <row r="291" ht="18.75" customHeight="1">
      <c r="E291" s="123"/>
      <c r="H291" s="123"/>
    </row>
    <row r="292" ht="18.75" customHeight="1">
      <c r="E292" s="123"/>
      <c r="H292" s="123"/>
    </row>
    <row r="293" ht="18.75" customHeight="1">
      <c r="E293" s="123"/>
      <c r="H293" s="123"/>
    </row>
    <row r="294" ht="18.75" customHeight="1">
      <c r="E294" s="123"/>
      <c r="H294" s="123"/>
    </row>
    <row r="295" ht="18.75" customHeight="1">
      <c r="E295" s="123"/>
      <c r="H295" s="123"/>
    </row>
    <row r="296" ht="18.75" customHeight="1">
      <c r="E296" s="123"/>
      <c r="H296" s="123"/>
    </row>
    <row r="297" ht="18.75" customHeight="1">
      <c r="E297" s="123"/>
      <c r="H297" s="123"/>
    </row>
    <row r="298" ht="18.75" customHeight="1">
      <c r="E298" s="123"/>
      <c r="H298" s="123"/>
    </row>
    <row r="299" ht="18.75" customHeight="1">
      <c r="E299" s="123"/>
      <c r="H299" s="123"/>
    </row>
    <row r="300" ht="18.75" customHeight="1">
      <c r="E300" s="123"/>
      <c r="H300" s="123"/>
    </row>
    <row r="301" ht="18.75" customHeight="1">
      <c r="E301" s="123"/>
      <c r="H301" s="123"/>
    </row>
    <row r="302" ht="18.75" customHeight="1">
      <c r="E302" s="123"/>
      <c r="H302" s="123"/>
    </row>
    <row r="303" ht="18.75" customHeight="1">
      <c r="E303" s="123"/>
      <c r="H303" s="123"/>
    </row>
    <row r="304" ht="18.75" customHeight="1">
      <c r="E304" s="123"/>
      <c r="H304" s="123"/>
    </row>
    <row r="305" ht="18.75" customHeight="1">
      <c r="E305" s="123"/>
      <c r="H305" s="123"/>
    </row>
    <row r="306" ht="18.75" customHeight="1">
      <c r="E306" s="123"/>
      <c r="H306" s="123"/>
    </row>
    <row r="307" ht="18.75" customHeight="1">
      <c r="E307" s="123"/>
      <c r="H307" s="123"/>
    </row>
    <row r="308" ht="18.75" customHeight="1">
      <c r="E308" s="123"/>
      <c r="H308" s="123"/>
    </row>
    <row r="309" ht="18.75" customHeight="1">
      <c r="E309" s="123"/>
      <c r="H309" s="123"/>
    </row>
    <row r="310" ht="18.75" customHeight="1">
      <c r="E310" s="123"/>
      <c r="H310" s="123"/>
    </row>
    <row r="311" ht="18.75" customHeight="1">
      <c r="E311" s="123"/>
      <c r="H311" s="123"/>
    </row>
    <row r="312" ht="18.75" customHeight="1">
      <c r="E312" s="123"/>
      <c r="H312" s="123"/>
    </row>
    <row r="313" ht="18.75" customHeight="1">
      <c r="E313" s="123"/>
      <c r="H313" s="123"/>
    </row>
    <row r="314" ht="18.75" customHeight="1">
      <c r="E314" s="123"/>
      <c r="H314" s="123"/>
    </row>
    <row r="315" ht="18.75" customHeight="1">
      <c r="E315" s="123"/>
      <c r="H315" s="123"/>
    </row>
    <row r="316" ht="18.75" customHeight="1">
      <c r="E316" s="123"/>
      <c r="H316" s="123"/>
    </row>
    <row r="317" ht="18.75" customHeight="1">
      <c r="E317" s="123"/>
      <c r="H317" s="123"/>
    </row>
    <row r="318" ht="18.75" customHeight="1">
      <c r="E318" s="123"/>
      <c r="H318" s="123"/>
    </row>
    <row r="319" ht="18.75" customHeight="1">
      <c r="E319" s="123"/>
      <c r="H319" s="123"/>
    </row>
    <row r="320" ht="18.75" customHeight="1">
      <c r="E320" s="123"/>
      <c r="H320" s="123"/>
    </row>
    <row r="321" ht="18.75" customHeight="1">
      <c r="E321" s="123"/>
      <c r="H321" s="123"/>
    </row>
    <row r="322" ht="18.75" customHeight="1">
      <c r="E322" s="123"/>
      <c r="H322" s="123"/>
    </row>
    <row r="323" ht="18.75" customHeight="1">
      <c r="E323" s="123"/>
      <c r="H323" s="123"/>
    </row>
    <row r="324" ht="18.75" customHeight="1">
      <c r="E324" s="123"/>
      <c r="H324" s="123"/>
    </row>
    <row r="325" ht="18.75" customHeight="1">
      <c r="E325" s="123"/>
      <c r="H325" s="123"/>
    </row>
    <row r="326" ht="18.75" customHeight="1">
      <c r="E326" s="123"/>
      <c r="H326" s="123"/>
    </row>
    <row r="327" ht="18.75" customHeight="1">
      <c r="E327" s="123"/>
      <c r="H327" s="123"/>
    </row>
    <row r="328" ht="18.75" customHeight="1">
      <c r="E328" s="123"/>
      <c r="H328" s="123"/>
    </row>
    <row r="329" ht="18.75" customHeight="1">
      <c r="E329" s="123"/>
      <c r="H329" s="123"/>
    </row>
    <row r="330" ht="18.75" customHeight="1">
      <c r="E330" s="123"/>
      <c r="H330" s="123"/>
    </row>
    <row r="331" ht="18.75" customHeight="1">
      <c r="E331" s="123"/>
      <c r="H331" s="123"/>
    </row>
    <row r="332" ht="18.75" customHeight="1">
      <c r="E332" s="123"/>
      <c r="H332" s="123"/>
    </row>
    <row r="333" ht="18.75" customHeight="1">
      <c r="E333" s="123"/>
      <c r="H333" s="123"/>
    </row>
    <row r="334" ht="18.75" customHeight="1">
      <c r="E334" s="123"/>
      <c r="H334" s="123"/>
    </row>
    <row r="335" ht="18.75" customHeight="1">
      <c r="E335" s="123"/>
      <c r="H335" s="123"/>
    </row>
    <row r="336" ht="18.75" customHeight="1">
      <c r="E336" s="123"/>
      <c r="H336" s="123"/>
    </row>
    <row r="337" ht="18.75" customHeight="1">
      <c r="E337" s="123"/>
      <c r="H337" s="123"/>
    </row>
    <row r="338" ht="18.75" customHeight="1">
      <c r="E338" s="123"/>
      <c r="H338" s="123"/>
    </row>
    <row r="339" ht="18.75" customHeight="1">
      <c r="E339" s="123"/>
      <c r="H339" s="123"/>
    </row>
    <row r="340" ht="18.75" customHeight="1">
      <c r="E340" s="123"/>
      <c r="H340" s="123"/>
    </row>
    <row r="341" ht="18.75" customHeight="1">
      <c r="E341" s="123"/>
      <c r="H341" s="123"/>
    </row>
    <row r="342" ht="18.75" customHeight="1">
      <c r="E342" s="123"/>
      <c r="H342" s="123"/>
    </row>
    <row r="343" ht="18.75" customHeight="1">
      <c r="E343" s="123"/>
      <c r="H343" s="123"/>
    </row>
    <row r="344" ht="18.75" customHeight="1">
      <c r="E344" s="123"/>
      <c r="H344" s="123"/>
    </row>
    <row r="345" ht="18.75" customHeight="1">
      <c r="E345" s="123"/>
      <c r="H345" s="123"/>
    </row>
    <row r="346" ht="18.75" customHeight="1">
      <c r="E346" s="123"/>
      <c r="H346" s="123"/>
    </row>
    <row r="347" ht="18.75" customHeight="1">
      <c r="E347" s="123"/>
      <c r="H347" s="123"/>
    </row>
    <row r="348" ht="18.75" customHeight="1">
      <c r="E348" s="123"/>
      <c r="H348" s="123"/>
    </row>
    <row r="349" ht="18.75" customHeight="1">
      <c r="E349" s="123"/>
      <c r="H349" s="123"/>
    </row>
    <row r="350" ht="18.75" customHeight="1">
      <c r="E350" s="123"/>
      <c r="H350" s="123"/>
    </row>
    <row r="351" ht="18.75" customHeight="1">
      <c r="E351" s="123"/>
      <c r="H351" s="123"/>
    </row>
    <row r="352" ht="18.75" customHeight="1">
      <c r="E352" s="123"/>
      <c r="H352" s="123"/>
    </row>
    <row r="353" ht="18.75" customHeight="1">
      <c r="E353" s="123"/>
      <c r="H353" s="123"/>
    </row>
    <row r="354" ht="18.75" customHeight="1">
      <c r="E354" s="123"/>
      <c r="H354" s="123"/>
    </row>
    <row r="355" ht="18.75" customHeight="1">
      <c r="E355" s="123"/>
      <c r="H355" s="123"/>
    </row>
    <row r="356" ht="18.75" customHeight="1">
      <c r="E356" s="123"/>
      <c r="H356" s="123"/>
    </row>
    <row r="357" ht="18.75" customHeight="1">
      <c r="E357" s="123"/>
      <c r="H357" s="123"/>
    </row>
    <row r="358" ht="18.75" customHeight="1">
      <c r="E358" s="123"/>
      <c r="H358" s="123"/>
    </row>
    <row r="359" ht="18.75" customHeight="1">
      <c r="E359" s="123"/>
      <c r="H359" s="123"/>
    </row>
    <row r="360" ht="18.75" customHeight="1">
      <c r="E360" s="123"/>
      <c r="H360" s="123"/>
    </row>
    <row r="361" ht="18.75" customHeight="1">
      <c r="E361" s="123"/>
      <c r="H361" s="123"/>
    </row>
    <row r="362" ht="18.75" customHeight="1">
      <c r="E362" s="123"/>
      <c r="H362" s="123"/>
    </row>
    <row r="363" ht="18.75" customHeight="1">
      <c r="E363" s="123"/>
      <c r="H363" s="123"/>
    </row>
    <row r="364" ht="18.75" customHeight="1">
      <c r="E364" s="123"/>
      <c r="H364" s="123"/>
    </row>
    <row r="365" ht="18.75" customHeight="1">
      <c r="E365" s="123"/>
      <c r="H365" s="123"/>
    </row>
    <row r="366" ht="18.75" customHeight="1">
      <c r="E366" s="123"/>
      <c r="H366" s="123"/>
    </row>
    <row r="367" ht="18.75" customHeight="1">
      <c r="E367" s="123"/>
      <c r="H367" s="123"/>
    </row>
    <row r="368" ht="18.75" customHeight="1">
      <c r="E368" s="123"/>
      <c r="H368" s="123"/>
    </row>
    <row r="369" ht="18.75" customHeight="1">
      <c r="E369" s="123"/>
      <c r="H369" s="123"/>
    </row>
    <row r="370" ht="18.75" customHeight="1">
      <c r="E370" s="123"/>
      <c r="H370" s="123"/>
    </row>
    <row r="371" ht="18.75" customHeight="1">
      <c r="E371" s="123"/>
      <c r="H371" s="123"/>
    </row>
    <row r="372" ht="18.75" customHeight="1">
      <c r="E372" s="123"/>
      <c r="H372" s="123"/>
    </row>
    <row r="373" ht="18.75" customHeight="1">
      <c r="E373" s="123"/>
      <c r="H373" s="123"/>
    </row>
    <row r="374" ht="18.75" customHeight="1">
      <c r="E374" s="123"/>
      <c r="H374" s="123"/>
    </row>
    <row r="375" ht="18.75" customHeight="1">
      <c r="E375" s="123"/>
      <c r="H375" s="123"/>
    </row>
    <row r="376" ht="18.75" customHeight="1">
      <c r="E376" s="123"/>
      <c r="H376" s="123"/>
    </row>
    <row r="377" ht="18.75" customHeight="1">
      <c r="E377" s="123"/>
      <c r="H377" s="123"/>
    </row>
    <row r="378" ht="18.75" customHeight="1">
      <c r="E378" s="123"/>
      <c r="H378" s="123"/>
    </row>
    <row r="379" ht="18.75" customHeight="1">
      <c r="E379" s="123"/>
      <c r="H379" s="123"/>
    </row>
    <row r="380" ht="18.75" customHeight="1">
      <c r="E380" s="123"/>
      <c r="H380" s="123"/>
    </row>
    <row r="381" ht="18.75" customHeight="1">
      <c r="E381" s="123"/>
      <c r="H381" s="123"/>
    </row>
    <row r="382" ht="18.75" customHeight="1">
      <c r="E382" s="123"/>
      <c r="H382" s="123"/>
    </row>
    <row r="383" ht="18.75" customHeight="1">
      <c r="E383" s="123"/>
      <c r="H383" s="123"/>
    </row>
    <row r="384" ht="18.75" customHeight="1">
      <c r="E384" s="123"/>
      <c r="H384" s="123"/>
    </row>
    <row r="385" ht="18.75" customHeight="1">
      <c r="E385" s="123"/>
      <c r="H385" s="123"/>
    </row>
    <row r="386" ht="18.75" customHeight="1">
      <c r="E386" s="123"/>
      <c r="H386" s="123"/>
    </row>
    <row r="387" ht="18.75" customHeight="1">
      <c r="E387" s="123"/>
      <c r="H387" s="123"/>
    </row>
    <row r="388" ht="18.75" customHeight="1">
      <c r="E388" s="123"/>
      <c r="H388" s="123"/>
    </row>
    <row r="389" ht="18.75" customHeight="1">
      <c r="E389" s="123"/>
      <c r="H389" s="123"/>
    </row>
    <row r="390" ht="18.75" customHeight="1">
      <c r="E390" s="123"/>
      <c r="H390" s="123"/>
    </row>
    <row r="391" ht="18.75" customHeight="1">
      <c r="E391" s="123"/>
      <c r="H391" s="123"/>
    </row>
    <row r="392" ht="18.75" customHeight="1">
      <c r="E392" s="123"/>
      <c r="H392" s="123"/>
    </row>
    <row r="393" ht="18.75" customHeight="1">
      <c r="E393" s="123"/>
      <c r="H393" s="123"/>
    </row>
    <row r="394" ht="18.75" customHeight="1">
      <c r="E394" s="123"/>
      <c r="H394" s="123"/>
    </row>
    <row r="395" ht="18.75" customHeight="1">
      <c r="E395" s="123"/>
      <c r="H395" s="123"/>
    </row>
    <row r="396" ht="18.75" customHeight="1">
      <c r="E396" s="123"/>
      <c r="H396" s="123"/>
    </row>
    <row r="397" ht="18.75" customHeight="1">
      <c r="E397" s="123"/>
      <c r="H397" s="123"/>
    </row>
    <row r="398" ht="18.75" customHeight="1">
      <c r="E398" s="123"/>
      <c r="H398" s="123"/>
    </row>
    <row r="399" ht="18.75" customHeight="1">
      <c r="E399" s="123"/>
      <c r="H399" s="123"/>
    </row>
    <row r="400" ht="18.75" customHeight="1">
      <c r="E400" s="123"/>
      <c r="H400" s="123"/>
    </row>
    <row r="401" ht="18.75" customHeight="1">
      <c r="E401" s="123"/>
      <c r="H401" s="123"/>
    </row>
    <row r="402" ht="18.75" customHeight="1">
      <c r="E402" s="123"/>
      <c r="H402" s="123"/>
    </row>
    <row r="403" ht="18.75" customHeight="1">
      <c r="E403" s="123"/>
      <c r="H403" s="123"/>
    </row>
    <row r="404" ht="18.75" customHeight="1">
      <c r="E404" s="123"/>
      <c r="H404" s="123"/>
    </row>
    <row r="405" ht="18.75" customHeight="1">
      <c r="E405" s="123"/>
      <c r="H405" s="123"/>
    </row>
    <row r="406" ht="18.75" customHeight="1">
      <c r="E406" s="123"/>
      <c r="H406" s="123"/>
    </row>
    <row r="407" ht="18.75" customHeight="1">
      <c r="E407" s="123"/>
      <c r="H407" s="123"/>
    </row>
    <row r="408" ht="18.75" customHeight="1">
      <c r="E408" s="123"/>
      <c r="H408" s="123"/>
    </row>
    <row r="409" ht="18.75" customHeight="1">
      <c r="E409" s="123"/>
      <c r="H409" s="123"/>
    </row>
    <row r="410" ht="18.75" customHeight="1">
      <c r="E410" s="123"/>
      <c r="H410" s="123"/>
    </row>
    <row r="411" ht="18.75" customHeight="1">
      <c r="E411" s="123"/>
      <c r="H411" s="123"/>
    </row>
    <row r="412" ht="18.75" customHeight="1">
      <c r="E412" s="123"/>
      <c r="H412" s="123"/>
    </row>
    <row r="413" ht="18.75" customHeight="1">
      <c r="E413" s="123"/>
      <c r="H413" s="123"/>
    </row>
    <row r="414" ht="18.75" customHeight="1">
      <c r="E414" s="123"/>
      <c r="H414" s="123"/>
    </row>
    <row r="415" ht="18.75" customHeight="1">
      <c r="E415" s="123"/>
      <c r="H415" s="123"/>
    </row>
    <row r="416" ht="18.75" customHeight="1">
      <c r="E416" s="123"/>
      <c r="H416" s="123"/>
    </row>
    <row r="417" ht="18.75" customHeight="1">
      <c r="E417" s="123"/>
      <c r="H417" s="123"/>
    </row>
    <row r="418" ht="18.75" customHeight="1">
      <c r="E418" s="123"/>
      <c r="H418" s="123"/>
    </row>
    <row r="419" ht="18.75" customHeight="1">
      <c r="E419" s="123"/>
      <c r="H419" s="123"/>
    </row>
    <row r="420" ht="18.75" customHeight="1">
      <c r="E420" s="123"/>
      <c r="H420" s="123"/>
    </row>
    <row r="421" ht="18.75" customHeight="1">
      <c r="E421" s="123"/>
      <c r="H421" s="123"/>
    </row>
    <row r="422" ht="18.75" customHeight="1">
      <c r="E422" s="123"/>
      <c r="H422" s="123"/>
    </row>
    <row r="423" ht="18.75" customHeight="1">
      <c r="E423" s="123"/>
      <c r="H423" s="123"/>
    </row>
    <row r="424" ht="18.75" customHeight="1">
      <c r="E424" s="123"/>
      <c r="H424" s="123"/>
    </row>
    <row r="425" ht="18.75" customHeight="1">
      <c r="E425" s="123"/>
      <c r="H425" s="123"/>
    </row>
    <row r="426" ht="18.75" customHeight="1">
      <c r="E426" s="123"/>
      <c r="H426" s="123"/>
    </row>
    <row r="427" ht="18.75" customHeight="1">
      <c r="E427" s="123"/>
      <c r="H427" s="123"/>
    </row>
    <row r="428" ht="18.75" customHeight="1">
      <c r="E428" s="123"/>
      <c r="H428" s="123"/>
    </row>
    <row r="429" ht="18.75" customHeight="1">
      <c r="E429" s="123"/>
      <c r="H429" s="123"/>
    </row>
    <row r="430" ht="18.75" customHeight="1">
      <c r="E430" s="123"/>
      <c r="H430" s="123"/>
    </row>
    <row r="431" ht="18.75" customHeight="1">
      <c r="E431" s="123"/>
      <c r="H431" s="123"/>
    </row>
    <row r="432" ht="18.75" customHeight="1">
      <c r="E432" s="123"/>
      <c r="H432" s="123"/>
    </row>
    <row r="433" ht="18.75" customHeight="1">
      <c r="E433" s="123"/>
      <c r="H433" s="123"/>
    </row>
    <row r="434" ht="18.75" customHeight="1">
      <c r="E434" s="123"/>
      <c r="H434" s="123"/>
    </row>
    <row r="435" ht="18.75" customHeight="1">
      <c r="E435" s="123"/>
      <c r="H435" s="123"/>
    </row>
    <row r="436" ht="18.75" customHeight="1">
      <c r="E436" s="123"/>
      <c r="H436" s="123"/>
    </row>
    <row r="437" ht="18.75" customHeight="1">
      <c r="E437" s="123"/>
      <c r="H437" s="123"/>
    </row>
    <row r="438" ht="18.75" customHeight="1">
      <c r="E438" s="123"/>
      <c r="H438" s="123"/>
    </row>
    <row r="439" ht="18.75" customHeight="1">
      <c r="E439" s="123"/>
      <c r="H439" s="123"/>
    </row>
    <row r="440" ht="18.75" customHeight="1">
      <c r="E440" s="123"/>
      <c r="H440" s="123"/>
    </row>
    <row r="441" ht="18.75" customHeight="1">
      <c r="E441" s="123"/>
      <c r="H441" s="123"/>
    </row>
    <row r="442" ht="18.75" customHeight="1">
      <c r="E442" s="123"/>
      <c r="H442" s="123"/>
    </row>
    <row r="443" ht="18.75" customHeight="1">
      <c r="E443" s="123"/>
      <c r="H443" s="123"/>
    </row>
    <row r="444" ht="18.75" customHeight="1">
      <c r="E444" s="123"/>
      <c r="H444" s="123"/>
    </row>
    <row r="445" ht="18.75" customHeight="1">
      <c r="E445" s="123"/>
      <c r="H445" s="123"/>
    </row>
    <row r="446" ht="18.75" customHeight="1">
      <c r="E446" s="123"/>
      <c r="H446" s="123"/>
    </row>
    <row r="447" ht="18.75" customHeight="1">
      <c r="E447" s="123"/>
      <c r="H447" s="123"/>
    </row>
    <row r="448" ht="18.75" customHeight="1">
      <c r="E448" s="123"/>
      <c r="H448" s="123"/>
    </row>
    <row r="449" ht="18.75" customHeight="1">
      <c r="E449" s="123"/>
      <c r="H449" s="123"/>
    </row>
    <row r="450" ht="18.75" customHeight="1">
      <c r="E450" s="123"/>
      <c r="H450" s="123"/>
    </row>
    <row r="451" ht="18.75" customHeight="1">
      <c r="E451" s="123"/>
      <c r="H451" s="123"/>
    </row>
    <row r="452" ht="18.75" customHeight="1">
      <c r="E452" s="123"/>
      <c r="H452" s="123"/>
    </row>
    <row r="453" ht="18.75" customHeight="1">
      <c r="E453" s="123"/>
      <c r="H453" s="123"/>
    </row>
    <row r="454" ht="18.75" customHeight="1">
      <c r="E454" s="123"/>
      <c r="H454" s="123"/>
    </row>
    <row r="455" ht="18.75" customHeight="1">
      <c r="E455" s="123"/>
      <c r="H455" s="123"/>
    </row>
    <row r="456" ht="18.75" customHeight="1">
      <c r="E456" s="123"/>
      <c r="H456" s="123"/>
    </row>
    <row r="457" ht="18.75" customHeight="1">
      <c r="E457" s="123"/>
      <c r="H457" s="123"/>
    </row>
    <row r="458" ht="18.75" customHeight="1">
      <c r="E458" s="123"/>
      <c r="H458" s="123"/>
    </row>
    <row r="459" ht="18.75" customHeight="1">
      <c r="E459" s="123"/>
      <c r="H459" s="123"/>
    </row>
    <row r="460" ht="18.75" customHeight="1">
      <c r="E460" s="123"/>
      <c r="H460" s="123"/>
    </row>
    <row r="461" ht="18.75" customHeight="1">
      <c r="E461" s="123"/>
      <c r="H461" s="123"/>
    </row>
    <row r="462" ht="18.75" customHeight="1">
      <c r="E462" s="123"/>
      <c r="H462" s="123"/>
    </row>
    <row r="463" ht="18.75" customHeight="1">
      <c r="E463" s="123"/>
      <c r="H463" s="123"/>
    </row>
    <row r="464" ht="18.75" customHeight="1">
      <c r="E464" s="123"/>
      <c r="H464" s="123"/>
    </row>
    <row r="465" ht="18.75" customHeight="1">
      <c r="E465" s="123"/>
      <c r="H465" s="123"/>
    </row>
    <row r="466" ht="18.75" customHeight="1">
      <c r="E466" s="123"/>
      <c r="H466" s="123"/>
    </row>
    <row r="467" ht="18.75" customHeight="1">
      <c r="E467" s="123"/>
      <c r="H467" s="123"/>
    </row>
    <row r="468" ht="18.75" customHeight="1">
      <c r="E468" s="123"/>
      <c r="H468" s="123"/>
    </row>
    <row r="469" ht="18.75" customHeight="1">
      <c r="E469" s="123"/>
      <c r="H469" s="123"/>
    </row>
    <row r="470" ht="18.75" customHeight="1">
      <c r="E470" s="123"/>
      <c r="H470" s="123"/>
    </row>
    <row r="471" ht="18.75" customHeight="1">
      <c r="E471" s="123"/>
      <c r="H471" s="123"/>
    </row>
    <row r="472" ht="18.75" customHeight="1">
      <c r="E472" s="123"/>
      <c r="H472" s="123"/>
    </row>
    <row r="473" ht="18.75" customHeight="1">
      <c r="E473" s="123"/>
      <c r="H473" s="123"/>
    </row>
    <row r="474" ht="18.75" customHeight="1">
      <c r="E474" s="123"/>
      <c r="H474" s="123"/>
    </row>
    <row r="475" ht="18.75" customHeight="1">
      <c r="E475" s="123"/>
      <c r="H475" s="123"/>
    </row>
    <row r="476" ht="18.75" customHeight="1">
      <c r="E476" s="123"/>
      <c r="H476" s="123"/>
    </row>
    <row r="477" ht="18.75" customHeight="1">
      <c r="E477" s="123"/>
      <c r="H477" s="123"/>
    </row>
    <row r="478" ht="18.75" customHeight="1">
      <c r="E478" s="123"/>
      <c r="H478" s="123"/>
    </row>
    <row r="479" ht="18.75" customHeight="1">
      <c r="E479" s="123"/>
      <c r="H479" s="123"/>
    </row>
    <row r="480" ht="18.75" customHeight="1">
      <c r="E480" s="123"/>
      <c r="H480" s="123"/>
    </row>
    <row r="481" ht="18.75" customHeight="1">
      <c r="E481" s="123"/>
      <c r="H481" s="123"/>
    </row>
    <row r="482" ht="18.75" customHeight="1">
      <c r="E482" s="123"/>
      <c r="H482" s="123"/>
    </row>
    <row r="483" ht="18.75" customHeight="1">
      <c r="E483" s="123"/>
      <c r="H483" s="123"/>
    </row>
    <row r="484" ht="18.75" customHeight="1">
      <c r="E484" s="123"/>
      <c r="H484" s="123"/>
    </row>
    <row r="485" ht="18.75" customHeight="1">
      <c r="E485" s="123"/>
      <c r="H485" s="123"/>
    </row>
    <row r="486" ht="18.75" customHeight="1">
      <c r="E486" s="123"/>
      <c r="H486" s="123"/>
    </row>
    <row r="487" ht="18.75" customHeight="1">
      <c r="E487" s="123"/>
      <c r="H487" s="123"/>
    </row>
    <row r="488" ht="18.75" customHeight="1">
      <c r="E488" s="123"/>
      <c r="H488" s="123"/>
    </row>
    <row r="489" ht="18.75" customHeight="1">
      <c r="E489" s="123"/>
      <c r="H489" s="123"/>
    </row>
    <row r="490" ht="18.75" customHeight="1">
      <c r="E490" s="123"/>
      <c r="H490" s="123"/>
    </row>
    <row r="491" ht="18.75" customHeight="1">
      <c r="E491" s="123"/>
      <c r="H491" s="123"/>
    </row>
    <row r="492" ht="18.75" customHeight="1">
      <c r="E492" s="123"/>
      <c r="H492" s="123"/>
    </row>
    <row r="493" ht="18.75" customHeight="1">
      <c r="E493" s="123"/>
      <c r="H493" s="123"/>
    </row>
    <row r="494" ht="18.75" customHeight="1">
      <c r="E494" s="123"/>
      <c r="H494" s="123"/>
    </row>
    <row r="495" ht="18.75" customHeight="1">
      <c r="E495" s="123"/>
      <c r="H495" s="123"/>
    </row>
    <row r="496" ht="18.75" customHeight="1">
      <c r="E496" s="123"/>
      <c r="H496" s="123"/>
    </row>
    <row r="497" ht="18.75" customHeight="1">
      <c r="E497" s="123"/>
      <c r="H497" s="123"/>
    </row>
    <row r="498" ht="18.75" customHeight="1">
      <c r="E498" s="123"/>
      <c r="H498" s="123"/>
    </row>
    <row r="499" ht="18.75" customHeight="1">
      <c r="E499" s="123"/>
      <c r="H499" s="123"/>
    </row>
    <row r="500" ht="18.75" customHeight="1">
      <c r="E500" s="123"/>
      <c r="H500" s="123"/>
    </row>
    <row r="501" ht="18.75" customHeight="1">
      <c r="E501" s="123"/>
      <c r="H501" s="123"/>
    </row>
    <row r="502" ht="18.75" customHeight="1">
      <c r="E502" s="123"/>
      <c r="H502" s="123"/>
    </row>
    <row r="503" ht="18.75" customHeight="1">
      <c r="E503" s="123"/>
      <c r="H503" s="123"/>
    </row>
    <row r="504" ht="18.75" customHeight="1">
      <c r="E504" s="123"/>
      <c r="H504" s="123"/>
    </row>
    <row r="505" ht="18.75" customHeight="1">
      <c r="E505" s="123"/>
      <c r="H505" s="123"/>
    </row>
    <row r="506" ht="18.75" customHeight="1">
      <c r="E506" s="123"/>
      <c r="H506" s="123"/>
    </row>
    <row r="507" ht="18.75" customHeight="1">
      <c r="E507" s="123"/>
      <c r="H507" s="123"/>
    </row>
    <row r="508" ht="18.75" customHeight="1">
      <c r="E508" s="123"/>
      <c r="H508" s="123"/>
    </row>
    <row r="509" ht="18.75" customHeight="1">
      <c r="E509" s="123"/>
      <c r="H509" s="123"/>
    </row>
    <row r="510" ht="18.75" customHeight="1">
      <c r="E510" s="123"/>
      <c r="H510" s="123"/>
    </row>
    <row r="511" ht="18.75" customHeight="1">
      <c r="E511" s="123"/>
      <c r="H511" s="123"/>
    </row>
    <row r="512" ht="18.75" customHeight="1">
      <c r="E512" s="123"/>
      <c r="H512" s="123"/>
    </row>
    <row r="513" ht="18.75" customHeight="1">
      <c r="E513" s="123"/>
      <c r="H513" s="123"/>
    </row>
    <row r="514" ht="18.75" customHeight="1">
      <c r="E514" s="123"/>
      <c r="H514" s="123"/>
    </row>
    <row r="515" ht="18.75" customHeight="1">
      <c r="E515" s="123"/>
      <c r="H515" s="123"/>
    </row>
    <row r="516" ht="18.75" customHeight="1">
      <c r="E516" s="123"/>
      <c r="H516" s="123"/>
    </row>
    <row r="517" ht="18.75" customHeight="1">
      <c r="E517" s="123"/>
      <c r="H517" s="123"/>
    </row>
    <row r="518" ht="18.75" customHeight="1">
      <c r="E518" s="123"/>
      <c r="H518" s="123"/>
    </row>
    <row r="519" ht="18.75" customHeight="1">
      <c r="E519" s="123"/>
      <c r="H519" s="123"/>
    </row>
    <row r="520" ht="18.75" customHeight="1">
      <c r="E520" s="123"/>
      <c r="H520" s="123"/>
    </row>
    <row r="521" ht="18.75" customHeight="1">
      <c r="E521" s="123"/>
      <c r="H521" s="123"/>
    </row>
    <row r="522" ht="18.75" customHeight="1">
      <c r="E522" s="123"/>
      <c r="H522" s="123"/>
    </row>
    <row r="523" ht="18.75" customHeight="1">
      <c r="E523" s="123"/>
      <c r="H523" s="123"/>
    </row>
    <row r="524" ht="18.75" customHeight="1">
      <c r="E524" s="123"/>
      <c r="H524" s="123"/>
    </row>
    <row r="525" ht="18.75" customHeight="1">
      <c r="E525" s="123"/>
      <c r="H525" s="123"/>
    </row>
    <row r="526" ht="18.75" customHeight="1">
      <c r="E526" s="123"/>
      <c r="H526" s="123"/>
    </row>
    <row r="527" ht="18.75" customHeight="1">
      <c r="E527" s="123"/>
      <c r="H527" s="123"/>
    </row>
    <row r="528" ht="18.75" customHeight="1">
      <c r="E528" s="123"/>
      <c r="H528" s="123"/>
    </row>
    <row r="529" ht="18.75" customHeight="1">
      <c r="E529" s="123"/>
      <c r="H529" s="123"/>
    </row>
    <row r="530" ht="18.75" customHeight="1">
      <c r="E530" s="123"/>
      <c r="H530" s="123"/>
    </row>
    <row r="531" ht="18.75" customHeight="1">
      <c r="E531" s="123"/>
      <c r="H531" s="123"/>
    </row>
    <row r="532" ht="18.75" customHeight="1">
      <c r="E532" s="123"/>
      <c r="H532" s="123"/>
    </row>
    <row r="533" ht="18.75" customHeight="1">
      <c r="E533" s="123"/>
      <c r="H533" s="123"/>
    </row>
    <row r="534" ht="18.75" customHeight="1">
      <c r="E534" s="123"/>
      <c r="H534" s="123"/>
    </row>
    <row r="535" ht="18.75" customHeight="1">
      <c r="E535" s="123"/>
      <c r="H535" s="123"/>
    </row>
    <row r="536" ht="18.75" customHeight="1">
      <c r="E536" s="123"/>
      <c r="H536" s="123"/>
    </row>
    <row r="537" ht="18.75" customHeight="1">
      <c r="E537" s="123"/>
      <c r="H537" s="123"/>
    </row>
    <row r="538" ht="18.75" customHeight="1">
      <c r="E538" s="123"/>
      <c r="H538" s="123"/>
    </row>
    <row r="539" ht="18.75" customHeight="1">
      <c r="E539" s="123"/>
      <c r="H539" s="123"/>
    </row>
    <row r="540" ht="18.75" customHeight="1">
      <c r="E540" s="123"/>
      <c r="H540" s="123"/>
    </row>
    <row r="541" ht="18.75" customHeight="1">
      <c r="E541" s="123"/>
      <c r="H541" s="123"/>
    </row>
    <row r="542" ht="18.75" customHeight="1">
      <c r="E542" s="123"/>
      <c r="H542" s="123"/>
    </row>
    <row r="543" ht="18.75" customHeight="1">
      <c r="E543" s="123"/>
      <c r="H543" s="123"/>
    </row>
    <row r="544" ht="18.75" customHeight="1">
      <c r="E544" s="123"/>
      <c r="H544" s="123"/>
    </row>
    <row r="545" ht="18.75" customHeight="1">
      <c r="E545" s="123"/>
      <c r="H545" s="123"/>
    </row>
    <row r="546" ht="18.75" customHeight="1">
      <c r="E546" s="123"/>
      <c r="H546" s="123"/>
    </row>
    <row r="547" ht="18.75" customHeight="1">
      <c r="E547" s="123"/>
      <c r="H547" s="123"/>
    </row>
    <row r="548" ht="18.75" customHeight="1">
      <c r="E548" s="123"/>
      <c r="H548" s="123"/>
    </row>
    <row r="549" ht="18.75" customHeight="1">
      <c r="E549" s="123"/>
      <c r="H549" s="123"/>
    </row>
    <row r="550" ht="18.75" customHeight="1">
      <c r="E550" s="123"/>
      <c r="H550" s="123"/>
    </row>
    <row r="551" ht="18.75" customHeight="1">
      <c r="E551" s="123"/>
      <c r="H551" s="123"/>
    </row>
    <row r="552" ht="18.75" customHeight="1">
      <c r="E552" s="123"/>
      <c r="H552" s="123"/>
    </row>
    <row r="553" ht="18.75" customHeight="1">
      <c r="E553" s="123"/>
      <c r="H553" s="123"/>
    </row>
    <row r="554" ht="18.75" customHeight="1">
      <c r="E554" s="123"/>
      <c r="H554" s="123"/>
    </row>
    <row r="555" ht="18.75" customHeight="1">
      <c r="E555" s="123"/>
      <c r="H555" s="123"/>
    </row>
    <row r="556" ht="18.75" customHeight="1">
      <c r="E556" s="123"/>
      <c r="H556" s="123"/>
    </row>
    <row r="557" ht="18.75" customHeight="1">
      <c r="E557" s="123"/>
      <c r="H557" s="123"/>
    </row>
    <row r="558" ht="18.75" customHeight="1">
      <c r="E558" s="123"/>
      <c r="H558" s="123"/>
    </row>
    <row r="559" ht="18.75" customHeight="1">
      <c r="E559" s="123"/>
      <c r="H559" s="123"/>
    </row>
    <row r="560" ht="18.75" customHeight="1">
      <c r="E560" s="123"/>
      <c r="H560" s="123"/>
    </row>
    <row r="561" ht="18.75" customHeight="1">
      <c r="E561" s="123"/>
      <c r="H561" s="123"/>
    </row>
    <row r="562" ht="18.75" customHeight="1">
      <c r="E562" s="123"/>
      <c r="H562" s="123"/>
    </row>
    <row r="563" ht="18.75" customHeight="1">
      <c r="E563" s="123"/>
      <c r="H563" s="123"/>
    </row>
    <row r="564" ht="18.75" customHeight="1">
      <c r="E564" s="123"/>
      <c r="H564" s="123"/>
    </row>
    <row r="565" ht="18.75" customHeight="1">
      <c r="E565" s="123"/>
      <c r="H565" s="123"/>
    </row>
    <row r="566" ht="18.75" customHeight="1">
      <c r="E566" s="123"/>
      <c r="H566" s="123"/>
    </row>
    <row r="567" ht="18.75" customHeight="1">
      <c r="E567" s="123"/>
      <c r="H567" s="123"/>
    </row>
    <row r="568" ht="18.75" customHeight="1">
      <c r="E568" s="123"/>
      <c r="H568" s="123"/>
    </row>
    <row r="569" ht="18.75" customHeight="1">
      <c r="E569" s="123"/>
      <c r="H569" s="123"/>
    </row>
    <row r="570" ht="18.75" customHeight="1">
      <c r="E570" s="123"/>
      <c r="H570" s="123"/>
    </row>
    <row r="571" ht="18.75" customHeight="1">
      <c r="E571" s="123"/>
      <c r="H571" s="123"/>
    </row>
    <row r="572" ht="18.75" customHeight="1">
      <c r="E572" s="123"/>
      <c r="H572" s="123"/>
    </row>
    <row r="573" ht="18.75" customHeight="1">
      <c r="E573" s="123"/>
      <c r="H573" s="123"/>
    </row>
    <row r="574" ht="18.75" customHeight="1">
      <c r="E574" s="123"/>
      <c r="H574" s="123"/>
    </row>
    <row r="575" ht="18.75" customHeight="1">
      <c r="E575" s="123"/>
      <c r="H575" s="123"/>
    </row>
    <row r="576" ht="18.75" customHeight="1">
      <c r="E576" s="123"/>
      <c r="H576" s="123"/>
    </row>
    <row r="577" ht="18.75" customHeight="1">
      <c r="E577" s="123"/>
      <c r="H577" s="123"/>
    </row>
    <row r="578" ht="18.75" customHeight="1">
      <c r="E578" s="123"/>
      <c r="H578" s="123"/>
    </row>
    <row r="579" ht="18.75" customHeight="1">
      <c r="E579" s="123"/>
      <c r="H579" s="123"/>
    </row>
    <row r="580" ht="18.75" customHeight="1">
      <c r="E580" s="123"/>
      <c r="H580" s="123"/>
    </row>
    <row r="581" ht="18.75" customHeight="1">
      <c r="E581" s="123"/>
      <c r="H581" s="123"/>
    </row>
    <row r="582" ht="18.75" customHeight="1">
      <c r="E582" s="123"/>
      <c r="H582" s="123"/>
    </row>
    <row r="583" ht="18.75" customHeight="1">
      <c r="E583" s="123"/>
      <c r="H583" s="123"/>
    </row>
    <row r="584" ht="18.75" customHeight="1">
      <c r="E584" s="123"/>
      <c r="H584" s="123"/>
    </row>
    <row r="585" ht="18.75" customHeight="1">
      <c r="E585" s="123"/>
      <c r="H585" s="123"/>
    </row>
    <row r="586" ht="18.75" customHeight="1">
      <c r="E586" s="123"/>
      <c r="H586" s="123"/>
    </row>
    <row r="587" ht="18.75" customHeight="1">
      <c r="E587" s="123"/>
      <c r="H587" s="123"/>
    </row>
    <row r="588" ht="18.75" customHeight="1">
      <c r="E588" s="123"/>
      <c r="H588" s="123"/>
    </row>
    <row r="589" ht="18.75" customHeight="1">
      <c r="E589" s="123"/>
      <c r="H589" s="123"/>
    </row>
    <row r="590" ht="18.75" customHeight="1">
      <c r="E590" s="123"/>
      <c r="H590" s="123"/>
    </row>
    <row r="591" ht="18.75" customHeight="1">
      <c r="E591" s="123"/>
      <c r="H591" s="123"/>
    </row>
    <row r="592" ht="18.75" customHeight="1">
      <c r="E592" s="123"/>
      <c r="H592" s="123"/>
    </row>
    <row r="593" ht="18.75" customHeight="1">
      <c r="E593" s="123"/>
      <c r="H593" s="123"/>
    </row>
    <row r="594" ht="18.75" customHeight="1">
      <c r="E594" s="123"/>
      <c r="H594" s="123"/>
    </row>
    <row r="595" ht="18.75" customHeight="1">
      <c r="E595" s="123"/>
      <c r="H595" s="123"/>
    </row>
    <row r="596" ht="18.75" customHeight="1">
      <c r="E596" s="123"/>
      <c r="H596" s="123"/>
    </row>
    <row r="597" ht="18.75" customHeight="1">
      <c r="E597" s="123"/>
      <c r="H597" s="123"/>
    </row>
    <row r="598" ht="18.75" customHeight="1">
      <c r="E598" s="123"/>
      <c r="H598" s="123"/>
    </row>
    <row r="599" ht="18.75" customHeight="1">
      <c r="E599" s="123"/>
      <c r="H599" s="123"/>
    </row>
    <row r="600" ht="18.75" customHeight="1">
      <c r="E600" s="123"/>
      <c r="H600" s="123"/>
    </row>
    <row r="601" ht="18.75" customHeight="1">
      <c r="E601" s="123"/>
      <c r="H601" s="123"/>
    </row>
    <row r="602" ht="18.75" customHeight="1">
      <c r="E602" s="123"/>
      <c r="H602" s="123"/>
    </row>
    <row r="603" ht="18.75" customHeight="1">
      <c r="E603" s="123"/>
      <c r="H603" s="123"/>
    </row>
    <row r="604" ht="18.75" customHeight="1">
      <c r="E604" s="123"/>
      <c r="H604" s="123"/>
    </row>
    <row r="605" ht="18.75" customHeight="1">
      <c r="E605" s="123"/>
      <c r="H605" s="123"/>
    </row>
    <row r="606" ht="18.75" customHeight="1">
      <c r="E606" s="123"/>
      <c r="H606" s="123"/>
    </row>
    <row r="607" ht="18.75" customHeight="1">
      <c r="E607" s="123"/>
      <c r="H607" s="123"/>
    </row>
    <row r="608" ht="18.75" customHeight="1">
      <c r="E608" s="123"/>
      <c r="H608" s="123"/>
    </row>
    <row r="609" ht="18.75" customHeight="1">
      <c r="E609" s="123"/>
      <c r="H609" s="123"/>
    </row>
    <row r="610" ht="18.75" customHeight="1">
      <c r="E610" s="123"/>
      <c r="H610" s="123"/>
    </row>
    <row r="611" ht="18.75" customHeight="1">
      <c r="E611" s="123"/>
      <c r="H611" s="123"/>
    </row>
    <row r="612" ht="18.75" customHeight="1">
      <c r="E612" s="123"/>
      <c r="H612" s="123"/>
    </row>
    <row r="613" ht="18.75" customHeight="1">
      <c r="E613" s="123"/>
      <c r="H613" s="123"/>
    </row>
    <row r="614" ht="18.75" customHeight="1">
      <c r="E614" s="123"/>
      <c r="H614" s="123"/>
    </row>
    <row r="615" ht="18.75" customHeight="1">
      <c r="E615" s="123"/>
      <c r="H615" s="123"/>
    </row>
    <row r="616" ht="18.75" customHeight="1">
      <c r="E616" s="123"/>
      <c r="H616" s="123"/>
    </row>
    <row r="617" ht="18.75" customHeight="1">
      <c r="E617" s="123"/>
      <c r="H617" s="123"/>
    </row>
    <row r="618" ht="18.75" customHeight="1">
      <c r="E618" s="123"/>
      <c r="H618" s="123"/>
    </row>
    <row r="619" ht="18.75" customHeight="1">
      <c r="E619" s="123"/>
      <c r="H619" s="123"/>
    </row>
    <row r="620" ht="18.75" customHeight="1">
      <c r="E620" s="123"/>
      <c r="H620" s="123"/>
    </row>
    <row r="621" ht="18.75" customHeight="1">
      <c r="E621" s="123"/>
      <c r="H621" s="123"/>
    </row>
    <row r="622" ht="18.75" customHeight="1">
      <c r="E622" s="123"/>
      <c r="H622" s="123"/>
    </row>
    <row r="623" ht="18.75" customHeight="1">
      <c r="E623" s="123"/>
      <c r="H623" s="123"/>
    </row>
    <row r="624" ht="18.75" customHeight="1">
      <c r="E624" s="123"/>
      <c r="H624" s="123"/>
    </row>
    <row r="625" ht="18.75" customHeight="1">
      <c r="E625" s="123"/>
      <c r="H625" s="123"/>
    </row>
    <row r="626" ht="18.75" customHeight="1">
      <c r="E626" s="123"/>
      <c r="H626" s="123"/>
    </row>
    <row r="627" ht="18.75" customHeight="1">
      <c r="E627" s="123"/>
      <c r="H627" s="123"/>
    </row>
    <row r="628" ht="18.75" customHeight="1">
      <c r="E628" s="123"/>
      <c r="H628" s="123"/>
    </row>
    <row r="629" ht="18.75" customHeight="1">
      <c r="E629" s="123"/>
      <c r="H629" s="123"/>
    </row>
    <row r="630" ht="18.75" customHeight="1">
      <c r="E630" s="123"/>
      <c r="H630" s="123"/>
    </row>
    <row r="631" ht="18.75" customHeight="1">
      <c r="E631" s="123"/>
      <c r="H631" s="123"/>
    </row>
    <row r="632" ht="18.75" customHeight="1">
      <c r="E632" s="123"/>
      <c r="H632" s="123"/>
    </row>
    <row r="633" ht="18.75" customHeight="1">
      <c r="E633" s="123"/>
      <c r="H633" s="123"/>
    </row>
    <row r="634" ht="18.75" customHeight="1">
      <c r="E634" s="123"/>
      <c r="H634" s="123"/>
    </row>
    <row r="635" ht="18.75" customHeight="1">
      <c r="E635" s="123"/>
      <c r="H635" s="123"/>
    </row>
    <row r="636" ht="18.75" customHeight="1">
      <c r="E636" s="123"/>
      <c r="H636" s="123"/>
    </row>
    <row r="637" ht="18.75" customHeight="1">
      <c r="E637" s="123"/>
      <c r="H637" s="123"/>
    </row>
    <row r="638" ht="18.75" customHeight="1">
      <c r="E638" s="123"/>
      <c r="H638" s="123"/>
    </row>
    <row r="639" ht="18.75" customHeight="1">
      <c r="E639" s="123"/>
      <c r="H639" s="123"/>
    </row>
    <row r="640" ht="18.75" customHeight="1">
      <c r="E640" s="123"/>
      <c r="H640" s="123"/>
    </row>
    <row r="641" ht="18.75" customHeight="1">
      <c r="E641" s="123"/>
      <c r="H641" s="123"/>
    </row>
    <row r="642" ht="18.75" customHeight="1">
      <c r="E642" s="123"/>
      <c r="H642" s="123"/>
    </row>
    <row r="643" ht="18.75" customHeight="1">
      <c r="E643" s="123"/>
      <c r="H643" s="123"/>
    </row>
    <row r="644" ht="18.75" customHeight="1">
      <c r="E644" s="123"/>
      <c r="H644" s="123"/>
    </row>
    <row r="645" ht="18.75" customHeight="1">
      <c r="E645" s="123"/>
      <c r="H645" s="123"/>
    </row>
    <row r="646" ht="18.75" customHeight="1">
      <c r="E646" s="123"/>
      <c r="H646" s="123"/>
    </row>
    <row r="647" ht="18.75" customHeight="1">
      <c r="E647" s="123"/>
      <c r="H647" s="123"/>
    </row>
    <row r="648" ht="18.75" customHeight="1">
      <c r="E648" s="123"/>
      <c r="H648" s="123"/>
    </row>
    <row r="649" ht="18.75" customHeight="1">
      <c r="E649" s="123"/>
      <c r="H649" s="123"/>
    </row>
    <row r="650" ht="18.75" customHeight="1">
      <c r="E650" s="123"/>
      <c r="H650" s="123"/>
    </row>
    <row r="651" ht="18.75" customHeight="1">
      <c r="E651" s="123"/>
      <c r="H651" s="123"/>
    </row>
    <row r="652" ht="18.75" customHeight="1">
      <c r="E652" s="123"/>
      <c r="H652" s="123"/>
    </row>
    <row r="653" ht="18.75" customHeight="1">
      <c r="E653" s="123"/>
      <c r="H653" s="123"/>
    </row>
    <row r="654" ht="18.75" customHeight="1">
      <c r="E654" s="123"/>
      <c r="H654" s="123"/>
    </row>
    <row r="655" ht="18.75" customHeight="1">
      <c r="E655" s="123"/>
      <c r="H655" s="123"/>
    </row>
    <row r="656" ht="18.75" customHeight="1">
      <c r="E656" s="123"/>
      <c r="H656" s="123"/>
    </row>
    <row r="657" ht="18.75" customHeight="1">
      <c r="E657" s="123"/>
      <c r="H657" s="123"/>
    </row>
    <row r="658" ht="18.75" customHeight="1">
      <c r="E658" s="123"/>
      <c r="H658" s="123"/>
    </row>
    <row r="659" ht="18.75" customHeight="1">
      <c r="E659" s="123"/>
      <c r="H659" s="123"/>
    </row>
    <row r="660" ht="18.75" customHeight="1">
      <c r="E660" s="123"/>
      <c r="H660" s="123"/>
    </row>
    <row r="661" ht="18.75" customHeight="1">
      <c r="E661" s="123"/>
      <c r="H661" s="123"/>
    </row>
    <row r="662" ht="18.75" customHeight="1">
      <c r="E662" s="123"/>
      <c r="H662" s="123"/>
    </row>
    <row r="663" ht="18.75" customHeight="1">
      <c r="E663" s="123"/>
      <c r="H663" s="123"/>
    </row>
    <row r="664" ht="18.75" customHeight="1">
      <c r="E664" s="123"/>
      <c r="H664" s="123"/>
    </row>
    <row r="665" ht="18.75" customHeight="1">
      <c r="E665" s="123"/>
      <c r="H665" s="123"/>
    </row>
    <row r="666" ht="18.75" customHeight="1">
      <c r="E666" s="123"/>
      <c r="H666" s="123"/>
    </row>
    <row r="667" ht="18.75" customHeight="1">
      <c r="E667" s="123"/>
      <c r="H667" s="123"/>
    </row>
    <row r="668" ht="18.75" customHeight="1">
      <c r="E668" s="123"/>
      <c r="H668" s="123"/>
    </row>
    <row r="669" ht="18.75" customHeight="1">
      <c r="E669" s="123"/>
      <c r="H669" s="123"/>
    </row>
    <row r="670" ht="18.75" customHeight="1">
      <c r="E670" s="123"/>
      <c r="H670" s="123"/>
    </row>
    <row r="671" ht="18.75" customHeight="1">
      <c r="E671" s="123"/>
      <c r="H671" s="123"/>
    </row>
    <row r="672" ht="18.75" customHeight="1">
      <c r="E672" s="123"/>
      <c r="H672" s="123"/>
    </row>
    <row r="673" ht="18.75" customHeight="1">
      <c r="E673" s="123"/>
      <c r="H673" s="123"/>
    </row>
    <row r="674" ht="18.75" customHeight="1">
      <c r="E674" s="123"/>
      <c r="H674" s="123"/>
    </row>
    <row r="675" ht="18.75" customHeight="1">
      <c r="E675" s="123"/>
      <c r="H675" s="123"/>
    </row>
    <row r="676" ht="18.75" customHeight="1">
      <c r="E676" s="123"/>
      <c r="H676" s="123"/>
    </row>
    <row r="677" ht="18.75" customHeight="1">
      <c r="E677" s="123"/>
      <c r="H677" s="123"/>
    </row>
    <row r="678" ht="18.75" customHeight="1">
      <c r="E678" s="123"/>
      <c r="H678" s="123"/>
    </row>
    <row r="679" ht="18.75" customHeight="1">
      <c r="E679" s="123"/>
      <c r="H679" s="123"/>
    </row>
    <row r="680" ht="18.75" customHeight="1">
      <c r="E680" s="123"/>
      <c r="H680" s="123"/>
    </row>
    <row r="681" ht="18.75" customHeight="1">
      <c r="E681" s="123"/>
      <c r="H681" s="123"/>
    </row>
    <row r="682" ht="18.75" customHeight="1">
      <c r="E682" s="123"/>
      <c r="H682" s="123"/>
    </row>
    <row r="683" ht="18.75" customHeight="1">
      <c r="E683" s="123"/>
      <c r="H683" s="123"/>
    </row>
    <row r="684" ht="18.75" customHeight="1">
      <c r="E684" s="123"/>
      <c r="H684" s="123"/>
    </row>
    <row r="685" ht="18.75" customHeight="1">
      <c r="E685" s="123"/>
      <c r="H685" s="123"/>
    </row>
    <row r="686" ht="18.75" customHeight="1">
      <c r="E686" s="123"/>
      <c r="H686" s="123"/>
    </row>
    <row r="687" ht="18.75" customHeight="1">
      <c r="E687" s="123"/>
      <c r="H687" s="123"/>
    </row>
    <row r="688" ht="18.75" customHeight="1">
      <c r="E688" s="123"/>
      <c r="H688" s="123"/>
    </row>
    <row r="689" ht="18.75" customHeight="1">
      <c r="E689" s="123"/>
      <c r="H689" s="123"/>
    </row>
    <row r="690" ht="18.75" customHeight="1">
      <c r="E690" s="123"/>
      <c r="H690" s="123"/>
    </row>
    <row r="691" ht="18.75" customHeight="1">
      <c r="E691" s="123"/>
      <c r="H691" s="123"/>
    </row>
    <row r="692" ht="18.75" customHeight="1">
      <c r="E692" s="123"/>
      <c r="H692" s="123"/>
    </row>
    <row r="693" ht="18.75" customHeight="1">
      <c r="E693" s="123"/>
      <c r="H693" s="123"/>
    </row>
    <row r="694" ht="18.75" customHeight="1">
      <c r="E694" s="123"/>
      <c r="H694" s="123"/>
    </row>
    <row r="695" ht="18.75" customHeight="1">
      <c r="E695" s="123"/>
      <c r="H695" s="123"/>
    </row>
    <row r="696" ht="18.75" customHeight="1">
      <c r="E696" s="123"/>
      <c r="H696" s="123"/>
    </row>
    <row r="697" ht="18.75" customHeight="1">
      <c r="E697" s="123"/>
      <c r="H697" s="123"/>
    </row>
    <row r="698" ht="18.75" customHeight="1">
      <c r="E698" s="123"/>
      <c r="H698" s="123"/>
    </row>
    <row r="699" ht="18.75" customHeight="1">
      <c r="E699" s="123"/>
      <c r="H699" s="123"/>
    </row>
    <row r="700" ht="18.75" customHeight="1">
      <c r="E700" s="123"/>
      <c r="H700" s="123"/>
    </row>
    <row r="701" ht="18.75" customHeight="1">
      <c r="E701" s="123"/>
      <c r="H701" s="123"/>
    </row>
    <row r="702" ht="18.75" customHeight="1">
      <c r="E702" s="123"/>
      <c r="H702" s="123"/>
    </row>
    <row r="703" ht="18.75" customHeight="1">
      <c r="E703" s="123"/>
      <c r="H703" s="123"/>
    </row>
    <row r="704" ht="18.75" customHeight="1">
      <c r="E704" s="123"/>
      <c r="H704" s="123"/>
    </row>
    <row r="705" ht="18.75" customHeight="1">
      <c r="E705" s="123"/>
      <c r="H705" s="123"/>
    </row>
    <row r="706" ht="18.75" customHeight="1">
      <c r="E706" s="123"/>
      <c r="H706" s="123"/>
    </row>
    <row r="707" ht="18.75" customHeight="1">
      <c r="E707" s="123"/>
      <c r="H707" s="123"/>
    </row>
    <row r="708" ht="18.75" customHeight="1">
      <c r="E708" s="123"/>
      <c r="H708" s="123"/>
    </row>
    <row r="709" ht="18.75" customHeight="1">
      <c r="E709" s="123"/>
      <c r="H709" s="123"/>
    </row>
    <row r="710" ht="18.75" customHeight="1">
      <c r="E710" s="123"/>
      <c r="H710" s="123"/>
    </row>
    <row r="711" ht="18.75" customHeight="1">
      <c r="E711" s="123"/>
      <c r="H711" s="123"/>
    </row>
    <row r="712" ht="18.75" customHeight="1">
      <c r="E712" s="123"/>
      <c r="H712" s="123"/>
    </row>
    <row r="713" ht="18.75" customHeight="1">
      <c r="E713" s="123"/>
      <c r="H713" s="123"/>
    </row>
    <row r="714" ht="18.75" customHeight="1">
      <c r="E714" s="123"/>
      <c r="H714" s="123"/>
    </row>
    <row r="715" ht="18.75" customHeight="1">
      <c r="E715" s="123"/>
      <c r="H715" s="123"/>
    </row>
    <row r="716" ht="18.75" customHeight="1">
      <c r="E716" s="123"/>
      <c r="H716" s="123"/>
    </row>
    <row r="717" ht="18.75" customHeight="1">
      <c r="E717" s="123"/>
      <c r="H717" s="123"/>
    </row>
    <row r="718" ht="18.75" customHeight="1">
      <c r="E718" s="123"/>
      <c r="H718" s="123"/>
    </row>
    <row r="719" ht="18.75" customHeight="1">
      <c r="E719" s="123"/>
      <c r="H719" s="123"/>
    </row>
    <row r="720" ht="18.75" customHeight="1">
      <c r="E720" s="123"/>
      <c r="H720" s="123"/>
    </row>
    <row r="721" ht="18.75" customHeight="1">
      <c r="E721" s="123"/>
      <c r="H721" s="123"/>
    </row>
    <row r="722" ht="18.75" customHeight="1">
      <c r="E722" s="123"/>
      <c r="H722" s="123"/>
    </row>
    <row r="723" ht="18.75" customHeight="1">
      <c r="E723" s="123"/>
      <c r="H723" s="123"/>
    </row>
    <row r="724" ht="18.75" customHeight="1">
      <c r="E724" s="123"/>
      <c r="H724" s="123"/>
    </row>
    <row r="725" ht="18.75" customHeight="1">
      <c r="E725" s="123"/>
      <c r="H725" s="123"/>
    </row>
    <row r="726" ht="18.75" customHeight="1">
      <c r="E726" s="123"/>
      <c r="H726" s="123"/>
    </row>
    <row r="727" ht="18.75" customHeight="1">
      <c r="E727" s="123"/>
      <c r="H727" s="123"/>
    </row>
    <row r="728" ht="18.75" customHeight="1">
      <c r="E728" s="123"/>
      <c r="H728" s="123"/>
    </row>
    <row r="729" ht="18.75" customHeight="1">
      <c r="E729" s="123"/>
      <c r="H729" s="123"/>
    </row>
    <row r="730" ht="18.75" customHeight="1">
      <c r="E730" s="123"/>
      <c r="H730" s="123"/>
    </row>
    <row r="731" ht="18.75" customHeight="1">
      <c r="E731" s="123"/>
      <c r="H731" s="123"/>
    </row>
    <row r="732" ht="18.75" customHeight="1">
      <c r="E732" s="123"/>
      <c r="H732" s="123"/>
    </row>
    <row r="733" ht="18.75" customHeight="1">
      <c r="E733" s="123"/>
      <c r="H733" s="123"/>
    </row>
    <row r="734" ht="18.75" customHeight="1">
      <c r="E734" s="123"/>
      <c r="H734" s="123"/>
    </row>
    <row r="735" ht="18.75" customHeight="1">
      <c r="E735" s="123"/>
      <c r="H735" s="123"/>
    </row>
    <row r="736" ht="18.75" customHeight="1">
      <c r="E736" s="123"/>
      <c r="H736" s="123"/>
    </row>
    <row r="737" ht="18.75" customHeight="1">
      <c r="E737" s="123"/>
      <c r="H737" s="123"/>
    </row>
    <row r="738" ht="18.75" customHeight="1">
      <c r="E738" s="123"/>
      <c r="H738" s="123"/>
    </row>
    <row r="739" ht="18.75" customHeight="1">
      <c r="E739" s="123"/>
      <c r="H739" s="123"/>
    </row>
    <row r="740" ht="18.75" customHeight="1">
      <c r="E740" s="123"/>
      <c r="H740" s="123"/>
    </row>
    <row r="741" ht="18.75" customHeight="1">
      <c r="E741" s="123"/>
      <c r="H741" s="123"/>
    </row>
    <row r="742" ht="18.75" customHeight="1">
      <c r="E742" s="123"/>
      <c r="H742" s="123"/>
    </row>
    <row r="743" ht="18.75" customHeight="1">
      <c r="E743" s="123"/>
      <c r="H743" s="123"/>
    </row>
    <row r="744" ht="18.75" customHeight="1">
      <c r="E744" s="123"/>
      <c r="H744" s="123"/>
    </row>
    <row r="745" ht="18.75" customHeight="1">
      <c r="E745" s="123"/>
      <c r="H745" s="123"/>
    </row>
    <row r="746" ht="18.75" customHeight="1">
      <c r="E746" s="123"/>
      <c r="H746" s="123"/>
    </row>
    <row r="747" ht="18.75" customHeight="1">
      <c r="E747" s="123"/>
      <c r="H747" s="123"/>
    </row>
    <row r="748" ht="18.75" customHeight="1">
      <c r="E748" s="123"/>
      <c r="H748" s="123"/>
    </row>
    <row r="749" ht="18.75" customHeight="1">
      <c r="E749" s="123"/>
      <c r="H749" s="123"/>
    </row>
    <row r="750" ht="18.75" customHeight="1">
      <c r="E750" s="123"/>
      <c r="H750" s="123"/>
    </row>
    <row r="751" ht="18.75" customHeight="1">
      <c r="E751" s="123"/>
      <c r="H751" s="123"/>
    </row>
    <row r="752" ht="18.75" customHeight="1">
      <c r="E752" s="123"/>
      <c r="H752" s="123"/>
    </row>
    <row r="753" ht="18.75" customHeight="1">
      <c r="E753" s="123"/>
      <c r="H753" s="123"/>
    </row>
    <row r="754" ht="18.75" customHeight="1">
      <c r="E754" s="123"/>
      <c r="H754" s="123"/>
    </row>
    <row r="755" ht="18.75" customHeight="1">
      <c r="E755" s="123"/>
      <c r="H755" s="123"/>
    </row>
    <row r="756" ht="18.75" customHeight="1">
      <c r="E756" s="123"/>
      <c r="H756" s="123"/>
    </row>
    <row r="757" ht="18.75" customHeight="1">
      <c r="E757" s="123"/>
      <c r="H757" s="123"/>
    </row>
    <row r="758" ht="18.75" customHeight="1">
      <c r="E758" s="123"/>
      <c r="H758" s="123"/>
    </row>
    <row r="759" ht="18.75" customHeight="1">
      <c r="E759" s="123"/>
      <c r="H759" s="123"/>
    </row>
    <row r="760" ht="18.75" customHeight="1">
      <c r="E760" s="123"/>
      <c r="H760" s="123"/>
    </row>
    <row r="761" ht="18.75" customHeight="1">
      <c r="E761" s="123"/>
      <c r="H761" s="123"/>
    </row>
    <row r="762" ht="18.75" customHeight="1">
      <c r="E762" s="123"/>
      <c r="H762" s="123"/>
    </row>
    <row r="763" ht="18.75" customHeight="1">
      <c r="E763" s="123"/>
      <c r="H763" s="123"/>
    </row>
    <row r="764" ht="18.75" customHeight="1">
      <c r="E764" s="123"/>
      <c r="H764" s="123"/>
    </row>
    <row r="765" ht="18.75" customHeight="1">
      <c r="E765" s="123"/>
      <c r="H765" s="123"/>
    </row>
    <row r="766" ht="18.75" customHeight="1">
      <c r="E766" s="123"/>
      <c r="H766" s="123"/>
    </row>
    <row r="767" ht="18.75" customHeight="1">
      <c r="E767" s="123"/>
      <c r="H767" s="123"/>
    </row>
    <row r="768" ht="18.75" customHeight="1">
      <c r="E768" s="123"/>
      <c r="H768" s="123"/>
    </row>
    <row r="769" ht="18.75" customHeight="1">
      <c r="E769" s="123"/>
      <c r="H769" s="123"/>
    </row>
    <row r="770" ht="18.75" customHeight="1">
      <c r="E770" s="123"/>
      <c r="H770" s="123"/>
    </row>
    <row r="771" ht="18.75" customHeight="1">
      <c r="E771" s="123"/>
      <c r="H771" s="123"/>
    </row>
    <row r="772" ht="18.75" customHeight="1">
      <c r="E772" s="123"/>
      <c r="H772" s="123"/>
    </row>
    <row r="773" ht="18.75" customHeight="1">
      <c r="E773" s="123"/>
      <c r="H773" s="123"/>
    </row>
    <row r="774" ht="18.75" customHeight="1">
      <c r="E774" s="123"/>
      <c r="H774" s="123"/>
    </row>
    <row r="775" ht="18.75" customHeight="1">
      <c r="E775" s="123"/>
      <c r="H775" s="123"/>
    </row>
    <row r="776" ht="18.75" customHeight="1">
      <c r="E776" s="123"/>
      <c r="H776" s="123"/>
    </row>
    <row r="777" ht="18.75" customHeight="1">
      <c r="E777" s="123"/>
      <c r="H777" s="123"/>
    </row>
    <row r="778" ht="18.75" customHeight="1">
      <c r="E778" s="123"/>
      <c r="H778" s="123"/>
    </row>
    <row r="779" ht="18.75" customHeight="1">
      <c r="E779" s="123"/>
      <c r="H779" s="123"/>
    </row>
    <row r="780" ht="18.75" customHeight="1">
      <c r="E780" s="123"/>
      <c r="H780" s="123"/>
    </row>
    <row r="781" ht="18.75" customHeight="1">
      <c r="E781" s="123"/>
      <c r="H781" s="123"/>
    </row>
    <row r="782" ht="18.75" customHeight="1">
      <c r="E782" s="123"/>
      <c r="H782" s="123"/>
    </row>
    <row r="783" ht="18.75" customHeight="1">
      <c r="E783" s="123"/>
      <c r="H783" s="123"/>
    </row>
    <row r="784" ht="18.75" customHeight="1">
      <c r="E784" s="123"/>
      <c r="H784" s="123"/>
    </row>
    <row r="785" ht="18.75" customHeight="1">
      <c r="E785" s="123"/>
      <c r="H785" s="123"/>
    </row>
    <row r="786" ht="18.75" customHeight="1">
      <c r="E786" s="123"/>
      <c r="H786" s="123"/>
    </row>
    <row r="787" ht="18.75" customHeight="1">
      <c r="E787" s="123"/>
      <c r="H787" s="123"/>
    </row>
    <row r="788" ht="18.75" customHeight="1">
      <c r="E788" s="123"/>
      <c r="H788" s="123"/>
    </row>
    <row r="789" ht="18.75" customHeight="1">
      <c r="E789" s="123"/>
      <c r="H789" s="123"/>
    </row>
    <row r="790" ht="18.75" customHeight="1">
      <c r="E790" s="123"/>
      <c r="H790" s="123"/>
    </row>
    <row r="791" ht="18.75" customHeight="1">
      <c r="E791" s="123"/>
      <c r="H791" s="123"/>
    </row>
    <row r="792" ht="18.75" customHeight="1">
      <c r="E792" s="123"/>
      <c r="H792" s="123"/>
    </row>
    <row r="793" ht="18.75" customHeight="1">
      <c r="E793" s="123"/>
      <c r="H793" s="123"/>
    </row>
    <row r="794" ht="18.75" customHeight="1">
      <c r="E794" s="123"/>
      <c r="H794" s="123"/>
    </row>
    <row r="795" ht="18.75" customHeight="1">
      <c r="E795" s="123"/>
      <c r="H795" s="123"/>
    </row>
    <row r="796" ht="18.75" customHeight="1">
      <c r="E796" s="123"/>
      <c r="H796" s="123"/>
    </row>
    <row r="797" ht="18.75" customHeight="1">
      <c r="E797" s="123"/>
      <c r="H797" s="123"/>
    </row>
    <row r="798" ht="18.75" customHeight="1">
      <c r="E798" s="123"/>
      <c r="H798" s="123"/>
    </row>
    <row r="799" ht="18.75" customHeight="1">
      <c r="E799" s="123"/>
      <c r="H799" s="123"/>
    </row>
    <row r="800" ht="18.75" customHeight="1">
      <c r="E800" s="123"/>
      <c r="H800" s="123"/>
    </row>
    <row r="801" ht="18.75" customHeight="1">
      <c r="E801" s="123"/>
      <c r="H801" s="123"/>
    </row>
    <row r="802" ht="18.75" customHeight="1">
      <c r="E802" s="123"/>
      <c r="H802" s="123"/>
    </row>
    <row r="803" ht="18.75" customHeight="1">
      <c r="E803" s="123"/>
      <c r="H803" s="123"/>
    </row>
    <row r="804" ht="18.75" customHeight="1">
      <c r="E804" s="123"/>
      <c r="H804" s="123"/>
    </row>
    <row r="805" ht="18.75" customHeight="1">
      <c r="E805" s="123"/>
      <c r="H805" s="123"/>
    </row>
    <row r="806" ht="18.75" customHeight="1">
      <c r="E806" s="123"/>
      <c r="H806" s="123"/>
    </row>
    <row r="807" ht="18.75" customHeight="1">
      <c r="E807" s="123"/>
      <c r="H807" s="123"/>
    </row>
    <row r="808" ht="18.75" customHeight="1">
      <c r="E808" s="123"/>
      <c r="H808" s="123"/>
    </row>
    <row r="809" ht="18.75" customHeight="1">
      <c r="E809" s="123"/>
      <c r="H809" s="123"/>
    </row>
    <row r="810" ht="18.75" customHeight="1">
      <c r="E810" s="123"/>
      <c r="H810" s="123"/>
    </row>
    <row r="811" ht="18.75" customHeight="1">
      <c r="E811" s="123"/>
      <c r="H811" s="123"/>
    </row>
    <row r="812" ht="18.75" customHeight="1">
      <c r="E812" s="123"/>
      <c r="H812" s="123"/>
    </row>
    <row r="813" ht="18.75" customHeight="1">
      <c r="E813" s="123"/>
      <c r="H813" s="123"/>
    </row>
    <row r="814" ht="18.75" customHeight="1">
      <c r="E814" s="123"/>
      <c r="H814" s="123"/>
    </row>
    <row r="815" ht="18.75" customHeight="1">
      <c r="E815" s="123"/>
      <c r="H815" s="123"/>
    </row>
    <row r="816" ht="18.75" customHeight="1">
      <c r="E816" s="123"/>
      <c r="H816" s="123"/>
    </row>
    <row r="817" ht="18.75" customHeight="1">
      <c r="E817" s="123"/>
      <c r="H817" s="123"/>
    </row>
    <row r="818" ht="18.75" customHeight="1">
      <c r="E818" s="123"/>
      <c r="H818" s="123"/>
    </row>
    <row r="819" ht="18.75" customHeight="1">
      <c r="E819" s="123"/>
      <c r="H819" s="123"/>
    </row>
    <row r="820" ht="18.75" customHeight="1">
      <c r="E820" s="123"/>
      <c r="H820" s="123"/>
    </row>
    <row r="821" ht="18.75" customHeight="1">
      <c r="E821" s="123"/>
      <c r="H821" s="123"/>
    </row>
    <row r="822" ht="18.75" customHeight="1">
      <c r="E822" s="123"/>
      <c r="H822" s="123"/>
    </row>
    <row r="823" ht="18.75" customHeight="1">
      <c r="E823" s="123"/>
      <c r="H823" s="123"/>
    </row>
    <row r="824" ht="18.75" customHeight="1">
      <c r="E824" s="123"/>
      <c r="H824" s="123"/>
    </row>
    <row r="825" ht="18.75" customHeight="1">
      <c r="E825" s="123"/>
      <c r="H825" s="123"/>
    </row>
    <row r="826" ht="18.75" customHeight="1">
      <c r="E826" s="123"/>
      <c r="H826" s="123"/>
    </row>
    <row r="827" ht="18.75" customHeight="1">
      <c r="E827" s="123"/>
      <c r="H827" s="123"/>
    </row>
    <row r="828" ht="18.75" customHeight="1">
      <c r="E828" s="123"/>
      <c r="H828" s="123"/>
    </row>
    <row r="829" ht="18.75" customHeight="1">
      <c r="E829" s="123"/>
      <c r="H829" s="123"/>
    </row>
    <row r="830" ht="18.75" customHeight="1">
      <c r="E830" s="123"/>
      <c r="H830" s="123"/>
    </row>
    <row r="831" ht="18.75" customHeight="1">
      <c r="E831" s="123"/>
      <c r="H831" s="123"/>
    </row>
    <row r="832" ht="18.75" customHeight="1">
      <c r="E832" s="123"/>
      <c r="H832" s="123"/>
    </row>
    <row r="833" ht="18.75" customHeight="1">
      <c r="E833" s="123"/>
      <c r="H833" s="123"/>
    </row>
    <row r="834" ht="18.75" customHeight="1">
      <c r="E834" s="123"/>
      <c r="H834" s="123"/>
    </row>
    <row r="835" ht="18.75" customHeight="1">
      <c r="E835" s="123"/>
      <c r="H835" s="123"/>
    </row>
    <row r="836" ht="18.75" customHeight="1">
      <c r="E836" s="123"/>
      <c r="H836" s="123"/>
    </row>
    <row r="837" ht="18.75" customHeight="1">
      <c r="E837" s="123"/>
      <c r="H837" s="123"/>
    </row>
    <row r="838" ht="18.75" customHeight="1">
      <c r="E838" s="123"/>
      <c r="H838" s="123"/>
    </row>
    <row r="839" ht="18.75" customHeight="1">
      <c r="E839" s="123"/>
      <c r="H839" s="123"/>
    </row>
    <row r="840" ht="18.75" customHeight="1">
      <c r="E840" s="123"/>
      <c r="H840" s="123"/>
    </row>
    <row r="841" ht="18.75" customHeight="1">
      <c r="E841" s="123"/>
      <c r="H841" s="123"/>
    </row>
    <row r="842" ht="18.75" customHeight="1">
      <c r="E842" s="123"/>
      <c r="H842" s="123"/>
    </row>
    <row r="843" ht="18.75" customHeight="1">
      <c r="E843" s="123"/>
      <c r="H843" s="123"/>
    </row>
    <row r="844" ht="18.75" customHeight="1">
      <c r="E844" s="123"/>
      <c r="H844" s="123"/>
    </row>
    <row r="845" ht="18.75" customHeight="1">
      <c r="E845" s="123"/>
      <c r="H845" s="123"/>
    </row>
    <row r="846" ht="18.75" customHeight="1">
      <c r="E846" s="123"/>
      <c r="H846" s="123"/>
    </row>
    <row r="847" ht="18.75" customHeight="1">
      <c r="E847" s="123"/>
      <c r="H847" s="123"/>
    </row>
    <row r="848" ht="18.75" customHeight="1">
      <c r="E848" s="123"/>
      <c r="H848" s="123"/>
    </row>
    <row r="849" ht="18.75" customHeight="1">
      <c r="E849" s="123"/>
      <c r="H849" s="123"/>
    </row>
    <row r="850" ht="18.75" customHeight="1">
      <c r="E850" s="123"/>
      <c r="H850" s="123"/>
    </row>
    <row r="851" ht="18.75" customHeight="1">
      <c r="E851" s="123"/>
      <c r="H851" s="123"/>
    </row>
    <row r="852" ht="18.75" customHeight="1">
      <c r="E852" s="123"/>
      <c r="H852" s="123"/>
    </row>
    <row r="853" ht="18.75" customHeight="1">
      <c r="E853" s="123"/>
      <c r="H853" s="123"/>
    </row>
    <row r="854" ht="18.75" customHeight="1">
      <c r="E854" s="123"/>
      <c r="H854" s="123"/>
    </row>
    <row r="855" ht="18.75" customHeight="1">
      <c r="E855" s="123"/>
      <c r="H855" s="123"/>
    </row>
    <row r="856" ht="18.75" customHeight="1">
      <c r="E856" s="123"/>
      <c r="H856" s="123"/>
    </row>
    <row r="857" ht="18.75" customHeight="1">
      <c r="E857" s="123"/>
      <c r="H857" s="123"/>
    </row>
    <row r="858" ht="18.75" customHeight="1">
      <c r="E858" s="123"/>
      <c r="H858" s="123"/>
    </row>
    <row r="859" ht="18.75" customHeight="1">
      <c r="E859" s="123"/>
      <c r="H859" s="123"/>
    </row>
    <row r="860" ht="18.75" customHeight="1">
      <c r="E860" s="123"/>
      <c r="H860" s="123"/>
    </row>
    <row r="861" ht="18.75" customHeight="1">
      <c r="E861" s="123"/>
      <c r="H861" s="123"/>
    </row>
    <row r="862" ht="18.75" customHeight="1">
      <c r="E862" s="123"/>
      <c r="H862" s="123"/>
    </row>
    <row r="863" ht="18.75" customHeight="1">
      <c r="E863" s="123"/>
      <c r="H863" s="123"/>
    </row>
    <row r="864" ht="18.75" customHeight="1">
      <c r="E864" s="123"/>
      <c r="H864" s="123"/>
    </row>
    <row r="865" ht="18.75" customHeight="1">
      <c r="E865" s="123"/>
      <c r="H865" s="123"/>
    </row>
    <row r="866" ht="18.75" customHeight="1">
      <c r="E866" s="123"/>
      <c r="H866" s="123"/>
    </row>
    <row r="867" ht="18.75" customHeight="1">
      <c r="E867" s="123"/>
      <c r="H867" s="123"/>
    </row>
    <row r="868" ht="18.75" customHeight="1">
      <c r="E868" s="123"/>
      <c r="H868" s="123"/>
    </row>
    <row r="869" ht="18.75" customHeight="1">
      <c r="E869" s="123"/>
      <c r="H869" s="123"/>
    </row>
    <row r="870" ht="18.75" customHeight="1">
      <c r="E870" s="123"/>
      <c r="H870" s="123"/>
    </row>
    <row r="871" ht="18.75" customHeight="1">
      <c r="E871" s="123"/>
      <c r="H871" s="123"/>
    </row>
    <row r="872" ht="18.75" customHeight="1">
      <c r="E872" s="123"/>
      <c r="H872" s="123"/>
    </row>
    <row r="873" ht="18.75" customHeight="1">
      <c r="E873" s="123"/>
      <c r="H873" s="123"/>
    </row>
    <row r="874" ht="18.75" customHeight="1">
      <c r="E874" s="123"/>
      <c r="H874" s="123"/>
    </row>
    <row r="875" ht="18.75" customHeight="1">
      <c r="E875" s="123"/>
      <c r="H875" s="123"/>
    </row>
    <row r="876" ht="18.75" customHeight="1">
      <c r="E876" s="123"/>
      <c r="H876" s="123"/>
    </row>
    <row r="877" ht="18.75" customHeight="1">
      <c r="E877" s="123"/>
      <c r="H877" s="123"/>
    </row>
    <row r="878" ht="18.75" customHeight="1">
      <c r="E878" s="123"/>
      <c r="H878" s="123"/>
    </row>
    <row r="879" ht="18.75" customHeight="1">
      <c r="E879" s="123"/>
      <c r="H879" s="123"/>
    </row>
    <row r="880" ht="18.75" customHeight="1">
      <c r="E880" s="123"/>
      <c r="H880" s="123"/>
    </row>
    <row r="881" ht="18.75" customHeight="1">
      <c r="E881" s="123"/>
      <c r="H881" s="123"/>
    </row>
    <row r="882" ht="18.75" customHeight="1">
      <c r="E882" s="123"/>
      <c r="H882" s="123"/>
    </row>
    <row r="883" ht="18.75" customHeight="1">
      <c r="E883" s="123"/>
      <c r="H883" s="123"/>
    </row>
    <row r="884" ht="18.75" customHeight="1">
      <c r="E884" s="123"/>
      <c r="H884" s="123"/>
    </row>
    <row r="885" ht="18.75" customHeight="1">
      <c r="E885" s="123"/>
      <c r="H885" s="123"/>
    </row>
    <row r="886" ht="18.75" customHeight="1">
      <c r="E886" s="123"/>
      <c r="H886" s="123"/>
    </row>
    <row r="887" ht="18.75" customHeight="1">
      <c r="E887" s="123"/>
      <c r="H887" s="123"/>
    </row>
    <row r="888" ht="18.75" customHeight="1">
      <c r="E888" s="123"/>
      <c r="H888" s="123"/>
    </row>
    <row r="889" ht="18.75" customHeight="1">
      <c r="E889" s="123"/>
      <c r="H889" s="123"/>
    </row>
    <row r="890" ht="18.75" customHeight="1">
      <c r="E890" s="123"/>
      <c r="H890" s="123"/>
    </row>
    <row r="891" ht="18.75" customHeight="1">
      <c r="E891" s="123"/>
      <c r="H891" s="123"/>
    </row>
    <row r="892" ht="18.75" customHeight="1">
      <c r="E892" s="123"/>
      <c r="H892" s="123"/>
    </row>
    <row r="893" ht="18.75" customHeight="1">
      <c r="E893" s="123"/>
      <c r="H893" s="123"/>
    </row>
    <row r="894" ht="18.75" customHeight="1">
      <c r="E894" s="123"/>
      <c r="H894" s="123"/>
    </row>
    <row r="895" ht="18.75" customHeight="1">
      <c r="E895" s="123"/>
      <c r="H895" s="123"/>
    </row>
    <row r="896" ht="18.75" customHeight="1">
      <c r="E896" s="123"/>
      <c r="H896" s="123"/>
    </row>
    <row r="897" ht="18.75" customHeight="1">
      <c r="E897" s="123"/>
      <c r="H897" s="123"/>
    </row>
    <row r="898" ht="18.75" customHeight="1">
      <c r="E898" s="123"/>
      <c r="H898" s="123"/>
    </row>
    <row r="899" ht="18.75" customHeight="1">
      <c r="E899" s="123"/>
      <c r="H899" s="123"/>
    </row>
    <row r="900" ht="18.75" customHeight="1">
      <c r="E900" s="123"/>
      <c r="H900" s="123"/>
    </row>
    <row r="901" ht="18.75" customHeight="1">
      <c r="E901" s="123"/>
      <c r="H901" s="123"/>
    </row>
    <row r="902" ht="18.75" customHeight="1">
      <c r="E902" s="123"/>
      <c r="H902" s="123"/>
    </row>
    <row r="903" ht="18.75" customHeight="1">
      <c r="E903" s="123"/>
      <c r="H903" s="123"/>
    </row>
    <row r="904" ht="18.75" customHeight="1">
      <c r="E904" s="123"/>
      <c r="H904" s="123"/>
    </row>
    <row r="905" ht="18.75" customHeight="1">
      <c r="E905" s="123"/>
      <c r="H905" s="123"/>
    </row>
    <row r="906" ht="18.75" customHeight="1">
      <c r="E906" s="123"/>
      <c r="H906" s="123"/>
    </row>
    <row r="907" ht="18.75" customHeight="1">
      <c r="E907" s="123"/>
      <c r="H907" s="123"/>
    </row>
    <row r="908" ht="18.75" customHeight="1">
      <c r="E908" s="123"/>
      <c r="H908" s="123"/>
    </row>
    <row r="909" ht="18.75" customHeight="1">
      <c r="E909" s="123"/>
      <c r="H909" s="123"/>
    </row>
    <row r="910" ht="18.75" customHeight="1">
      <c r="E910" s="123"/>
      <c r="H910" s="123"/>
    </row>
    <row r="911" ht="18.75" customHeight="1">
      <c r="E911" s="123"/>
      <c r="H911" s="123"/>
    </row>
    <row r="912" ht="18.75" customHeight="1">
      <c r="E912" s="123"/>
      <c r="H912" s="123"/>
    </row>
    <row r="913" ht="18.75" customHeight="1">
      <c r="E913" s="123"/>
      <c r="H913" s="123"/>
    </row>
    <row r="914" ht="18.75" customHeight="1">
      <c r="E914" s="123"/>
      <c r="H914" s="123"/>
    </row>
    <row r="915" ht="18.75" customHeight="1">
      <c r="E915" s="123"/>
      <c r="H915" s="123"/>
    </row>
    <row r="916" ht="18.75" customHeight="1">
      <c r="E916" s="123"/>
      <c r="H916" s="123"/>
    </row>
    <row r="917" ht="18.75" customHeight="1">
      <c r="E917" s="123"/>
      <c r="H917" s="123"/>
    </row>
    <row r="918" ht="18.75" customHeight="1">
      <c r="E918" s="123"/>
      <c r="H918" s="123"/>
    </row>
    <row r="919" ht="18.75" customHeight="1">
      <c r="E919" s="123"/>
      <c r="H919" s="123"/>
    </row>
    <row r="920" ht="18.75" customHeight="1">
      <c r="E920" s="123"/>
      <c r="H920" s="123"/>
    </row>
    <row r="921" ht="18.75" customHeight="1">
      <c r="E921" s="123"/>
      <c r="H921" s="123"/>
    </row>
    <row r="922" ht="18.75" customHeight="1">
      <c r="E922" s="123"/>
      <c r="H922" s="123"/>
    </row>
    <row r="923" ht="18.75" customHeight="1">
      <c r="E923" s="123"/>
      <c r="H923" s="123"/>
    </row>
    <row r="924" ht="18.75" customHeight="1">
      <c r="E924" s="123"/>
      <c r="H924" s="123"/>
    </row>
    <row r="925" ht="18.75" customHeight="1">
      <c r="E925" s="123"/>
      <c r="H925" s="123"/>
    </row>
    <row r="926" ht="18.75" customHeight="1">
      <c r="E926" s="123"/>
      <c r="H926" s="123"/>
    </row>
    <row r="927" ht="18.75" customHeight="1">
      <c r="E927" s="123"/>
      <c r="H927" s="123"/>
    </row>
    <row r="928" ht="18.75" customHeight="1">
      <c r="E928" s="123"/>
      <c r="H928" s="123"/>
    </row>
    <row r="929" ht="18.75" customHeight="1">
      <c r="E929" s="123"/>
      <c r="H929" s="123"/>
    </row>
    <row r="930" ht="18.75" customHeight="1">
      <c r="E930" s="123"/>
      <c r="H930" s="123"/>
    </row>
    <row r="931" ht="18.75" customHeight="1">
      <c r="E931" s="123"/>
      <c r="H931" s="123"/>
    </row>
    <row r="932" ht="18.75" customHeight="1">
      <c r="E932" s="123"/>
      <c r="H932" s="123"/>
    </row>
    <row r="933" ht="18.75" customHeight="1">
      <c r="E933" s="123"/>
      <c r="H933" s="123"/>
    </row>
    <row r="934" ht="18.75" customHeight="1">
      <c r="E934" s="123"/>
      <c r="H934" s="123"/>
    </row>
    <row r="935" ht="18.75" customHeight="1">
      <c r="E935" s="123"/>
      <c r="H935" s="123"/>
    </row>
    <row r="936" ht="18.75" customHeight="1">
      <c r="E936" s="123"/>
      <c r="H936" s="123"/>
    </row>
    <row r="937" ht="18.75" customHeight="1">
      <c r="E937" s="123"/>
      <c r="H937" s="123"/>
    </row>
    <row r="938" ht="18.75" customHeight="1">
      <c r="E938" s="123"/>
      <c r="H938" s="123"/>
    </row>
    <row r="939" ht="18.75" customHeight="1">
      <c r="E939" s="123"/>
      <c r="H939" s="123"/>
    </row>
    <row r="940" ht="18.75" customHeight="1">
      <c r="E940" s="123"/>
      <c r="H940" s="123"/>
    </row>
    <row r="941" ht="18.75" customHeight="1">
      <c r="E941" s="123"/>
      <c r="H941" s="123"/>
    </row>
    <row r="942" ht="18.75" customHeight="1">
      <c r="E942" s="123"/>
      <c r="H942" s="123"/>
    </row>
    <row r="943" ht="18.75" customHeight="1">
      <c r="E943" s="123"/>
      <c r="H943" s="123"/>
    </row>
    <row r="944" ht="18.75" customHeight="1">
      <c r="E944" s="123"/>
      <c r="H944" s="123"/>
    </row>
    <row r="945" ht="18.75" customHeight="1">
      <c r="E945" s="123"/>
      <c r="H945" s="123"/>
    </row>
    <row r="946" ht="18.75" customHeight="1">
      <c r="E946" s="123"/>
      <c r="H946" s="123"/>
    </row>
    <row r="947" ht="18.75" customHeight="1">
      <c r="E947" s="123"/>
      <c r="H947" s="123"/>
    </row>
    <row r="948" ht="18.75" customHeight="1">
      <c r="E948" s="123"/>
      <c r="H948" s="123"/>
    </row>
    <row r="949" ht="18.75" customHeight="1">
      <c r="E949" s="123"/>
      <c r="H949" s="123"/>
    </row>
    <row r="950" ht="18.75" customHeight="1">
      <c r="E950" s="123"/>
      <c r="H950" s="123"/>
    </row>
    <row r="951" ht="18.75" customHeight="1">
      <c r="E951" s="123"/>
      <c r="H951" s="123"/>
    </row>
    <row r="952" ht="18.75" customHeight="1">
      <c r="E952" s="123"/>
      <c r="H952" s="123"/>
    </row>
    <row r="953" ht="18.75" customHeight="1">
      <c r="E953" s="123"/>
      <c r="H953" s="123"/>
    </row>
    <row r="954" ht="18.75" customHeight="1">
      <c r="E954" s="123"/>
      <c r="H954" s="123"/>
    </row>
    <row r="955" ht="18.75" customHeight="1">
      <c r="E955" s="123"/>
      <c r="H955" s="123"/>
    </row>
    <row r="956" ht="18.75" customHeight="1">
      <c r="E956" s="123"/>
      <c r="H956" s="123"/>
    </row>
    <row r="957" ht="18.75" customHeight="1">
      <c r="E957" s="123"/>
      <c r="H957" s="123"/>
    </row>
    <row r="958" ht="18.75" customHeight="1">
      <c r="E958" s="123"/>
      <c r="H958" s="123"/>
    </row>
    <row r="959" ht="18.75" customHeight="1">
      <c r="E959" s="123"/>
      <c r="H959" s="123"/>
    </row>
    <row r="960" ht="18.75" customHeight="1">
      <c r="E960" s="123"/>
      <c r="H960" s="123"/>
    </row>
    <row r="961" ht="18.75" customHeight="1">
      <c r="E961" s="123"/>
      <c r="H961" s="123"/>
    </row>
    <row r="962" ht="18.75" customHeight="1">
      <c r="E962" s="123"/>
      <c r="H962" s="123"/>
    </row>
    <row r="963" ht="18.75" customHeight="1">
      <c r="E963" s="123"/>
      <c r="H963" s="123"/>
    </row>
    <row r="964" ht="18.75" customHeight="1">
      <c r="E964" s="123"/>
      <c r="H964" s="123"/>
    </row>
    <row r="965" ht="18.75" customHeight="1">
      <c r="E965" s="123"/>
      <c r="H965" s="123"/>
    </row>
    <row r="966" ht="18.75" customHeight="1">
      <c r="E966" s="123"/>
      <c r="H966" s="123"/>
    </row>
    <row r="967" ht="18.75" customHeight="1">
      <c r="E967" s="123"/>
      <c r="H967" s="123"/>
    </row>
    <row r="968" ht="18.75" customHeight="1">
      <c r="E968" s="123"/>
      <c r="H968" s="123"/>
    </row>
    <row r="969" ht="18.75" customHeight="1">
      <c r="E969" s="123"/>
      <c r="H969" s="123"/>
    </row>
    <row r="970" ht="18.75" customHeight="1">
      <c r="E970" s="123"/>
      <c r="H970" s="123"/>
    </row>
    <row r="971" ht="18.75" customHeight="1">
      <c r="E971" s="123"/>
      <c r="H971" s="123"/>
    </row>
    <row r="972" ht="18.75" customHeight="1">
      <c r="E972" s="123"/>
      <c r="H972" s="123"/>
    </row>
    <row r="973" ht="18.75" customHeight="1">
      <c r="E973" s="123"/>
      <c r="H973" s="123"/>
    </row>
    <row r="974" ht="18.75" customHeight="1">
      <c r="E974" s="123"/>
      <c r="H974" s="123"/>
    </row>
    <row r="975" ht="18.75" customHeight="1">
      <c r="E975" s="123"/>
      <c r="H975" s="123"/>
    </row>
    <row r="976" ht="18.75" customHeight="1">
      <c r="E976" s="123"/>
      <c r="H976" s="123"/>
    </row>
    <row r="977" ht="18.75" customHeight="1">
      <c r="E977" s="123"/>
      <c r="H977" s="123"/>
    </row>
    <row r="978" ht="18.75" customHeight="1">
      <c r="E978" s="123"/>
      <c r="H978" s="123"/>
    </row>
    <row r="979" ht="18.75" customHeight="1">
      <c r="E979" s="123"/>
      <c r="H979" s="123"/>
    </row>
    <row r="980" ht="18.75" customHeight="1">
      <c r="E980" s="123"/>
      <c r="H980" s="123"/>
    </row>
    <row r="981" ht="18.75" customHeight="1">
      <c r="E981" s="123"/>
      <c r="H981" s="123"/>
    </row>
    <row r="982" ht="18.75" customHeight="1">
      <c r="E982" s="123"/>
      <c r="H982" s="123"/>
    </row>
    <row r="983" ht="18.75" customHeight="1">
      <c r="E983" s="123"/>
      <c r="H983" s="123"/>
    </row>
    <row r="984" ht="18.75" customHeight="1">
      <c r="E984" s="123"/>
      <c r="H984" s="123"/>
    </row>
    <row r="985" ht="18.75" customHeight="1">
      <c r="E985" s="123"/>
      <c r="H985" s="123"/>
    </row>
    <row r="986" ht="18.75" customHeight="1">
      <c r="E986" s="123"/>
      <c r="H986" s="123"/>
    </row>
    <row r="987" ht="18.75" customHeight="1">
      <c r="E987" s="123"/>
      <c r="H987" s="123"/>
    </row>
    <row r="988" ht="18.75" customHeight="1">
      <c r="E988" s="123"/>
      <c r="H988" s="123"/>
    </row>
    <row r="989" ht="18.75" customHeight="1">
      <c r="E989" s="123"/>
      <c r="H989" s="123"/>
    </row>
    <row r="990" ht="18.75" customHeight="1">
      <c r="E990" s="123"/>
      <c r="H990" s="123"/>
    </row>
    <row r="991" ht="18.75" customHeight="1">
      <c r="E991" s="123"/>
      <c r="H991" s="123"/>
    </row>
    <row r="992" ht="18.75" customHeight="1">
      <c r="E992" s="123"/>
      <c r="H992" s="123"/>
    </row>
    <row r="993" ht="18.75" customHeight="1">
      <c r="E993" s="123"/>
      <c r="H993" s="123"/>
    </row>
    <row r="994" ht="18.75" customHeight="1">
      <c r="E994" s="123"/>
      <c r="H994" s="123"/>
    </row>
    <row r="995" ht="18.75" customHeight="1">
      <c r="E995" s="123"/>
      <c r="H995" s="123"/>
    </row>
    <row r="996" ht="18.75" customHeight="1">
      <c r="E996" s="123"/>
      <c r="H996" s="123"/>
    </row>
    <row r="997" ht="18.75" customHeight="1">
      <c r="E997" s="123"/>
      <c r="H997" s="123"/>
    </row>
    <row r="998" ht="18.75" customHeight="1">
      <c r="E998" s="123"/>
      <c r="H998" s="123"/>
    </row>
    <row r="999" ht="18.75" customHeight="1">
      <c r="E999" s="123"/>
      <c r="H999" s="123"/>
    </row>
    <row r="1000" ht="18.75" customHeight="1">
      <c r="E1000" s="123"/>
      <c r="H1000" s="123"/>
    </row>
  </sheetData>
  <mergeCells count="12">
    <mergeCell ref="C3:D3"/>
    <mergeCell ref="C4:C5"/>
    <mergeCell ref="D4:D5"/>
    <mergeCell ref="H22:J22"/>
    <mergeCell ref="H44:K44"/>
    <mergeCell ref="A1:F1"/>
    <mergeCell ref="H1:J1"/>
    <mergeCell ref="A2:F2"/>
    <mergeCell ref="A3:A6"/>
    <mergeCell ref="B3:B6"/>
    <mergeCell ref="E3:E6"/>
    <mergeCell ref="F3:F6"/>
  </mergeCells>
  <dataValidations>
    <dataValidation type="list" allowBlank="1" showErrorMessage="1" sqref="E8:E200">
      <formula1>"1,1,1,2,1,3,2,1,2,2,2,3,2,4,2,5,2,6,2,7,2,8,2,9,2,11,2,12"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6.0"/>
    <col customWidth="1" min="2" max="2" width="15.0"/>
    <col customWidth="1" min="3" max="4" width="17.0"/>
    <col customWidth="1" min="5" max="5" width="13.0"/>
    <col customWidth="1" min="6" max="6" width="32.86"/>
    <col customWidth="1" min="7" max="7" width="7.0"/>
    <col customWidth="1" min="8" max="8" width="14.0"/>
    <col customWidth="1" min="9" max="9" width="46.0"/>
    <col customWidth="1" min="10" max="10" width="16.0"/>
    <col customWidth="1" min="11" max="11" width="7.29"/>
    <col customWidth="1" min="12" max="12" width="11.86"/>
    <col customWidth="1" min="13" max="13" width="15.14"/>
    <col customWidth="1" min="14" max="15" width="15.86"/>
    <col customWidth="1" min="16" max="16" width="27.71"/>
    <col customWidth="1" min="17" max="17" width="14.29"/>
    <col customWidth="1" min="18" max="25" width="14.0"/>
  </cols>
  <sheetData>
    <row r="1" ht="18.75" customHeight="1">
      <c r="A1" s="11" t="s">
        <v>22</v>
      </c>
      <c r="F1" s="12"/>
      <c r="G1" s="13"/>
      <c r="H1" s="103" t="s">
        <v>23</v>
      </c>
      <c r="I1" s="15"/>
      <c r="J1" s="16"/>
      <c r="K1" s="13"/>
      <c r="O1" s="124"/>
    </row>
    <row r="2" ht="18.75" customHeight="1">
      <c r="A2" s="17" t="s">
        <v>258</v>
      </c>
      <c r="G2" s="13"/>
      <c r="H2" s="104" t="s">
        <v>25</v>
      </c>
      <c r="I2" s="19" t="s">
        <v>26</v>
      </c>
      <c r="J2" s="20" t="s">
        <v>27</v>
      </c>
      <c r="K2" s="13"/>
      <c r="O2" s="124"/>
    </row>
    <row r="3" ht="18.75" customHeight="1">
      <c r="A3" s="21" t="s">
        <v>28</v>
      </c>
      <c r="B3" s="21" t="s">
        <v>29</v>
      </c>
      <c r="C3" s="23" t="s">
        <v>30</v>
      </c>
      <c r="D3" s="24"/>
      <c r="E3" s="105" t="s">
        <v>25</v>
      </c>
      <c r="F3" s="21" t="s">
        <v>26</v>
      </c>
      <c r="G3" s="13"/>
      <c r="H3" s="106" t="s">
        <v>216</v>
      </c>
      <c r="I3" s="27" t="s">
        <v>31</v>
      </c>
      <c r="J3" s="28">
        <f>SUM(J4:J6)</f>
        <v>158028579</v>
      </c>
      <c r="K3" s="13"/>
      <c r="O3" s="124"/>
    </row>
    <row r="4" ht="18.75" customHeight="1">
      <c r="A4" s="29"/>
      <c r="B4" s="29"/>
      <c r="C4" s="21" t="s">
        <v>32</v>
      </c>
      <c r="D4" s="21" t="s">
        <v>33</v>
      </c>
      <c r="E4" s="30"/>
      <c r="F4" s="29"/>
      <c r="G4" s="13"/>
      <c r="H4" s="107" t="s">
        <v>217</v>
      </c>
      <c r="I4" s="32" t="s">
        <v>34</v>
      </c>
      <c r="J4" s="28">
        <f>SUMIF($E$8:$E$41,1.1,$C$8:$C$41)</f>
        <v>0</v>
      </c>
      <c r="K4" s="13"/>
      <c r="O4" s="124"/>
    </row>
    <row r="5" ht="18.75" customHeight="1">
      <c r="A5" s="29"/>
      <c r="B5" s="29"/>
      <c r="C5" s="33"/>
      <c r="D5" s="33"/>
      <c r="E5" s="30"/>
      <c r="F5" s="29"/>
      <c r="G5" s="13"/>
      <c r="H5" s="107" t="s">
        <v>218</v>
      </c>
      <c r="I5" s="32" t="s">
        <v>35</v>
      </c>
      <c r="J5" s="28">
        <f>SUMIF($E$8:$E$41,1.2,$C$8:$C$41)</f>
        <v>158028579</v>
      </c>
      <c r="K5" s="13"/>
      <c r="L5" s="125" t="s">
        <v>259</v>
      </c>
    </row>
    <row r="6" ht="18.75" customHeight="1">
      <c r="A6" s="33"/>
      <c r="B6" s="33"/>
      <c r="C6" s="34"/>
      <c r="D6" s="34"/>
      <c r="E6" s="35"/>
      <c r="F6" s="33"/>
      <c r="G6" s="13"/>
      <c r="H6" s="107" t="s">
        <v>219</v>
      </c>
      <c r="I6" s="32" t="s">
        <v>36</v>
      </c>
      <c r="J6" s="28">
        <f>SUMIF($E$8:$E$41,1.3,$C$8:$C$41)</f>
        <v>0</v>
      </c>
      <c r="K6" s="13"/>
      <c r="L6" s="126" t="s">
        <v>260</v>
      </c>
      <c r="M6" s="127" t="s">
        <v>261</v>
      </c>
      <c r="N6" s="127" t="s">
        <v>262</v>
      </c>
      <c r="O6" s="127" t="s">
        <v>263</v>
      </c>
      <c r="P6" s="126" t="s">
        <v>264</v>
      </c>
    </row>
    <row r="7" ht="21.75" customHeight="1">
      <c r="A7" s="36"/>
      <c r="B7" s="17" t="s">
        <v>265</v>
      </c>
      <c r="C7" s="42">
        <f t="shared" ref="C7:D7" si="1">SUM(C8:C41)</f>
        <v>158028579</v>
      </c>
      <c r="D7" s="42">
        <f t="shared" si="1"/>
        <v>270052847</v>
      </c>
      <c r="E7" s="39"/>
      <c r="F7" s="40"/>
      <c r="G7" s="40"/>
      <c r="H7" s="128" t="s">
        <v>221</v>
      </c>
      <c r="I7" s="49" t="s">
        <v>40</v>
      </c>
      <c r="J7" s="28">
        <f>SUM(J8:J18)</f>
        <v>270052847</v>
      </c>
      <c r="K7" s="40"/>
      <c r="L7" s="129" t="s">
        <v>266</v>
      </c>
      <c r="M7" s="130">
        <v>45966.0</v>
      </c>
      <c r="N7" s="131"/>
      <c r="O7" s="132">
        <v>5.05E7</v>
      </c>
      <c r="P7" s="133" t="s">
        <v>253</v>
      </c>
    </row>
    <row r="8" ht="18.75" customHeight="1">
      <c r="A8" s="134">
        <v>1.0</v>
      </c>
      <c r="B8" s="108">
        <v>45962.0</v>
      </c>
      <c r="C8" s="101"/>
      <c r="D8" s="135">
        <v>2.0E7</v>
      </c>
      <c r="E8" s="110" t="s">
        <v>68</v>
      </c>
      <c r="F8" s="136" t="s">
        <v>234</v>
      </c>
      <c r="G8" s="13"/>
      <c r="H8" s="110" t="s">
        <v>223</v>
      </c>
      <c r="I8" s="54" t="s">
        <v>42</v>
      </c>
      <c r="J8" s="55">
        <f>SUMIF($E$8:$E$41,2.1,$D$8:$D$41)</f>
        <v>0</v>
      </c>
      <c r="K8" s="13"/>
      <c r="L8" s="137"/>
      <c r="M8" s="130">
        <v>45966.0</v>
      </c>
      <c r="N8" s="131"/>
      <c r="O8" s="138">
        <v>5600000.0</v>
      </c>
      <c r="P8" s="133" t="s">
        <v>254</v>
      </c>
    </row>
    <row r="9" ht="18.75" customHeight="1">
      <c r="A9" s="139">
        <v>2.0</v>
      </c>
      <c r="B9" s="108">
        <v>45962.0</v>
      </c>
      <c r="C9" s="93"/>
      <c r="D9" s="112">
        <v>1.5639464E7</v>
      </c>
      <c r="E9" s="113" t="s">
        <v>109</v>
      </c>
      <c r="F9" s="66" t="s">
        <v>267</v>
      </c>
      <c r="G9" s="52"/>
      <c r="H9" s="113" t="s">
        <v>224</v>
      </c>
      <c r="I9" s="54" t="s">
        <v>45</v>
      </c>
      <c r="J9" s="28">
        <f>SUMIF($E$8:$E$41,2.2,$D$8:$D$41)</f>
        <v>56689383</v>
      </c>
      <c r="K9" s="13"/>
      <c r="L9" s="137"/>
      <c r="M9" s="130">
        <v>45966.0</v>
      </c>
      <c r="N9" s="131"/>
      <c r="O9" s="138">
        <v>1.1124E7</v>
      </c>
      <c r="P9" s="133" t="s">
        <v>256</v>
      </c>
    </row>
    <row r="10" ht="18.75" customHeight="1">
      <c r="A10" s="134">
        <v>3.0</v>
      </c>
      <c r="B10" s="108">
        <v>45966.0</v>
      </c>
      <c r="C10" s="60"/>
      <c r="D10" s="59">
        <v>5.6689383E7</v>
      </c>
      <c r="E10" s="113" t="s">
        <v>43</v>
      </c>
      <c r="F10" s="66" t="s">
        <v>268</v>
      </c>
      <c r="G10" s="52"/>
      <c r="H10" s="113" t="s">
        <v>227</v>
      </c>
      <c r="I10" s="54" t="s">
        <v>48</v>
      </c>
      <c r="J10" s="28">
        <f>SUMIF($E$8:$E$41,2.3,$D$8:$D$41)</f>
        <v>172000000</v>
      </c>
      <c r="K10" s="13"/>
      <c r="L10" s="137"/>
      <c r="M10" s="130">
        <v>45966.0</v>
      </c>
      <c r="N10" s="131"/>
      <c r="O10" s="138">
        <v>1.28E7</v>
      </c>
      <c r="P10" s="133" t="s">
        <v>257</v>
      </c>
    </row>
    <row r="11" ht="18.75" customHeight="1">
      <c r="A11" s="139">
        <v>4.0</v>
      </c>
      <c r="B11" s="108">
        <v>45966.0</v>
      </c>
      <c r="C11" s="60"/>
      <c r="D11" s="59">
        <v>1.1124E7</v>
      </c>
      <c r="E11" s="113" t="s">
        <v>46</v>
      </c>
      <c r="F11" s="66" t="s">
        <v>269</v>
      </c>
      <c r="G11" s="52"/>
      <c r="H11" s="113" t="s">
        <v>229</v>
      </c>
      <c r="I11" s="54" t="s">
        <v>51</v>
      </c>
      <c r="J11" s="28">
        <f>SUMIF($E$8:$E$41,2.4,$D$8:$D$41)</f>
        <v>0</v>
      </c>
      <c r="K11" s="13"/>
      <c r="L11" s="137"/>
      <c r="M11" s="130">
        <v>45969.0</v>
      </c>
      <c r="N11" s="138">
        <v>5.0E7</v>
      </c>
      <c r="O11" s="138"/>
      <c r="P11" s="133" t="s">
        <v>250</v>
      </c>
    </row>
    <row r="12" ht="18.75" customHeight="1">
      <c r="A12" s="134">
        <v>5.0</v>
      </c>
      <c r="B12" s="108">
        <v>45966.0</v>
      </c>
      <c r="C12" s="60"/>
      <c r="D12" s="59">
        <v>1.28E7</v>
      </c>
      <c r="E12" s="113" t="s">
        <v>60</v>
      </c>
      <c r="F12" s="66" t="s">
        <v>270</v>
      </c>
      <c r="G12" s="52"/>
      <c r="H12" s="113" t="s">
        <v>231</v>
      </c>
      <c r="I12" s="54" t="s">
        <v>53</v>
      </c>
      <c r="J12" s="28">
        <f>SUMIF($E$8:$E$41,2.5,$D$8:$D$41)</f>
        <v>1800000</v>
      </c>
      <c r="K12" s="13"/>
      <c r="L12" s="137"/>
      <c r="M12" s="130">
        <v>45960.0</v>
      </c>
      <c r="N12" s="138">
        <v>1.1E8</v>
      </c>
      <c r="O12" s="138"/>
      <c r="P12" s="133" t="s">
        <v>251</v>
      </c>
    </row>
    <row r="13" ht="18.75" customHeight="1">
      <c r="A13" s="139">
        <v>6.0</v>
      </c>
      <c r="B13" s="108">
        <v>45967.0</v>
      </c>
      <c r="C13" s="60"/>
      <c r="D13" s="59">
        <v>1800000.0</v>
      </c>
      <c r="E13" s="113" t="s">
        <v>38</v>
      </c>
      <c r="F13" s="66" t="s">
        <v>182</v>
      </c>
      <c r="G13" s="52"/>
      <c r="H13" s="113" t="s">
        <v>233</v>
      </c>
      <c r="I13" s="54" t="s">
        <v>55</v>
      </c>
      <c r="J13" s="28">
        <f>SUMIF($E$8:$E$41,2.6,$D$8:$D$41)</f>
        <v>11124000</v>
      </c>
      <c r="K13" s="13"/>
      <c r="L13" s="140"/>
      <c r="M13" s="130">
        <v>45960.0</v>
      </c>
      <c r="N13" s="138">
        <v>1.1E8</v>
      </c>
      <c r="O13" s="138"/>
      <c r="P13" s="133" t="s">
        <v>252</v>
      </c>
    </row>
    <row r="14" ht="18.75" customHeight="1">
      <c r="A14" s="134">
        <v>7.0</v>
      </c>
      <c r="B14" s="108">
        <v>45985.0</v>
      </c>
      <c r="C14" s="59">
        <v>5.3028579E7</v>
      </c>
      <c r="D14" s="59"/>
      <c r="E14" s="113" t="s">
        <v>114</v>
      </c>
      <c r="F14" s="66" t="s">
        <v>271</v>
      </c>
      <c r="G14" s="52"/>
      <c r="H14" s="113" t="s">
        <v>235</v>
      </c>
      <c r="I14" s="54" t="s">
        <v>57</v>
      </c>
      <c r="J14" s="28">
        <f>SUMIF($E$8:$E$41,2.7,$D$8:$D$41)</f>
        <v>0</v>
      </c>
      <c r="K14" s="13"/>
      <c r="L14" s="141" t="s">
        <v>272</v>
      </c>
      <c r="M14" s="142"/>
      <c r="N14" s="143">
        <f t="shared" ref="N14:O14" si="2">SUM(N7:N13)</f>
        <v>270000000</v>
      </c>
      <c r="O14" s="143">
        <f t="shared" si="2"/>
        <v>80024000</v>
      </c>
      <c r="P14" s="144"/>
    </row>
    <row r="15" ht="18.75" customHeight="1">
      <c r="A15" s="139">
        <v>8.0</v>
      </c>
      <c r="B15" s="108">
        <v>45966.0</v>
      </c>
      <c r="C15" s="59">
        <v>5.0E7</v>
      </c>
      <c r="D15" s="59"/>
      <c r="E15" s="113" t="s">
        <v>114</v>
      </c>
      <c r="F15" s="66" t="s">
        <v>273</v>
      </c>
      <c r="G15" s="52"/>
      <c r="H15" s="113" t="s">
        <v>236</v>
      </c>
      <c r="I15" s="54" t="s">
        <v>59</v>
      </c>
      <c r="J15" s="28">
        <f>SUMIF($E$8:$E$41,2.8,$D$8:$D$41)</f>
        <v>12800000</v>
      </c>
      <c r="K15" s="13"/>
      <c r="L15" s="129" t="s">
        <v>274</v>
      </c>
      <c r="M15" s="130">
        <v>45975.0</v>
      </c>
      <c r="N15" s="131"/>
      <c r="O15" s="138">
        <v>5600000.0</v>
      </c>
      <c r="P15" s="133" t="s">
        <v>254</v>
      </c>
    </row>
    <row r="16" ht="18.75" customHeight="1">
      <c r="A16" s="134">
        <v>9.0</v>
      </c>
      <c r="B16" s="108">
        <v>45987.0</v>
      </c>
      <c r="C16" s="59">
        <v>5.5E7</v>
      </c>
      <c r="D16" s="59"/>
      <c r="E16" s="114" t="s">
        <v>114</v>
      </c>
      <c r="F16" s="66" t="s">
        <v>275</v>
      </c>
      <c r="G16" s="52"/>
      <c r="H16" s="113" t="s">
        <v>238</v>
      </c>
      <c r="I16" s="54" t="s">
        <v>62</v>
      </c>
      <c r="J16" s="28">
        <f>SUMIF($E$8:$E$41,2.9,$D$8:$D$41)</f>
        <v>0</v>
      </c>
      <c r="K16" s="13"/>
      <c r="L16" s="137"/>
      <c r="M16" s="130">
        <v>45975.0</v>
      </c>
      <c r="N16" s="138"/>
      <c r="O16" s="138">
        <f>50500000-10000000-30000000</f>
        <v>10500000</v>
      </c>
      <c r="P16" s="133" t="s">
        <v>276</v>
      </c>
    </row>
    <row r="17" ht="18.75" customHeight="1">
      <c r="A17" s="139">
        <v>10.0</v>
      </c>
      <c r="B17" s="108">
        <v>45964.0</v>
      </c>
      <c r="C17" s="101"/>
      <c r="D17" s="135">
        <v>2.0E7</v>
      </c>
      <c r="E17" s="110" t="s">
        <v>68</v>
      </c>
      <c r="F17" s="136" t="s">
        <v>234</v>
      </c>
      <c r="G17" s="52"/>
      <c r="H17" s="113" t="s">
        <v>240</v>
      </c>
      <c r="I17" s="54" t="s">
        <v>64</v>
      </c>
      <c r="J17" s="28">
        <f>SUMIF($E$8:$E$41,2.11,$D$8:$D$41)</f>
        <v>15639464</v>
      </c>
      <c r="K17" s="13"/>
      <c r="L17" s="137"/>
      <c r="M17" s="130">
        <v>45975.0</v>
      </c>
      <c r="N17" s="138">
        <v>1.1E8</v>
      </c>
      <c r="O17" s="138"/>
      <c r="P17" s="133" t="s">
        <v>251</v>
      </c>
    </row>
    <row r="18" ht="18.75" customHeight="1">
      <c r="A18" s="134">
        <v>11.0</v>
      </c>
      <c r="B18" s="108">
        <v>45967.0</v>
      </c>
      <c r="C18" s="60"/>
      <c r="D18" s="135">
        <v>1.0E7</v>
      </c>
      <c r="E18" s="110" t="s">
        <v>68</v>
      </c>
      <c r="F18" s="136" t="s">
        <v>234</v>
      </c>
      <c r="G18" s="52"/>
      <c r="H18" s="113" t="s">
        <v>241</v>
      </c>
      <c r="I18" s="54" t="s">
        <v>67</v>
      </c>
      <c r="J18" s="28">
        <f>SUMIF($E$8:$E$41,2.12,$D$8:$D$41)</f>
        <v>0</v>
      </c>
      <c r="K18" s="13"/>
      <c r="L18" s="137"/>
      <c r="M18" s="130">
        <v>45975.0</v>
      </c>
      <c r="N18" s="138">
        <v>1.1E8</v>
      </c>
      <c r="O18" s="138"/>
      <c r="P18" s="133" t="s">
        <v>252</v>
      </c>
    </row>
    <row r="19" ht="18.75" customHeight="1">
      <c r="A19" s="139">
        <v>12.0</v>
      </c>
      <c r="B19" s="108">
        <v>45968.0</v>
      </c>
      <c r="C19" s="60"/>
      <c r="D19" s="135">
        <v>1.0E7</v>
      </c>
      <c r="E19" s="110" t="s">
        <v>68</v>
      </c>
      <c r="F19" s="145" t="s">
        <v>234</v>
      </c>
      <c r="G19" s="52"/>
      <c r="H19" s="146" t="s">
        <v>242</v>
      </c>
      <c r="I19" s="64" t="s">
        <v>70</v>
      </c>
      <c r="J19" s="65">
        <f>J3-J7</f>
        <v>-112024268</v>
      </c>
      <c r="K19" s="13"/>
      <c r="L19" s="141" t="s">
        <v>272</v>
      </c>
      <c r="M19" s="142"/>
      <c r="N19" s="143">
        <f t="shared" ref="N19:O19" si="3">SUM(N15:N18)</f>
        <v>220000000</v>
      </c>
      <c r="O19" s="143">
        <f t="shared" si="3"/>
        <v>16100000</v>
      </c>
      <c r="P19" s="144"/>
    </row>
    <row r="20" ht="18.75" customHeight="1">
      <c r="A20" s="134">
        <v>13.0</v>
      </c>
      <c r="B20" s="108">
        <v>45970.0</v>
      </c>
      <c r="C20" s="60"/>
      <c r="D20" s="59">
        <v>2000000.0</v>
      </c>
      <c r="E20" s="110" t="s">
        <v>68</v>
      </c>
      <c r="F20" s="111" t="s">
        <v>234</v>
      </c>
      <c r="G20" s="13"/>
      <c r="K20" s="13"/>
      <c r="L20" s="129" t="s">
        <v>277</v>
      </c>
      <c r="M20" s="130">
        <v>45982.0</v>
      </c>
      <c r="N20" s="131"/>
      <c r="O20" s="138">
        <v>5600000.0</v>
      </c>
      <c r="P20" s="133" t="s">
        <v>254</v>
      </c>
    </row>
    <row r="21" ht="18.75" customHeight="1">
      <c r="A21" s="139">
        <v>14.0</v>
      </c>
      <c r="B21" s="108">
        <v>45971.0</v>
      </c>
      <c r="C21" s="60"/>
      <c r="D21" s="59">
        <v>2000000.0</v>
      </c>
      <c r="E21" s="110" t="s">
        <v>68</v>
      </c>
      <c r="F21" s="147" t="s">
        <v>234</v>
      </c>
      <c r="G21" s="13"/>
      <c r="H21" s="103" t="s">
        <v>73</v>
      </c>
      <c r="I21" s="15"/>
      <c r="J21" s="16"/>
      <c r="K21" s="13"/>
      <c r="L21" s="137"/>
      <c r="M21" s="130">
        <v>45982.0</v>
      </c>
      <c r="N21" s="138">
        <v>1.1E8</v>
      </c>
      <c r="O21" s="138"/>
      <c r="P21" s="133" t="s">
        <v>252</v>
      </c>
    </row>
    <row r="22" ht="18.75" customHeight="1">
      <c r="A22" s="134">
        <v>15.0</v>
      </c>
      <c r="B22" s="108">
        <v>45971.0</v>
      </c>
      <c r="C22" s="60"/>
      <c r="D22" s="59">
        <v>1.5E7</v>
      </c>
      <c r="E22" s="110" t="s">
        <v>68</v>
      </c>
      <c r="F22" s="136" t="s">
        <v>234</v>
      </c>
      <c r="G22" s="13"/>
      <c r="H22" s="117"/>
      <c r="I22" s="64" t="s">
        <v>26</v>
      </c>
      <c r="J22" s="53" t="s">
        <v>27</v>
      </c>
      <c r="K22" s="13"/>
      <c r="L22" s="137"/>
      <c r="M22" s="130">
        <v>45982.0</v>
      </c>
      <c r="N22" s="138"/>
      <c r="O22" s="138">
        <f>1000000+4700000</f>
        <v>5700000</v>
      </c>
      <c r="P22" s="133" t="s">
        <v>278</v>
      </c>
    </row>
    <row r="23" ht="18.75" customHeight="1">
      <c r="A23" s="139">
        <v>16.0</v>
      </c>
      <c r="B23" s="108">
        <v>45973.0</v>
      </c>
      <c r="C23" s="59"/>
      <c r="D23" s="59">
        <v>1000000.0</v>
      </c>
      <c r="E23" s="110" t="s">
        <v>68</v>
      </c>
      <c r="F23" s="136" t="s">
        <v>234</v>
      </c>
      <c r="G23" s="13"/>
      <c r="H23" s="118" t="s">
        <v>76</v>
      </c>
      <c r="I23" s="64" t="s">
        <v>77</v>
      </c>
      <c r="J23" s="67">
        <v>0.0</v>
      </c>
      <c r="K23" s="13"/>
      <c r="L23" s="141" t="s">
        <v>272</v>
      </c>
      <c r="M23" s="142"/>
      <c r="N23" s="143">
        <f t="shared" ref="N23:O23" si="4">SUM(N20:N22)</f>
        <v>110000000</v>
      </c>
      <c r="O23" s="143">
        <f t="shared" si="4"/>
        <v>11300000</v>
      </c>
      <c r="P23" s="144"/>
    </row>
    <row r="24" ht="18.75" customHeight="1">
      <c r="A24" s="134">
        <v>17.0</v>
      </c>
      <c r="B24" s="108">
        <v>45974.0</v>
      </c>
      <c r="C24" s="59"/>
      <c r="D24" s="59">
        <v>500000.0</v>
      </c>
      <c r="E24" s="110" t="s">
        <v>68</v>
      </c>
      <c r="F24" s="136" t="s">
        <v>234</v>
      </c>
      <c r="G24" s="13"/>
      <c r="H24" s="118" t="s">
        <v>78</v>
      </c>
      <c r="I24" s="64" t="s">
        <v>79</v>
      </c>
      <c r="J24" s="69">
        <f>SUM(J25:J27)</f>
        <v>158028579</v>
      </c>
      <c r="K24" s="13"/>
      <c r="L24" s="129" t="s">
        <v>279</v>
      </c>
      <c r="M24" s="130">
        <v>45985.0</v>
      </c>
      <c r="N24" s="131"/>
      <c r="O24" s="148">
        <v>7.9377022E7</v>
      </c>
      <c r="P24" s="133" t="s">
        <v>280</v>
      </c>
    </row>
    <row r="25" ht="18.75" customHeight="1">
      <c r="A25" s="139">
        <v>18.0</v>
      </c>
      <c r="B25" s="108">
        <v>45974.0</v>
      </c>
      <c r="C25" s="59"/>
      <c r="D25" s="135">
        <v>2.0E7</v>
      </c>
      <c r="E25" s="110" t="s">
        <v>68</v>
      </c>
      <c r="F25" s="136" t="s">
        <v>234</v>
      </c>
      <c r="G25" s="52"/>
      <c r="H25" s="117"/>
      <c r="I25" s="54" t="s">
        <v>80</v>
      </c>
      <c r="J25" s="69">
        <f>J3</f>
        <v>158028579</v>
      </c>
      <c r="K25" s="13"/>
      <c r="L25" s="137"/>
      <c r="M25" s="130">
        <v>45985.0</v>
      </c>
      <c r="N25" s="138"/>
      <c r="O25" s="138">
        <v>5600000.0</v>
      </c>
      <c r="P25" s="133" t="s">
        <v>254</v>
      </c>
    </row>
    <row r="26" ht="18.75" customHeight="1">
      <c r="A26" s="134">
        <v>19.0</v>
      </c>
      <c r="B26" s="108">
        <v>45977.0</v>
      </c>
      <c r="C26" s="59"/>
      <c r="D26" s="135">
        <v>1.0E7</v>
      </c>
      <c r="E26" s="110" t="s">
        <v>68</v>
      </c>
      <c r="F26" s="136" t="s">
        <v>234</v>
      </c>
      <c r="G26" s="52"/>
      <c r="H26" s="117"/>
      <c r="I26" s="54" t="s">
        <v>81</v>
      </c>
      <c r="J26" s="64"/>
      <c r="K26" s="13"/>
      <c r="L26" s="137"/>
      <c r="M26" s="130">
        <v>45985.0</v>
      </c>
      <c r="N26" s="138"/>
      <c r="O26" s="138">
        <v>5600000.0</v>
      </c>
      <c r="P26" s="133" t="s">
        <v>281</v>
      </c>
    </row>
    <row r="27" ht="18.75" customHeight="1">
      <c r="A27" s="139">
        <v>20.0</v>
      </c>
      <c r="B27" s="108">
        <v>45978.0</v>
      </c>
      <c r="C27" s="59"/>
      <c r="D27" s="59">
        <v>5000000.0</v>
      </c>
      <c r="E27" s="110" t="s">
        <v>68</v>
      </c>
      <c r="F27" s="136" t="s">
        <v>234</v>
      </c>
      <c r="G27" s="52"/>
      <c r="H27" s="117"/>
      <c r="I27" s="54" t="s">
        <v>82</v>
      </c>
      <c r="J27" s="64"/>
      <c r="K27" s="13"/>
      <c r="L27" s="141" t="s">
        <v>272</v>
      </c>
      <c r="M27" s="142"/>
      <c r="N27" s="143">
        <f t="shared" ref="N27:O27" si="5">SUM(N24:N26)</f>
        <v>0</v>
      </c>
      <c r="O27" s="143">
        <f t="shared" si="5"/>
        <v>90577022</v>
      </c>
      <c r="P27" s="144"/>
    </row>
    <row r="28" ht="18.75" customHeight="1">
      <c r="A28" s="134">
        <v>21.0</v>
      </c>
      <c r="B28" s="108">
        <v>45980.0</v>
      </c>
      <c r="C28" s="59"/>
      <c r="D28" s="59">
        <v>500000.0</v>
      </c>
      <c r="E28" s="110" t="s">
        <v>68</v>
      </c>
      <c r="F28" s="136" t="s">
        <v>234</v>
      </c>
      <c r="G28" s="52"/>
      <c r="H28" s="118" t="s">
        <v>83</v>
      </c>
      <c r="I28" s="64" t="s">
        <v>84</v>
      </c>
      <c r="J28" s="69">
        <f>SUM(J29:J40)</f>
        <v>270052847</v>
      </c>
      <c r="K28" s="13"/>
    </row>
    <row r="29" ht="18.75" customHeight="1">
      <c r="A29" s="139">
        <v>22.0</v>
      </c>
      <c r="B29" s="108">
        <v>45980.0</v>
      </c>
      <c r="C29" s="59"/>
      <c r="D29" s="135">
        <v>1.0E7</v>
      </c>
      <c r="E29" s="110" t="s">
        <v>68</v>
      </c>
      <c r="F29" s="136" t="s">
        <v>234</v>
      </c>
      <c r="G29" s="52"/>
      <c r="H29" s="113" t="s">
        <v>223</v>
      </c>
      <c r="I29" s="54" t="s">
        <v>42</v>
      </c>
      <c r="J29" s="69">
        <f>J8</f>
        <v>0</v>
      </c>
      <c r="K29" s="13"/>
      <c r="N29" s="149"/>
    </row>
    <row r="30" ht="18.75" customHeight="1">
      <c r="A30" s="134">
        <v>23.0</v>
      </c>
      <c r="B30" s="108">
        <v>45982.0</v>
      </c>
      <c r="C30" s="60"/>
      <c r="D30" s="59">
        <v>2000000.0</v>
      </c>
      <c r="E30" s="110" t="s">
        <v>68</v>
      </c>
      <c r="F30" s="136" t="s">
        <v>234</v>
      </c>
      <c r="G30" s="52"/>
      <c r="H30" s="107" t="s">
        <v>219</v>
      </c>
      <c r="I30" s="54" t="s">
        <v>85</v>
      </c>
      <c r="J30" s="67"/>
      <c r="K30" s="13"/>
    </row>
    <row r="31" ht="18.75" customHeight="1">
      <c r="A31" s="139">
        <v>24.0</v>
      </c>
      <c r="B31" s="108">
        <v>45983.0</v>
      </c>
      <c r="C31" s="60"/>
      <c r="D31" s="59">
        <v>4000000.0</v>
      </c>
      <c r="E31" s="110" t="s">
        <v>68</v>
      </c>
      <c r="F31" s="136" t="s">
        <v>234</v>
      </c>
      <c r="G31" s="52"/>
      <c r="H31" s="113" t="s">
        <v>224</v>
      </c>
      <c r="I31" s="54" t="s">
        <v>45</v>
      </c>
      <c r="J31" s="69">
        <f t="shared" ref="J31:J40" si="6">J9</f>
        <v>56689383</v>
      </c>
      <c r="K31" s="13"/>
    </row>
    <row r="32" ht="18.75" customHeight="1">
      <c r="A32" s="134">
        <v>25.0</v>
      </c>
      <c r="B32" s="108">
        <v>45985.0</v>
      </c>
      <c r="C32" s="60"/>
      <c r="D32" s="135">
        <v>2.0E7</v>
      </c>
      <c r="E32" s="110" t="s">
        <v>68</v>
      </c>
      <c r="F32" s="136" t="s">
        <v>234</v>
      </c>
      <c r="G32" s="52"/>
      <c r="H32" s="113" t="s">
        <v>227</v>
      </c>
      <c r="I32" s="54" t="s">
        <v>48</v>
      </c>
      <c r="J32" s="69">
        <f t="shared" si="6"/>
        <v>172000000</v>
      </c>
      <c r="K32" s="13"/>
    </row>
    <row r="33" ht="18.75" customHeight="1">
      <c r="A33" s="139">
        <v>26.0</v>
      </c>
      <c r="B33" s="108">
        <v>45987.0</v>
      </c>
      <c r="C33" s="60"/>
      <c r="D33" s="135">
        <v>1.0E7</v>
      </c>
      <c r="E33" s="110" t="s">
        <v>68</v>
      </c>
      <c r="F33" s="136" t="s">
        <v>234</v>
      </c>
      <c r="G33" s="52"/>
      <c r="H33" s="113" t="s">
        <v>229</v>
      </c>
      <c r="I33" s="54" t="s">
        <v>51</v>
      </c>
      <c r="J33" s="69">
        <f t="shared" si="6"/>
        <v>0</v>
      </c>
      <c r="K33" s="13"/>
    </row>
    <row r="34" ht="18.75" customHeight="1">
      <c r="A34" s="134">
        <v>27.0</v>
      </c>
      <c r="B34" s="108">
        <v>45989.0</v>
      </c>
      <c r="C34" s="60"/>
      <c r="D34" s="135">
        <v>1.0E7</v>
      </c>
      <c r="E34" s="110" t="s">
        <v>68</v>
      </c>
      <c r="F34" s="136" t="s">
        <v>234</v>
      </c>
      <c r="G34" s="52"/>
      <c r="H34" s="113" t="s">
        <v>231</v>
      </c>
      <c r="I34" s="54" t="s">
        <v>53</v>
      </c>
      <c r="J34" s="69">
        <f t="shared" si="6"/>
        <v>1800000</v>
      </c>
      <c r="K34" s="13"/>
    </row>
    <row r="35" ht="18.75" customHeight="1">
      <c r="A35" s="50"/>
      <c r="B35" s="97"/>
      <c r="C35" s="60"/>
      <c r="D35" s="59"/>
      <c r="E35" s="114"/>
      <c r="F35" s="61"/>
      <c r="G35" s="52"/>
      <c r="H35" s="113" t="s">
        <v>233</v>
      </c>
      <c r="I35" s="54" t="s">
        <v>55</v>
      </c>
      <c r="J35" s="69">
        <f t="shared" si="6"/>
        <v>11124000</v>
      </c>
      <c r="K35" s="13"/>
    </row>
    <row r="36" ht="18.75" customHeight="1">
      <c r="A36" s="50"/>
      <c r="B36" s="97"/>
      <c r="C36" s="60"/>
      <c r="D36" s="59"/>
      <c r="E36" s="114"/>
      <c r="F36" s="61"/>
      <c r="G36" s="52"/>
      <c r="H36" s="113" t="s">
        <v>235</v>
      </c>
      <c r="I36" s="54" t="s">
        <v>57</v>
      </c>
      <c r="J36" s="69">
        <f t="shared" si="6"/>
        <v>0</v>
      </c>
      <c r="K36" s="13"/>
    </row>
    <row r="37" ht="18.75" customHeight="1">
      <c r="A37" s="50"/>
      <c r="B37" s="97"/>
      <c r="C37" s="60"/>
      <c r="D37" s="59"/>
      <c r="E37" s="114"/>
      <c r="F37" s="61"/>
      <c r="G37" s="52"/>
      <c r="H37" s="113" t="s">
        <v>236</v>
      </c>
      <c r="I37" s="54" t="s">
        <v>59</v>
      </c>
      <c r="J37" s="69">
        <f t="shared" si="6"/>
        <v>12800000</v>
      </c>
      <c r="K37" s="13"/>
    </row>
    <row r="38" ht="18.75" customHeight="1">
      <c r="A38" s="50"/>
      <c r="B38" s="97"/>
      <c r="C38" s="60"/>
      <c r="D38" s="59"/>
      <c r="E38" s="114"/>
      <c r="F38" s="61"/>
      <c r="G38" s="52"/>
      <c r="H38" s="113" t="s">
        <v>238</v>
      </c>
      <c r="I38" s="54" t="s">
        <v>62</v>
      </c>
      <c r="J38" s="69">
        <f t="shared" si="6"/>
        <v>0</v>
      </c>
      <c r="K38" s="13"/>
    </row>
    <row r="39" ht="18.75" customHeight="1">
      <c r="A39" s="50"/>
      <c r="B39" s="97"/>
      <c r="C39" s="60"/>
      <c r="D39" s="59"/>
      <c r="E39" s="114"/>
      <c r="F39" s="61"/>
      <c r="G39" s="52"/>
      <c r="H39" s="113" t="s">
        <v>240</v>
      </c>
      <c r="I39" s="54" t="s">
        <v>64</v>
      </c>
      <c r="J39" s="69">
        <f t="shared" si="6"/>
        <v>15639464</v>
      </c>
      <c r="K39" s="13"/>
    </row>
    <row r="40" ht="18.75" customHeight="1">
      <c r="A40" s="50"/>
      <c r="B40" s="97"/>
      <c r="C40" s="60"/>
      <c r="D40" s="59"/>
      <c r="E40" s="114"/>
      <c r="F40" s="61"/>
      <c r="G40" s="52"/>
      <c r="H40" s="113" t="s">
        <v>241</v>
      </c>
      <c r="I40" s="54" t="s">
        <v>86</v>
      </c>
      <c r="J40" s="69">
        <f t="shared" si="6"/>
        <v>0</v>
      </c>
      <c r="K40" s="13"/>
    </row>
    <row r="41" ht="18.75" customHeight="1">
      <c r="A41" s="50"/>
      <c r="B41" s="76"/>
      <c r="C41" s="60"/>
      <c r="D41" s="60"/>
      <c r="E41" s="120"/>
      <c r="F41" s="54"/>
      <c r="G41" s="52"/>
      <c r="H41" s="118" t="s">
        <v>87</v>
      </c>
      <c r="I41" s="64" t="s">
        <v>5</v>
      </c>
      <c r="J41" s="28">
        <f>J23+J24-J28</f>
        <v>-112024268</v>
      </c>
      <c r="K41" s="13"/>
    </row>
    <row r="42" ht="18.75" customHeight="1">
      <c r="A42" s="77"/>
      <c r="B42" s="87"/>
      <c r="C42" s="77"/>
      <c r="D42" s="77"/>
      <c r="E42" s="122"/>
      <c r="F42" s="77"/>
      <c r="G42" s="13"/>
      <c r="K42" s="13"/>
    </row>
    <row r="43" ht="18.75" customHeight="1">
      <c r="A43" s="77"/>
      <c r="B43" s="87"/>
      <c r="C43" s="77"/>
      <c r="D43" s="77"/>
      <c r="E43" s="122"/>
      <c r="F43" s="77"/>
      <c r="G43" s="13"/>
      <c r="H43" s="119" t="s">
        <v>88</v>
      </c>
      <c r="I43" s="71"/>
      <c r="J43" s="71"/>
      <c r="K43" s="24"/>
    </row>
    <row r="44" ht="18.75" customHeight="1">
      <c r="A44" s="77"/>
      <c r="B44" s="87"/>
      <c r="C44" s="77"/>
      <c r="D44" s="77"/>
      <c r="E44" s="122"/>
      <c r="F44" s="77"/>
      <c r="G44" s="52"/>
      <c r="H44" s="118" t="s">
        <v>25</v>
      </c>
      <c r="I44" s="64" t="s">
        <v>26</v>
      </c>
      <c r="J44" s="53" t="s">
        <v>27</v>
      </c>
      <c r="K44" s="72" t="s">
        <v>89</v>
      </c>
    </row>
    <row r="45" ht="18.75" customHeight="1">
      <c r="A45" s="77"/>
      <c r="B45" s="87"/>
      <c r="C45" s="77"/>
      <c r="D45" s="77"/>
      <c r="E45" s="122"/>
      <c r="F45" s="77"/>
      <c r="G45" s="52"/>
      <c r="H45" s="118" t="s">
        <v>76</v>
      </c>
      <c r="I45" s="64" t="s">
        <v>77</v>
      </c>
      <c r="J45" s="69">
        <f>J41</f>
        <v>-112024268</v>
      </c>
      <c r="K45" s="73"/>
    </row>
    <row r="46" ht="18.75" customHeight="1">
      <c r="A46" s="77"/>
      <c r="B46" s="87"/>
      <c r="C46" s="77"/>
      <c r="D46" s="77"/>
      <c r="E46" s="122"/>
      <c r="F46" s="77"/>
      <c r="G46" s="52"/>
      <c r="H46" s="118" t="s">
        <v>78</v>
      </c>
      <c r="I46" s="64" t="s">
        <v>79</v>
      </c>
      <c r="J46" s="69">
        <f>SUM(J47:J53)</f>
        <v>250000000</v>
      </c>
      <c r="K46" s="73"/>
    </row>
    <row r="47" ht="18.75" customHeight="1">
      <c r="A47" s="77"/>
      <c r="B47" s="87"/>
      <c r="C47" s="77"/>
      <c r="D47" s="77"/>
      <c r="E47" s="122"/>
      <c r="F47" s="77"/>
      <c r="G47" s="52"/>
      <c r="H47" s="117"/>
      <c r="I47" s="66" t="s">
        <v>282</v>
      </c>
      <c r="J47" s="121">
        <v>2.5E8</v>
      </c>
      <c r="K47" s="73"/>
    </row>
    <row r="48" ht="18.75" customHeight="1">
      <c r="A48" s="77"/>
      <c r="B48" s="87"/>
      <c r="C48" s="77"/>
      <c r="D48" s="77"/>
      <c r="E48" s="122"/>
      <c r="F48" s="77"/>
      <c r="G48" s="52"/>
      <c r="H48" s="117"/>
      <c r="I48" s="66"/>
      <c r="J48" s="121"/>
      <c r="K48" s="73"/>
    </row>
    <row r="49" ht="18.75" customHeight="1">
      <c r="A49" s="77"/>
      <c r="B49" s="87"/>
      <c r="C49" s="77"/>
      <c r="D49" s="77"/>
      <c r="E49" s="122"/>
      <c r="F49" s="77"/>
      <c r="G49" s="52"/>
      <c r="H49" s="117"/>
      <c r="I49" s="66"/>
      <c r="J49" s="121"/>
      <c r="K49" s="73"/>
    </row>
    <row r="50" ht="18.75" customHeight="1">
      <c r="A50" s="77"/>
      <c r="B50" s="87"/>
      <c r="C50" s="77"/>
      <c r="D50" s="77"/>
      <c r="E50" s="122"/>
      <c r="F50" s="77"/>
      <c r="G50" s="52"/>
      <c r="H50" s="117"/>
      <c r="I50" s="54"/>
      <c r="J50" s="74"/>
      <c r="K50" s="73"/>
    </row>
    <row r="51" ht="18.75" customHeight="1">
      <c r="A51" s="77"/>
      <c r="B51" s="87"/>
      <c r="C51" s="77"/>
      <c r="D51" s="77"/>
      <c r="E51" s="122"/>
      <c r="F51" s="77"/>
      <c r="G51" s="52"/>
      <c r="H51" s="117"/>
      <c r="I51" s="54"/>
      <c r="J51" s="64"/>
      <c r="K51" s="73"/>
    </row>
    <row r="52" ht="18.75" customHeight="1">
      <c r="A52" s="77"/>
      <c r="B52" s="87"/>
      <c r="C52" s="77"/>
      <c r="D52" s="77"/>
      <c r="E52" s="122"/>
      <c r="F52" s="77"/>
      <c r="G52" s="52"/>
      <c r="H52" s="117"/>
      <c r="I52" s="54"/>
      <c r="J52" s="64"/>
      <c r="K52" s="73"/>
    </row>
    <row r="53" ht="18.75" customHeight="1">
      <c r="A53" s="77"/>
      <c r="B53" s="87"/>
      <c r="C53" s="77"/>
      <c r="D53" s="77"/>
      <c r="E53" s="122"/>
      <c r="F53" s="77"/>
      <c r="G53" s="52"/>
      <c r="H53" s="117"/>
      <c r="I53" s="54"/>
      <c r="J53" s="64"/>
      <c r="K53" s="73"/>
    </row>
    <row r="54" ht="18.75" customHeight="1">
      <c r="A54" s="77"/>
      <c r="B54" s="87"/>
      <c r="C54" s="77"/>
      <c r="D54" s="77"/>
      <c r="E54" s="122"/>
      <c r="F54" s="77"/>
      <c r="G54" s="52"/>
      <c r="H54" s="118" t="s">
        <v>83</v>
      </c>
      <c r="I54" s="64" t="s">
        <v>84</v>
      </c>
      <c r="J54" s="74">
        <f>SUM(J55:J64)</f>
        <v>283600000</v>
      </c>
      <c r="K54" s="73"/>
    </row>
    <row r="55" ht="18.75" customHeight="1">
      <c r="A55" s="77"/>
      <c r="B55" s="87"/>
      <c r="C55" s="77"/>
      <c r="D55" s="77"/>
      <c r="E55" s="122"/>
      <c r="F55" s="77"/>
      <c r="G55" s="52"/>
      <c r="H55" s="117"/>
      <c r="I55" s="66" t="s">
        <v>283</v>
      </c>
      <c r="J55" s="74">
        <v>5.05E7</v>
      </c>
      <c r="K55" s="97"/>
    </row>
    <row r="56" ht="18.75" customHeight="1">
      <c r="A56" s="77"/>
      <c r="B56" s="87"/>
      <c r="C56" s="77"/>
      <c r="D56" s="77"/>
      <c r="E56" s="122"/>
      <c r="F56" s="77"/>
      <c r="G56" s="52"/>
      <c r="H56" s="117"/>
      <c r="I56" s="66" t="s">
        <v>284</v>
      </c>
      <c r="J56" s="121">
        <v>5600000.0</v>
      </c>
      <c r="K56" s="97"/>
    </row>
    <row r="57" ht="18.75" customHeight="1">
      <c r="A57" s="77"/>
      <c r="B57" s="87"/>
      <c r="C57" s="77"/>
      <c r="D57" s="77"/>
      <c r="E57" s="122"/>
      <c r="F57" s="77"/>
      <c r="G57" s="52"/>
      <c r="H57" s="117"/>
      <c r="I57" s="66" t="s">
        <v>255</v>
      </c>
      <c r="J57" s="74">
        <f>1500000+2000000</f>
        <v>3500000</v>
      </c>
      <c r="K57" s="76"/>
    </row>
    <row r="58" ht="18.75" customHeight="1">
      <c r="A58" s="77"/>
      <c r="B58" s="87"/>
      <c r="C58" s="77"/>
      <c r="D58" s="77"/>
      <c r="E58" s="122"/>
      <c r="F58" s="77"/>
      <c r="G58" s="52"/>
      <c r="H58" s="117"/>
      <c r="I58" s="66" t="s">
        <v>285</v>
      </c>
      <c r="J58" s="121">
        <v>1.12E7</v>
      </c>
      <c r="K58" s="97"/>
    </row>
    <row r="59" ht="18.75" customHeight="1">
      <c r="A59" s="77"/>
      <c r="B59" s="87"/>
      <c r="C59" s="77"/>
      <c r="D59" s="77"/>
      <c r="E59" s="122"/>
      <c r="F59" s="77"/>
      <c r="G59" s="52"/>
      <c r="H59" s="117"/>
      <c r="I59" s="66" t="s">
        <v>286</v>
      </c>
      <c r="J59" s="121">
        <v>1.28E7</v>
      </c>
      <c r="K59" s="97"/>
    </row>
    <row r="60" ht="18.75" customHeight="1">
      <c r="A60" s="77"/>
      <c r="B60" s="87"/>
      <c r="C60" s="77"/>
      <c r="D60" s="77"/>
      <c r="E60" s="122"/>
      <c r="F60" s="77"/>
      <c r="G60" s="52"/>
      <c r="H60" s="117"/>
      <c r="I60" s="66" t="s">
        <v>287</v>
      </c>
      <c r="J60" s="74">
        <f>J47*80%</f>
        <v>200000000</v>
      </c>
      <c r="K60" s="73"/>
    </row>
    <row r="61" ht="18.75" customHeight="1">
      <c r="A61" s="77"/>
      <c r="B61" s="87"/>
      <c r="C61" s="77"/>
      <c r="D61" s="77"/>
      <c r="E61" s="122"/>
      <c r="F61" s="77"/>
      <c r="G61" s="52"/>
      <c r="H61" s="117"/>
      <c r="I61" s="54"/>
      <c r="J61" s="74"/>
      <c r="K61" s="73"/>
    </row>
    <row r="62" ht="18.75" customHeight="1">
      <c r="A62" s="77"/>
      <c r="B62" s="87"/>
      <c r="C62" s="77"/>
      <c r="D62" s="77"/>
      <c r="E62" s="122"/>
      <c r="F62" s="77"/>
      <c r="G62" s="52"/>
      <c r="H62" s="117"/>
      <c r="I62" s="54"/>
      <c r="J62" s="74"/>
      <c r="K62" s="73"/>
    </row>
    <row r="63" ht="18.75" customHeight="1">
      <c r="A63" s="77"/>
      <c r="B63" s="87"/>
      <c r="C63" s="77"/>
      <c r="D63" s="77"/>
      <c r="E63" s="122"/>
      <c r="F63" s="77"/>
      <c r="G63" s="52"/>
      <c r="H63" s="117"/>
      <c r="I63" s="54"/>
      <c r="J63" s="74"/>
      <c r="K63" s="73"/>
    </row>
    <row r="64" ht="18.75" customHeight="1">
      <c r="A64" s="77"/>
      <c r="B64" s="87"/>
      <c r="C64" s="77"/>
      <c r="D64" s="77"/>
      <c r="E64" s="122"/>
      <c r="F64" s="77"/>
      <c r="G64" s="52"/>
      <c r="H64" s="117"/>
      <c r="I64" s="54"/>
      <c r="J64" s="74"/>
      <c r="K64" s="73"/>
    </row>
    <row r="65" ht="18.75" customHeight="1">
      <c r="A65" s="77"/>
      <c r="B65" s="87"/>
      <c r="C65" s="77"/>
      <c r="D65" s="77"/>
      <c r="E65" s="122"/>
      <c r="F65" s="77"/>
      <c r="G65" s="52"/>
      <c r="H65" s="118" t="s">
        <v>87</v>
      </c>
      <c r="I65" s="64" t="s">
        <v>5</v>
      </c>
      <c r="J65" s="28">
        <f>J45+J46-J54</f>
        <v>-145624268</v>
      </c>
      <c r="K65" s="73"/>
    </row>
    <row r="66" ht="18.75" customHeight="1">
      <c r="A66" s="77"/>
      <c r="B66" s="87"/>
      <c r="C66" s="77"/>
      <c r="D66" s="77"/>
      <c r="E66" s="122"/>
      <c r="F66" s="77"/>
      <c r="G66" s="77"/>
      <c r="H66" s="122"/>
      <c r="I66" s="77"/>
      <c r="J66" s="77"/>
      <c r="K66" s="77"/>
    </row>
    <row r="67" ht="18.75" customHeight="1">
      <c r="A67" s="77"/>
      <c r="B67" s="87"/>
      <c r="C67" s="77"/>
      <c r="D67" s="77"/>
      <c r="E67" s="122"/>
      <c r="F67" s="77"/>
      <c r="G67" s="77"/>
      <c r="H67" s="122"/>
      <c r="I67" s="77"/>
      <c r="J67" s="77"/>
      <c r="K67" s="77"/>
    </row>
    <row r="68" ht="18.75" customHeight="1">
      <c r="A68" s="77"/>
      <c r="B68" s="87"/>
      <c r="C68" s="77"/>
      <c r="D68" s="77"/>
      <c r="E68" s="122"/>
      <c r="F68" s="77"/>
      <c r="G68" s="77"/>
      <c r="H68" s="122"/>
      <c r="I68" s="77"/>
      <c r="J68" s="77"/>
      <c r="K68" s="77"/>
    </row>
    <row r="69" ht="18.75" customHeight="1">
      <c r="A69" s="77"/>
      <c r="B69" s="87"/>
      <c r="C69" s="77"/>
      <c r="D69" s="77"/>
      <c r="E69" s="122"/>
      <c r="F69" s="77"/>
      <c r="G69" s="77"/>
      <c r="H69" s="122"/>
      <c r="I69" s="77"/>
      <c r="J69" s="77"/>
      <c r="K69" s="77"/>
    </row>
    <row r="70" ht="18.75" customHeight="1">
      <c r="A70" s="77"/>
      <c r="B70" s="87"/>
      <c r="C70" s="77"/>
      <c r="D70" s="77"/>
      <c r="E70" s="122"/>
      <c r="F70" s="77"/>
      <c r="G70" s="77"/>
      <c r="H70" s="122"/>
      <c r="I70" s="77"/>
      <c r="J70" s="77"/>
      <c r="K70" s="77"/>
    </row>
    <row r="71" ht="18.75" customHeight="1">
      <c r="A71" s="77"/>
      <c r="B71" s="87"/>
      <c r="C71" s="77"/>
      <c r="D71" s="77"/>
      <c r="E71" s="122"/>
      <c r="F71" s="77"/>
      <c r="G71" s="77"/>
      <c r="H71" s="122"/>
      <c r="I71" s="77"/>
      <c r="J71" s="77"/>
      <c r="K71" s="77"/>
    </row>
    <row r="72" ht="18.75" customHeight="1">
      <c r="A72" s="77"/>
      <c r="B72" s="87"/>
      <c r="C72" s="77"/>
      <c r="D72" s="77"/>
      <c r="E72" s="122"/>
      <c r="F72" s="77"/>
      <c r="G72" s="77"/>
      <c r="H72" s="122"/>
      <c r="I72" s="77"/>
      <c r="J72" s="77"/>
      <c r="K72" s="77"/>
    </row>
    <row r="73" ht="18.75" customHeight="1">
      <c r="A73" s="77"/>
      <c r="B73" s="87"/>
      <c r="C73" s="77"/>
      <c r="D73" s="77"/>
      <c r="E73" s="122"/>
      <c r="F73" s="77"/>
      <c r="G73" s="77"/>
      <c r="H73" s="122"/>
      <c r="I73" s="77"/>
      <c r="J73" s="77"/>
      <c r="K73" s="77"/>
    </row>
    <row r="74" ht="18.75" customHeight="1">
      <c r="A74" s="77"/>
      <c r="B74" s="87"/>
      <c r="C74" s="77"/>
      <c r="D74" s="77"/>
      <c r="E74" s="122"/>
      <c r="F74" s="77"/>
      <c r="G74" s="77"/>
      <c r="H74" s="122"/>
      <c r="I74" s="77"/>
      <c r="J74" s="77"/>
      <c r="K74" s="77"/>
    </row>
    <row r="75" ht="18.75" customHeight="1">
      <c r="A75" s="77"/>
      <c r="B75" s="87"/>
      <c r="C75" s="77"/>
      <c r="D75" s="77"/>
      <c r="E75" s="122"/>
      <c r="F75" s="77"/>
      <c r="G75" s="77"/>
      <c r="H75" s="122"/>
      <c r="I75" s="77"/>
      <c r="J75" s="77"/>
      <c r="K75" s="77"/>
    </row>
    <row r="76" ht="18.75" customHeight="1">
      <c r="A76" s="77"/>
      <c r="B76" s="87"/>
      <c r="C76" s="77"/>
      <c r="D76" s="77"/>
      <c r="E76" s="122"/>
      <c r="F76" s="77"/>
      <c r="G76" s="77"/>
      <c r="H76" s="122"/>
      <c r="I76" s="77"/>
      <c r="J76" s="77"/>
      <c r="K76" s="77"/>
    </row>
    <row r="77" ht="18.75" customHeight="1">
      <c r="A77" s="77"/>
      <c r="B77" s="87"/>
      <c r="C77" s="77"/>
      <c r="D77" s="77"/>
      <c r="E77" s="122"/>
      <c r="F77" s="77"/>
      <c r="G77" s="77"/>
      <c r="H77" s="122"/>
      <c r="I77" s="77"/>
      <c r="J77" s="77"/>
      <c r="K77" s="77"/>
    </row>
    <row r="78" ht="18.75" customHeight="1">
      <c r="A78" s="77"/>
      <c r="B78" s="87"/>
      <c r="C78" s="77"/>
      <c r="D78" s="77"/>
      <c r="E78" s="122"/>
      <c r="F78" s="77"/>
      <c r="G78" s="77"/>
      <c r="H78" s="122"/>
      <c r="I78" s="77"/>
      <c r="J78" s="77"/>
      <c r="K78" s="77"/>
    </row>
    <row r="79" ht="18.75" customHeight="1">
      <c r="A79" s="77"/>
      <c r="B79" s="87"/>
      <c r="C79" s="77"/>
      <c r="D79" s="77"/>
      <c r="E79" s="122"/>
      <c r="F79" s="77"/>
      <c r="G79" s="77"/>
      <c r="H79" s="122"/>
      <c r="I79" s="77"/>
      <c r="J79" s="77"/>
      <c r="K79" s="77"/>
    </row>
    <row r="80" ht="18.75" customHeight="1">
      <c r="A80" s="77"/>
      <c r="B80" s="87"/>
      <c r="C80" s="77"/>
      <c r="D80" s="77"/>
      <c r="E80" s="122"/>
      <c r="F80" s="77"/>
      <c r="G80" s="77"/>
      <c r="H80" s="122"/>
      <c r="I80" s="77"/>
      <c r="J80" s="77"/>
      <c r="K80" s="77"/>
    </row>
    <row r="81" ht="18.75" customHeight="1">
      <c r="A81" s="77"/>
      <c r="B81" s="87"/>
      <c r="C81" s="77"/>
      <c r="D81" s="77"/>
      <c r="E81" s="122"/>
      <c r="F81" s="77"/>
      <c r="G81" s="77"/>
      <c r="H81" s="122"/>
      <c r="I81" s="77"/>
      <c r="J81" s="77"/>
      <c r="K81" s="77"/>
    </row>
    <row r="82" ht="18.75" customHeight="1">
      <c r="A82" s="77"/>
      <c r="B82" s="87"/>
      <c r="C82" s="77"/>
      <c r="D82" s="77"/>
      <c r="E82" s="122"/>
      <c r="F82" s="77"/>
      <c r="G82" s="77"/>
      <c r="H82" s="122"/>
      <c r="I82" s="77"/>
      <c r="J82" s="77"/>
      <c r="K82" s="77"/>
    </row>
    <row r="83" ht="18.75" customHeight="1">
      <c r="A83" s="77"/>
      <c r="B83" s="87"/>
      <c r="C83" s="77"/>
      <c r="D83" s="77"/>
      <c r="E83" s="122"/>
      <c r="F83" s="77"/>
      <c r="G83" s="77"/>
      <c r="H83" s="122"/>
      <c r="I83" s="77"/>
      <c r="J83" s="77"/>
      <c r="K83" s="77"/>
    </row>
    <row r="84" ht="18.75" customHeight="1">
      <c r="A84" s="77"/>
      <c r="B84" s="87"/>
      <c r="C84" s="77"/>
      <c r="D84" s="77"/>
      <c r="E84" s="122"/>
      <c r="F84" s="77"/>
      <c r="G84" s="77"/>
      <c r="H84" s="122"/>
      <c r="I84" s="77"/>
      <c r="J84" s="77"/>
      <c r="K84" s="77"/>
    </row>
    <row r="85" ht="18.75" customHeight="1">
      <c r="A85" s="77"/>
      <c r="B85" s="87"/>
      <c r="C85" s="77"/>
      <c r="D85" s="77"/>
      <c r="E85" s="122"/>
      <c r="F85" s="77"/>
      <c r="G85" s="77"/>
      <c r="H85" s="122"/>
      <c r="I85" s="77"/>
      <c r="J85" s="77"/>
      <c r="K85" s="77"/>
    </row>
    <row r="86" ht="18.75" customHeight="1">
      <c r="A86" s="77"/>
      <c r="B86" s="87"/>
      <c r="C86" s="77"/>
      <c r="D86" s="77"/>
      <c r="E86" s="122"/>
      <c r="F86" s="77"/>
      <c r="G86" s="77"/>
      <c r="H86" s="122"/>
      <c r="I86" s="77"/>
      <c r="J86" s="77"/>
      <c r="K86" s="77"/>
    </row>
    <row r="87" ht="18.75" customHeight="1">
      <c r="A87" s="77"/>
      <c r="B87" s="87"/>
      <c r="C87" s="77"/>
      <c r="D87" s="77"/>
      <c r="E87" s="122"/>
      <c r="F87" s="77"/>
      <c r="G87" s="77"/>
      <c r="H87" s="122"/>
      <c r="I87" s="77"/>
      <c r="J87" s="77"/>
      <c r="K87" s="77"/>
    </row>
    <row r="88" ht="18.75" customHeight="1">
      <c r="A88" s="77"/>
      <c r="B88" s="87"/>
      <c r="C88" s="77"/>
      <c r="D88" s="77"/>
      <c r="E88" s="122"/>
      <c r="F88" s="77"/>
      <c r="G88" s="77"/>
      <c r="H88" s="122"/>
      <c r="I88" s="77"/>
      <c r="J88" s="77"/>
      <c r="K88" s="77"/>
    </row>
    <row r="89" ht="18.75" customHeight="1">
      <c r="A89" s="77"/>
      <c r="B89" s="87"/>
      <c r="C89" s="77"/>
      <c r="D89" s="77"/>
      <c r="E89" s="122"/>
      <c r="F89" s="77"/>
      <c r="G89" s="77"/>
      <c r="H89" s="122"/>
      <c r="I89" s="77"/>
      <c r="J89" s="77"/>
      <c r="K89" s="77"/>
    </row>
    <row r="90" ht="18.75" customHeight="1">
      <c r="A90" s="77"/>
      <c r="B90" s="87"/>
      <c r="C90" s="77"/>
      <c r="D90" s="77"/>
      <c r="E90" s="122"/>
      <c r="F90" s="77"/>
      <c r="G90" s="77"/>
      <c r="H90" s="122"/>
      <c r="I90" s="77"/>
      <c r="J90" s="77"/>
      <c r="K90" s="77"/>
    </row>
    <row r="91" ht="18.75" customHeight="1">
      <c r="A91" s="77"/>
      <c r="B91" s="87"/>
      <c r="C91" s="77"/>
      <c r="D91" s="77"/>
      <c r="E91" s="122"/>
      <c r="F91" s="77"/>
      <c r="G91" s="77"/>
      <c r="H91" s="122"/>
      <c r="I91" s="77"/>
      <c r="J91" s="77"/>
      <c r="K91" s="77"/>
    </row>
    <row r="92" ht="18.75" customHeight="1">
      <c r="A92" s="77"/>
      <c r="B92" s="87"/>
      <c r="C92" s="77"/>
      <c r="D92" s="77"/>
      <c r="E92" s="122"/>
      <c r="F92" s="77"/>
      <c r="G92" s="77"/>
      <c r="H92" s="122"/>
      <c r="I92" s="77"/>
      <c r="J92" s="77"/>
      <c r="K92" s="77"/>
    </row>
    <row r="93" ht="18.75" customHeight="1">
      <c r="A93" s="77"/>
      <c r="B93" s="87"/>
      <c r="C93" s="77"/>
      <c r="D93" s="77"/>
      <c r="E93" s="122"/>
      <c r="F93" s="77"/>
      <c r="G93" s="77"/>
      <c r="H93" s="122"/>
      <c r="I93" s="77"/>
      <c r="J93" s="77"/>
      <c r="K93" s="77"/>
    </row>
    <row r="94" ht="18.75" customHeight="1">
      <c r="A94" s="77"/>
      <c r="B94" s="87"/>
      <c r="C94" s="77"/>
      <c r="D94" s="77"/>
      <c r="E94" s="122"/>
      <c r="F94" s="77"/>
      <c r="G94" s="77"/>
      <c r="H94" s="122"/>
      <c r="I94" s="77"/>
      <c r="J94" s="77"/>
      <c r="K94" s="77"/>
    </row>
    <row r="95" ht="18.75" customHeight="1">
      <c r="A95" s="77"/>
      <c r="B95" s="87"/>
      <c r="C95" s="77"/>
      <c r="D95" s="77"/>
      <c r="E95" s="122"/>
      <c r="F95" s="77"/>
      <c r="G95" s="77"/>
      <c r="H95" s="122"/>
      <c r="I95" s="77"/>
      <c r="J95" s="77"/>
      <c r="K95" s="77"/>
    </row>
    <row r="96" ht="18.75" customHeight="1">
      <c r="A96" s="77"/>
      <c r="B96" s="87"/>
      <c r="C96" s="77"/>
      <c r="D96" s="77"/>
      <c r="E96" s="122"/>
      <c r="F96" s="77"/>
      <c r="G96" s="77"/>
      <c r="H96" s="122"/>
      <c r="I96" s="77"/>
      <c r="J96" s="77"/>
      <c r="K96" s="77"/>
    </row>
    <row r="97" ht="18.75" customHeight="1">
      <c r="A97" s="77"/>
      <c r="B97" s="87"/>
      <c r="C97" s="77"/>
      <c r="D97" s="77"/>
      <c r="E97" s="122"/>
      <c r="F97" s="77"/>
      <c r="G97" s="77"/>
      <c r="H97" s="122"/>
      <c r="I97" s="77"/>
      <c r="J97" s="77"/>
      <c r="K97" s="77"/>
    </row>
    <row r="98" ht="18.75" customHeight="1">
      <c r="A98" s="77"/>
      <c r="B98" s="87"/>
      <c r="C98" s="77"/>
      <c r="D98" s="77"/>
      <c r="E98" s="122"/>
      <c r="F98" s="77"/>
      <c r="G98" s="77"/>
      <c r="H98" s="122"/>
      <c r="I98" s="77"/>
      <c r="J98" s="77"/>
      <c r="K98" s="77"/>
    </row>
    <row r="99" ht="18.75" customHeight="1">
      <c r="E99" s="123"/>
      <c r="G99" s="77"/>
      <c r="H99" s="122"/>
      <c r="I99" s="77"/>
      <c r="J99" s="77"/>
      <c r="K99" s="77"/>
    </row>
    <row r="100" ht="18.75" customHeight="1">
      <c r="E100" s="123"/>
      <c r="G100" s="77"/>
      <c r="H100" s="122"/>
      <c r="I100" s="77"/>
      <c r="J100" s="77"/>
      <c r="K100" s="77"/>
    </row>
    <row r="101" ht="18.75" customHeight="1">
      <c r="E101" s="123"/>
      <c r="G101" s="77"/>
      <c r="H101" s="122"/>
      <c r="I101" s="77"/>
      <c r="J101" s="77"/>
      <c r="K101" s="77"/>
    </row>
    <row r="102" ht="18.75" customHeight="1">
      <c r="E102" s="123"/>
      <c r="G102" s="77"/>
      <c r="H102" s="122"/>
      <c r="I102" s="77"/>
      <c r="J102" s="77"/>
      <c r="K102" s="77"/>
    </row>
    <row r="103" ht="18.75" customHeight="1">
      <c r="E103" s="123"/>
      <c r="G103" s="77"/>
      <c r="H103" s="122"/>
      <c r="I103" s="77"/>
      <c r="J103" s="77"/>
      <c r="K103" s="77"/>
    </row>
    <row r="104" ht="18.75" customHeight="1">
      <c r="E104" s="123"/>
      <c r="G104" s="77"/>
      <c r="H104" s="122"/>
      <c r="I104" s="77"/>
      <c r="J104" s="77"/>
      <c r="K104" s="77"/>
    </row>
    <row r="105" ht="18.75" customHeight="1">
      <c r="E105" s="123"/>
      <c r="G105" s="77"/>
      <c r="H105" s="122"/>
      <c r="I105" s="77"/>
      <c r="J105" s="77"/>
      <c r="K105" s="77"/>
    </row>
    <row r="106" ht="18.75" customHeight="1">
      <c r="E106" s="123"/>
      <c r="G106" s="77"/>
      <c r="H106" s="122"/>
      <c r="I106" s="77"/>
      <c r="J106" s="77"/>
      <c r="K106" s="77"/>
    </row>
    <row r="107" ht="18.75" customHeight="1">
      <c r="E107" s="123"/>
      <c r="G107" s="77"/>
      <c r="H107" s="122"/>
      <c r="I107" s="77"/>
      <c r="J107" s="77"/>
      <c r="K107" s="77"/>
    </row>
    <row r="108" ht="18.75" customHeight="1">
      <c r="E108" s="123"/>
      <c r="G108" s="77"/>
      <c r="H108" s="122"/>
      <c r="I108" s="77"/>
      <c r="J108" s="77"/>
      <c r="K108" s="77"/>
    </row>
    <row r="109" ht="18.75" customHeight="1">
      <c r="E109" s="123"/>
      <c r="G109" s="77"/>
      <c r="H109" s="122"/>
      <c r="I109" s="77"/>
      <c r="J109" s="77"/>
      <c r="K109" s="77"/>
    </row>
    <row r="110" ht="18.75" customHeight="1">
      <c r="E110" s="123"/>
      <c r="G110" s="77"/>
      <c r="H110" s="122"/>
      <c r="I110" s="77"/>
      <c r="J110" s="77"/>
      <c r="K110" s="77"/>
    </row>
    <row r="111" ht="18.75" customHeight="1">
      <c r="E111" s="123"/>
      <c r="G111" s="77"/>
      <c r="H111" s="122"/>
      <c r="I111" s="77"/>
      <c r="J111" s="77"/>
      <c r="K111" s="77"/>
    </row>
    <row r="112" ht="18.75" customHeight="1">
      <c r="E112" s="123"/>
      <c r="G112" s="77"/>
      <c r="H112" s="122"/>
      <c r="I112" s="77"/>
      <c r="J112" s="77"/>
      <c r="K112" s="77"/>
    </row>
    <row r="113" ht="18.75" customHeight="1">
      <c r="E113" s="123"/>
      <c r="G113" s="77"/>
      <c r="H113" s="122"/>
      <c r="I113" s="77"/>
      <c r="J113" s="77"/>
      <c r="K113" s="77"/>
    </row>
    <row r="114" ht="18.75" customHeight="1">
      <c r="E114" s="123"/>
      <c r="G114" s="77"/>
      <c r="H114" s="122"/>
      <c r="I114" s="77"/>
      <c r="J114" s="77"/>
      <c r="K114" s="77"/>
    </row>
    <row r="115" ht="18.75" customHeight="1">
      <c r="E115" s="123"/>
      <c r="G115" s="77"/>
      <c r="H115" s="122"/>
      <c r="I115" s="77"/>
      <c r="J115" s="77"/>
      <c r="K115" s="77"/>
    </row>
    <row r="116" ht="18.75" customHeight="1">
      <c r="E116" s="123"/>
      <c r="G116" s="77"/>
      <c r="H116" s="122"/>
      <c r="I116" s="77"/>
      <c r="J116" s="77"/>
      <c r="K116" s="77"/>
    </row>
    <row r="117" ht="18.75" customHeight="1">
      <c r="E117" s="123"/>
      <c r="G117" s="77"/>
      <c r="H117" s="122"/>
      <c r="I117" s="77"/>
      <c r="J117" s="77"/>
      <c r="K117" s="77"/>
    </row>
    <row r="118" ht="18.75" customHeight="1">
      <c r="E118" s="123"/>
      <c r="G118" s="77"/>
      <c r="H118" s="122"/>
      <c r="I118" s="77"/>
      <c r="J118" s="77"/>
      <c r="K118" s="77"/>
    </row>
    <row r="119" ht="18.75" customHeight="1">
      <c r="E119" s="123"/>
      <c r="G119" s="77"/>
      <c r="H119" s="122"/>
      <c r="I119" s="77"/>
      <c r="J119" s="77"/>
      <c r="K119" s="77"/>
    </row>
    <row r="120" ht="18.75" customHeight="1">
      <c r="E120" s="123"/>
      <c r="G120" s="77"/>
      <c r="H120" s="122"/>
      <c r="I120" s="77"/>
      <c r="J120" s="77"/>
      <c r="K120" s="77"/>
    </row>
    <row r="121" ht="18.75" customHeight="1">
      <c r="E121" s="123"/>
      <c r="G121" s="77"/>
      <c r="H121" s="122"/>
      <c r="I121" s="77"/>
      <c r="J121" s="77"/>
      <c r="K121" s="77"/>
    </row>
    <row r="122" ht="18.75" customHeight="1">
      <c r="E122" s="123"/>
      <c r="G122" s="77"/>
      <c r="H122" s="122"/>
      <c r="I122" s="77"/>
      <c r="J122" s="77"/>
      <c r="K122" s="77"/>
    </row>
    <row r="123" ht="18.75" customHeight="1">
      <c r="E123" s="123"/>
      <c r="G123" s="77"/>
      <c r="H123" s="122"/>
      <c r="I123" s="77"/>
      <c r="J123" s="77"/>
      <c r="K123" s="77"/>
    </row>
    <row r="124" ht="18.75" customHeight="1">
      <c r="E124" s="123"/>
      <c r="G124" s="77"/>
      <c r="H124" s="122"/>
      <c r="I124" s="77"/>
      <c r="J124" s="77"/>
      <c r="K124" s="77"/>
    </row>
    <row r="125" ht="18.75" customHeight="1">
      <c r="E125" s="123"/>
      <c r="G125" s="77"/>
      <c r="H125" s="122"/>
      <c r="I125" s="77"/>
      <c r="J125" s="77"/>
      <c r="K125" s="77"/>
    </row>
    <row r="126" ht="18.75" customHeight="1">
      <c r="E126" s="123"/>
      <c r="G126" s="77"/>
      <c r="H126" s="122"/>
      <c r="I126" s="77"/>
      <c r="J126" s="77"/>
      <c r="K126" s="77"/>
    </row>
    <row r="127" ht="18.75" customHeight="1">
      <c r="E127" s="123"/>
      <c r="G127" s="77"/>
      <c r="H127" s="122"/>
      <c r="I127" s="77"/>
      <c r="J127" s="77"/>
      <c r="K127" s="77"/>
    </row>
    <row r="128" ht="18.75" customHeight="1">
      <c r="E128" s="123"/>
      <c r="G128" s="77"/>
      <c r="H128" s="122"/>
      <c r="I128" s="77"/>
      <c r="J128" s="77"/>
      <c r="K128" s="77"/>
    </row>
    <row r="129" ht="18.75" customHeight="1">
      <c r="E129" s="123"/>
      <c r="G129" s="77"/>
      <c r="H129" s="122"/>
      <c r="I129" s="77"/>
      <c r="J129" s="77"/>
      <c r="K129" s="77"/>
    </row>
    <row r="130" ht="18.75" customHeight="1">
      <c r="E130" s="123"/>
      <c r="G130" s="77"/>
      <c r="H130" s="122"/>
      <c r="I130" s="77"/>
      <c r="J130" s="77"/>
      <c r="K130" s="77"/>
    </row>
    <row r="131" ht="18.75" customHeight="1">
      <c r="E131" s="123"/>
      <c r="G131" s="77"/>
      <c r="H131" s="122"/>
      <c r="I131" s="77"/>
      <c r="J131" s="77"/>
      <c r="K131" s="77"/>
    </row>
    <row r="132" ht="18.75" customHeight="1">
      <c r="E132" s="123"/>
      <c r="G132" s="77"/>
      <c r="H132" s="122"/>
      <c r="I132" s="77"/>
      <c r="J132" s="77"/>
      <c r="K132" s="77"/>
    </row>
    <row r="133" ht="18.75" customHeight="1">
      <c r="E133" s="123"/>
      <c r="G133" s="77"/>
      <c r="H133" s="122"/>
      <c r="I133" s="77"/>
      <c r="J133" s="77"/>
      <c r="K133" s="77"/>
    </row>
    <row r="134" ht="18.75" customHeight="1">
      <c r="E134" s="123"/>
      <c r="G134" s="77"/>
      <c r="H134" s="122"/>
      <c r="I134" s="77"/>
      <c r="J134" s="77"/>
      <c r="K134" s="77"/>
    </row>
    <row r="135" ht="18.75" customHeight="1">
      <c r="E135" s="123"/>
      <c r="G135" s="77"/>
      <c r="H135" s="122"/>
      <c r="I135" s="77"/>
      <c r="J135" s="77"/>
      <c r="K135" s="77"/>
    </row>
    <row r="136" ht="18.75" customHeight="1">
      <c r="E136" s="123"/>
      <c r="G136" s="77"/>
      <c r="H136" s="122"/>
      <c r="I136" s="77"/>
      <c r="J136" s="77"/>
      <c r="K136" s="77"/>
    </row>
    <row r="137" ht="18.75" customHeight="1">
      <c r="E137" s="123"/>
      <c r="G137" s="77"/>
      <c r="H137" s="122"/>
      <c r="I137" s="77"/>
      <c r="J137" s="77"/>
      <c r="K137" s="77"/>
    </row>
    <row r="138" ht="18.75" customHeight="1">
      <c r="E138" s="123"/>
      <c r="G138" s="77"/>
      <c r="H138" s="122"/>
      <c r="I138" s="77"/>
      <c r="J138" s="77"/>
      <c r="K138" s="77"/>
    </row>
    <row r="139" ht="18.75" customHeight="1">
      <c r="E139" s="123"/>
      <c r="G139" s="77"/>
      <c r="H139" s="122"/>
      <c r="I139" s="77"/>
      <c r="J139" s="77"/>
      <c r="K139" s="77"/>
    </row>
    <row r="140" ht="18.75" customHeight="1">
      <c r="E140" s="123"/>
      <c r="G140" s="77"/>
      <c r="H140" s="122"/>
      <c r="I140" s="77"/>
      <c r="J140" s="77"/>
      <c r="K140" s="77"/>
    </row>
    <row r="141" ht="18.75" customHeight="1">
      <c r="E141" s="123"/>
      <c r="G141" s="77"/>
      <c r="H141" s="122"/>
      <c r="I141" s="77"/>
      <c r="J141" s="77"/>
      <c r="K141" s="77"/>
    </row>
    <row r="142" ht="18.75" customHeight="1">
      <c r="E142" s="123"/>
      <c r="G142" s="77"/>
      <c r="H142" s="122"/>
      <c r="I142" s="77"/>
      <c r="J142" s="77"/>
      <c r="K142" s="77"/>
    </row>
    <row r="143" ht="18.75" customHeight="1">
      <c r="E143" s="123"/>
      <c r="G143" s="77"/>
      <c r="H143" s="122"/>
      <c r="I143" s="77"/>
      <c r="J143" s="77"/>
      <c r="K143" s="77"/>
    </row>
    <row r="144" ht="18.75" customHeight="1">
      <c r="E144" s="123"/>
      <c r="G144" s="77"/>
      <c r="H144" s="122"/>
      <c r="I144" s="77"/>
      <c r="J144" s="77"/>
      <c r="K144" s="77"/>
    </row>
    <row r="145" ht="18.75" customHeight="1">
      <c r="E145" s="123"/>
      <c r="G145" s="77"/>
      <c r="H145" s="122"/>
      <c r="I145" s="77"/>
      <c r="J145" s="77"/>
      <c r="K145" s="77"/>
    </row>
    <row r="146" ht="18.75" customHeight="1">
      <c r="E146" s="123"/>
      <c r="G146" s="77"/>
      <c r="H146" s="122"/>
      <c r="I146" s="77"/>
      <c r="J146" s="77"/>
      <c r="K146" s="77"/>
    </row>
    <row r="147" ht="18.75" customHeight="1">
      <c r="E147" s="123"/>
      <c r="G147" s="77"/>
      <c r="H147" s="122"/>
      <c r="I147" s="77"/>
      <c r="J147" s="77"/>
      <c r="K147" s="77"/>
    </row>
    <row r="148" ht="18.75" customHeight="1">
      <c r="E148" s="123"/>
      <c r="G148" s="77"/>
      <c r="H148" s="122"/>
      <c r="I148" s="77"/>
      <c r="J148" s="77"/>
      <c r="K148" s="77"/>
    </row>
    <row r="149" ht="18.75" customHeight="1">
      <c r="E149" s="123"/>
      <c r="G149" s="77"/>
      <c r="H149" s="122"/>
      <c r="I149" s="77"/>
      <c r="J149" s="77"/>
      <c r="K149" s="77"/>
    </row>
    <row r="150" ht="18.75" customHeight="1">
      <c r="E150" s="123"/>
      <c r="G150" s="77"/>
      <c r="H150" s="122"/>
      <c r="I150" s="77"/>
      <c r="J150" s="77"/>
      <c r="K150" s="77"/>
    </row>
    <row r="151" ht="18.75" customHeight="1">
      <c r="E151" s="123"/>
      <c r="G151" s="77"/>
      <c r="H151" s="122"/>
      <c r="I151" s="77"/>
      <c r="J151" s="77"/>
      <c r="K151" s="77"/>
    </row>
    <row r="152" ht="18.75" customHeight="1">
      <c r="E152" s="123"/>
      <c r="G152" s="77"/>
      <c r="H152" s="122"/>
      <c r="I152" s="77"/>
      <c r="J152" s="77"/>
      <c r="K152" s="77"/>
    </row>
    <row r="153" ht="18.75" customHeight="1">
      <c r="E153" s="123"/>
      <c r="G153" s="77"/>
      <c r="H153" s="122"/>
      <c r="I153" s="77"/>
      <c r="J153" s="77"/>
      <c r="K153" s="77"/>
    </row>
    <row r="154" ht="18.75" customHeight="1">
      <c r="E154" s="123"/>
      <c r="G154" s="77"/>
      <c r="H154" s="122"/>
      <c r="I154" s="77"/>
      <c r="J154" s="77"/>
      <c r="K154" s="77"/>
    </row>
    <row r="155" ht="18.75" customHeight="1">
      <c r="E155" s="123"/>
      <c r="G155" s="77"/>
      <c r="H155" s="122"/>
      <c r="I155" s="77"/>
      <c r="J155" s="77"/>
      <c r="K155" s="77"/>
    </row>
    <row r="156" ht="18.75" customHeight="1">
      <c r="E156" s="123"/>
      <c r="G156" s="77"/>
      <c r="H156" s="122"/>
      <c r="I156" s="77"/>
      <c r="J156" s="77"/>
      <c r="K156" s="77"/>
    </row>
    <row r="157" ht="18.75" customHeight="1">
      <c r="E157" s="123"/>
      <c r="G157" s="77"/>
      <c r="H157" s="122"/>
      <c r="I157" s="77"/>
      <c r="J157" s="77"/>
      <c r="K157" s="77"/>
    </row>
    <row r="158" ht="18.75" customHeight="1">
      <c r="E158" s="123"/>
      <c r="G158" s="77"/>
      <c r="H158" s="122"/>
      <c r="I158" s="77"/>
      <c r="J158" s="77"/>
      <c r="K158" s="77"/>
    </row>
    <row r="159" ht="18.75" customHeight="1">
      <c r="E159" s="123"/>
      <c r="G159" s="77"/>
      <c r="H159" s="122"/>
      <c r="I159" s="77"/>
      <c r="J159" s="77"/>
      <c r="K159" s="77"/>
    </row>
    <row r="160" ht="18.75" customHeight="1">
      <c r="E160" s="123"/>
      <c r="G160" s="77"/>
      <c r="H160" s="122"/>
      <c r="I160" s="77"/>
      <c r="J160" s="77"/>
      <c r="K160" s="77"/>
    </row>
    <row r="161" ht="18.75" customHeight="1">
      <c r="E161" s="123"/>
      <c r="G161" s="77"/>
      <c r="H161" s="122"/>
      <c r="I161" s="77"/>
      <c r="J161" s="77"/>
      <c r="K161" s="77"/>
    </row>
    <row r="162" ht="18.75" customHeight="1">
      <c r="E162" s="123"/>
      <c r="G162" s="77"/>
      <c r="H162" s="122"/>
      <c r="I162" s="77"/>
      <c r="J162" s="77"/>
      <c r="K162" s="77"/>
    </row>
    <row r="163" ht="18.75" customHeight="1">
      <c r="E163" s="123"/>
      <c r="G163" s="77"/>
      <c r="H163" s="122"/>
      <c r="I163" s="77"/>
      <c r="J163" s="77"/>
      <c r="K163" s="77"/>
    </row>
    <row r="164" ht="18.75" customHeight="1">
      <c r="E164" s="123"/>
      <c r="G164" s="77"/>
      <c r="H164" s="122"/>
      <c r="I164" s="77"/>
      <c r="J164" s="77"/>
      <c r="K164" s="77"/>
    </row>
    <row r="165" ht="18.75" customHeight="1">
      <c r="E165" s="123"/>
      <c r="G165" s="77"/>
      <c r="H165" s="122"/>
      <c r="I165" s="77"/>
      <c r="J165" s="77"/>
      <c r="K165" s="77"/>
    </row>
    <row r="166" ht="18.75" customHeight="1">
      <c r="E166" s="123"/>
      <c r="G166" s="77"/>
      <c r="H166" s="122"/>
      <c r="I166" s="77"/>
      <c r="J166" s="77"/>
      <c r="K166" s="77"/>
    </row>
    <row r="167" ht="18.75" customHeight="1">
      <c r="E167" s="123"/>
      <c r="G167" s="77"/>
      <c r="H167" s="122"/>
      <c r="I167" s="77"/>
      <c r="J167" s="77"/>
      <c r="K167" s="77"/>
    </row>
    <row r="168" ht="18.75" customHeight="1">
      <c r="E168" s="123"/>
      <c r="G168" s="77"/>
      <c r="H168" s="122"/>
      <c r="I168" s="77"/>
      <c r="J168" s="77"/>
      <c r="K168" s="77"/>
    </row>
    <row r="169" ht="18.75" customHeight="1">
      <c r="E169" s="123"/>
      <c r="G169" s="77"/>
      <c r="H169" s="122"/>
      <c r="I169" s="77"/>
      <c r="J169" s="77"/>
      <c r="K169" s="77"/>
    </row>
    <row r="170" ht="18.75" customHeight="1">
      <c r="E170" s="123"/>
      <c r="G170" s="77"/>
      <c r="H170" s="122"/>
      <c r="I170" s="77"/>
      <c r="J170" s="77"/>
      <c r="K170" s="77"/>
    </row>
    <row r="171" ht="18.75" customHeight="1">
      <c r="E171" s="123"/>
      <c r="G171" s="77"/>
      <c r="H171" s="122"/>
      <c r="I171" s="77"/>
      <c r="J171" s="77"/>
      <c r="K171" s="77"/>
    </row>
    <row r="172" ht="18.75" customHeight="1">
      <c r="E172" s="123"/>
      <c r="G172" s="77"/>
      <c r="H172" s="122"/>
      <c r="I172" s="77"/>
      <c r="J172" s="77"/>
      <c r="K172" s="77"/>
    </row>
    <row r="173" ht="18.75" customHeight="1">
      <c r="E173" s="123"/>
      <c r="G173" s="77"/>
      <c r="H173" s="122"/>
      <c r="I173" s="77"/>
      <c r="J173" s="77"/>
      <c r="K173" s="77"/>
    </row>
    <row r="174" ht="18.75" customHeight="1">
      <c r="E174" s="123"/>
      <c r="G174" s="77"/>
      <c r="H174" s="122"/>
      <c r="I174" s="77"/>
      <c r="J174" s="77"/>
      <c r="K174" s="77"/>
    </row>
    <row r="175" ht="18.75" customHeight="1">
      <c r="E175" s="123"/>
      <c r="G175" s="77"/>
      <c r="H175" s="122"/>
      <c r="I175" s="77"/>
      <c r="J175" s="77"/>
      <c r="K175" s="77"/>
    </row>
    <row r="176" ht="18.75" customHeight="1">
      <c r="E176" s="123"/>
      <c r="G176" s="77"/>
      <c r="H176" s="122"/>
      <c r="I176" s="77"/>
      <c r="J176" s="77"/>
      <c r="K176" s="77"/>
    </row>
    <row r="177" ht="18.75" customHeight="1">
      <c r="E177" s="123"/>
      <c r="G177" s="77"/>
      <c r="H177" s="122"/>
      <c r="I177" s="77"/>
      <c r="J177" s="77"/>
      <c r="K177" s="77"/>
    </row>
    <row r="178" ht="18.75" customHeight="1">
      <c r="E178" s="123"/>
      <c r="G178" s="77"/>
      <c r="H178" s="122"/>
      <c r="I178" s="77"/>
      <c r="J178" s="77"/>
      <c r="K178" s="77"/>
    </row>
    <row r="179" ht="18.75" customHeight="1">
      <c r="E179" s="123"/>
      <c r="G179" s="77"/>
      <c r="H179" s="122"/>
      <c r="I179" s="77"/>
      <c r="J179" s="77"/>
      <c r="K179" s="77"/>
    </row>
    <row r="180" ht="18.75" customHeight="1">
      <c r="E180" s="123"/>
      <c r="G180" s="77"/>
      <c r="H180" s="122"/>
      <c r="I180" s="77"/>
      <c r="J180" s="77"/>
      <c r="K180" s="77"/>
    </row>
    <row r="181" ht="18.75" customHeight="1">
      <c r="E181" s="123"/>
      <c r="G181" s="77"/>
      <c r="H181" s="122"/>
      <c r="I181" s="77"/>
      <c r="J181" s="77"/>
      <c r="K181" s="77"/>
    </row>
    <row r="182" ht="18.75" customHeight="1">
      <c r="E182" s="123"/>
      <c r="G182" s="77"/>
      <c r="H182" s="122"/>
      <c r="I182" s="77"/>
      <c r="J182" s="77"/>
      <c r="K182" s="77"/>
    </row>
    <row r="183" ht="18.75" customHeight="1">
      <c r="E183" s="123"/>
      <c r="G183" s="77"/>
      <c r="H183" s="122"/>
      <c r="I183" s="77"/>
      <c r="J183" s="77"/>
      <c r="K183" s="77"/>
    </row>
    <row r="184" ht="18.75" customHeight="1">
      <c r="E184" s="123"/>
      <c r="G184" s="77"/>
      <c r="H184" s="122"/>
      <c r="I184" s="77"/>
      <c r="J184" s="77"/>
      <c r="K184" s="77"/>
    </row>
    <row r="185" ht="18.75" customHeight="1">
      <c r="E185" s="123"/>
      <c r="G185" s="77"/>
      <c r="H185" s="122"/>
      <c r="I185" s="77"/>
      <c r="J185" s="77"/>
      <c r="K185" s="77"/>
    </row>
    <row r="186" ht="18.75" customHeight="1">
      <c r="E186" s="123"/>
      <c r="G186" s="77"/>
      <c r="H186" s="122"/>
      <c r="I186" s="77"/>
      <c r="J186" s="77"/>
      <c r="K186" s="77"/>
    </row>
    <row r="187" ht="18.75" customHeight="1">
      <c r="E187" s="123"/>
      <c r="G187" s="77"/>
      <c r="H187" s="122"/>
      <c r="I187" s="77"/>
      <c r="J187" s="77"/>
      <c r="K187" s="77"/>
    </row>
    <row r="188" ht="18.75" customHeight="1">
      <c r="E188" s="123"/>
      <c r="G188" s="77"/>
      <c r="H188" s="122"/>
      <c r="I188" s="77"/>
      <c r="J188" s="77"/>
      <c r="K188" s="77"/>
    </row>
    <row r="189" ht="18.75" customHeight="1">
      <c r="E189" s="123"/>
      <c r="G189" s="77"/>
      <c r="H189" s="122"/>
      <c r="I189" s="77"/>
      <c r="J189" s="77"/>
      <c r="K189" s="77"/>
    </row>
    <row r="190" ht="18.75" customHeight="1">
      <c r="E190" s="123"/>
      <c r="G190" s="77"/>
      <c r="H190" s="122"/>
      <c r="I190" s="77"/>
      <c r="J190" s="77"/>
      <c r="K190" s="77"/>
    </row>
    <row r="191" ht="18.75" customHeight="1">
      <c r="E191" s="123"/>
      <c r="G191" s="77"/>
      <c r="H191" s="122"/>
      <c r="I191" s="77"/>
      <c r="J191" s="77"/>
      <c r="K191" s="77"/>
    </row>
    <row r="192" ht="18.75" customHeight="1">
      <c r="E192" s="123"/>
      <c r="G192" s="77"/>
      <c r="H192" s="122"/>
      <c r="I192" s="77"/>
      <c r="J192" s="77"/>
      <c r="K192" s="77"/>
    </row>
    <row r="193" ht="18.75" customHeight="1">
      <c r="E193" s="123"/>
      <c r="G193" s="77"/>
      <c r="H193" s="122"/>
      <c r="I193" s="77"/>
      <c r="J193" s="77"/>
      <c r="K193" s="77"/>
    </row>
    <row r="194" ht="18.75" customHeight="1">
      <c r="E194" s="123"/>
      <c r="G194" s="77"/>
      <c r="H194" s="122"/>
      <c r="I194" s="77"/>
      <c r="J194" s="77"/>
      <c r="K194" s="77"/>
    </row>
    <row r="195" ht="18.75" customHeight="1">
      <c r="E195" s="123"/>
      <c r="G195" s="77"/>
      <c r="H195" s="122"/>
      <c r="I195" s="77"/>
      <c r="J195" s="77"/>
      <c r="K195" s="77"/>
    </row>
    <row r="196" ht="18.75" customHeight="1">
      <c r="E196" s="123"/>
      <c r="G196" s="77"/>
      <c r="H196" s="122"/>
      <c r="I196" s="77"/>
      <c r="J196" s="77"/>
      <c r="K196" s="77"/>
    </row>
    <row r="197" ht="18.75" customHeight="1">
      <c r="E197" s="123"/>
      <c r="G197" s="77"/>
      <c r="H197" s="122"/>
      <c r="I197" s="77"/>
      <c r="J197" s="77"/>
      <c r="K197" s="77"/>
    </row>
    <row r="198" ht="18.75" customHeight="1">
      <c r="E198" s="123"/>
      <c r="G198" s="77"/>
      <c r="H198" s="122"/>
      <c r="I198" s="77"/>
      <c r="J198" s="77"/>
      <c r="K198" s="77"/>
    </row>
    <row r="199" ht="18.75" customHeight="1">
      <c r="E199" s="123"/>
      <c r="G199" s="77"/>
      <c r="H199" s="122"/>
      <c r="I199" s="77"/>
      <c r="J199" s="77"/>
      <c r="K199" s="77"/>
    </row>
    <row r="200" ht="18.75" customHeight="1">
      <c r="E200" s="123"/>
      <c r="H200" s="123"/>
    </row>
    <row r="201" ht="18.75" customHeight="1">
      <c r="E201" s="123"/>
      <c r="H201" s="123"/>
    </row>
    <row r="202" ht="18.75" customHeight="1">
      <c r="E202" s="123"/>
      <c r="H202" s="123"/>
    </row>
    <row r="203" ht="18.75" customHeight="1">
      <c r="E203" s="123"/>
      <c r="H203" s="123"/>
    </row>
    <row r="204" ht="18.75" customHeight="1">
      <c r="E204" s="123"/>
      <c r="H204" s="123"/>
    </row>
    <row r="205" ht="18.75" customHeight="1">
      <c r="E205" s="123"/>
      <c r="H205" s="123"/>
    </row>
    <row r="206" ht="18.75" customHeight="1">
      <c r="E206" s="123"/>
      <c r="H206" s="123"/>
    </row>
    <row r="207" ht="18.75" customHeight="1">
      <c r="E207" s="123"/>
      <c r="H207" s="123"/>
    </row>
    <row r="208" ht="18.75" customHeight="1">
      <c r="E208" s="123"/>
      <c r="H208" s="123"/>
    </row>
    <row r="209" ht="18.75" customHeight="1">
      <c r="E209" s="123"/>
      <c r="H209" s="123"/>
    </row>
    <row r="210" ht="18.75" customHeight="1">
      <c r="E210" s="123"/>
      <c r="H210" s="123"/>
    </row>
    <row r="211" ht="18.75" customHeight="1">
      <c r="E211" s="123"/>
      <c r="H211" s="123"/>
    </row>
    <row r="212" ht="18.75" customHeight="1">
      <c r="E212" s="123"/>
      <c r="H212" s="123"/>
    </row>
    <row r="213" ht="18.75" customHeight="1">
      <c r="E213" s="123"/>
      <c r="H213" s="123"/>
    </row>
    <row r="214" ht="18.75" customHeight="1">
      <c r="E214" s="123"/>
      <c r="H214" s="123"/>
    </row>
    <row r="215" ht="18.75" customHeight="1">
      <c r="E215" s="123"/>
      <c r="H215" s="123"/>
    </row>
    <row r="216" ht="18.75" customHeight="1">
      <c r="E216" s="123"/>
      <c r="H216" s="123"/>
    </row>
    <row r="217" ht="18.75" customHeight="1">
      <c r="E217" s="123"/>
      <c r="H217" s="123"/>
    </row>
    <row r="218" ht="18.75" customHeight="1">
      <c r="E218" s="123"/>
      <c r="H218" s="123"/>
    </row>
    <row r="219" ht="18.75" customHeight="1">
      <c r="E219" s="123"/>
      <c r="H219" s="123"/>
    </row>
    <row r="220" ht="18.75" customHeight="1">
      <c r="E220" s="123"/>
      <c r="H220" s="123"/>
    </row>
    <row r="221" ht="18.75" customHeight="1">
      <c r="E221" s="123"/>
      <c r="H221" s="123"/>
    </row>
    <row r="222" ht="18.75" customHeight="1">
      <c r="E222" s="123"/>
      <c r="H222" s="123"/>
    </row>
    <row r="223" ht="18.75" customHeight="1">
      <c r="E223" s="123"/>
      <c r="H223" s="123"/>
    </row>
    <row r="224" ht="18.75" customHeight="1">
      <c r="E224" s="123"/>
      <c r="H224" s="123"/>
    </row>
    <row r="225" ht="18.75" customHeight="1">
      <c r="E225" s="123"/>
      <c r="H225" s="123"/>
    </row>
    <row r="226" ht="18.75" customHeight="1">
      <c r="E226" s="123"/>
      <c r="H226" s="123"/>
    </row>
    <row r="227" ht="18.75" customHeight="1">
      <c r="E227" s="123"/>
      <c r="H227" s="123"/>
    </row>
    <row r="228" ht="18.75" customHeight="1">
      <c r="E228" s="123"/>
      <c r="H228" s="123"/>
    </row>
    <row r="229" ht="18.75" customHeight="1">
      <c r="E229" s="123"/>
      <c r="H229" s="123"/>
    </row>
    <row r="230" ht="18.75" customHeight="1">
      <c r="E230" s="123"/>
      <c r="H230" s="123"/>
    </row>
    <row r="231" ht="18.75" customHeight="1">
      <c r="E231" s="123"/>
      <c r="H231" s="123"/>
    </row>
    <row r="232" ht="18.75" customHeight="1">
      <c r="E232" s="123"/>
      <c r="H232" s="123"/>
    </row>
    <row r="233" ht="18.75" customHeight="1">
      <c r="E233" s="123"/>
      <c r="H233" s="123"/>
    </row>
    <row r="234" ht="18.75" customHeight="1">
      <c r="E234" s="123"/>
      <c r="H234" s="123"/>
    </row>
    <row r="235" ht="18.75" customHeight="1">
      <c r="E235" s="123"/>
      <c r="H235" s="123"/>
    </row>
    <row r="236" ht="18.75" customHeight="1">
      <c r="E236" s="123"/>
      <c r="H236" s="123"/>
    </row>
    <row r="237" ht="18.75" customHeight="1">
      <c r="E237" s="123"/>
      <c r="H237" s="123"/>
    </row>
    <row r="238" ht="18.75" customHeight="1">
      <c r="E238" s="123"/>
      <c r="H238" s="123"/>
    </row>
    <row r="239" ht="18.75" customHeight="1">
      <c r="E239" s="123"/>
      <c r="H239" s="123"/>
    </row>
    <row r="240" ht="18.75" customHeight="1">
      <c r="E240" s="123"/>
      <c r="H240" s="123"/>
    </row>
    <row r="241" ht="18.75" customHeight="1">
      <c r="E241" s="123"/>
      <c r="H241" s="123"/>
    </row>
    <row r="242" ht="18.75" customHeight="1">
      <c r="E242" s="123"/>
      <c r="H242" s="123"/>
    </row>
    <row r="243" ht="18.75" customHeight="1">
      <c r="E243" s="123"/>
      <c r="H243" s="123"/>
    </row>
    <row r="244" ht="18.75" customHeight="1">
      <c r="E244" s="123"/>
      <c r="H244" s="123"/>
    </row>
    <row r="245" ht="18.75" customHeight="1">
      <c r="E245" s="123"/>
      <c r="H245" s="123"/>
    </row>
    <row r="246" ht="18.75" customHeight="1">
      <c r="E246" s="123"/>
      <c r="H246" s="123"/>
    </row>
    <row r="247" ht="18.75" customHeight="1">
      <c r="E247" s="123"/>
      <c r="H247" s="123"/>
    </row>
    <row r="248" ht="18.75" customHeight="1">
      <c r="E248" s="123"/>
      <c r="H248" s="123"/>
    </row>
    <row r="249" ht="18.75" customHeight="1">
      <c r="E249" s="123"/>
      <c r="H249" s="123"/>
    </row>
    <row r="250" ht="18.75" customHeight="1">
      <c r="E250" s="123"/>
      <c r="H250" s="123"/>
    </row>
    <row r="251" ht="18.75" customHeight="1">
      <c r="E251" s="123"/>
      <c r="H251" s="123"/>
    </row>
    <row r="252" ht="18.75" customHeight="1">
      <c r="E252" s="123"/>
      <c r="H252" s="123"/>
    </row>
    <row r="253" ht="18.75" customHeight="1">
      <c r="E253" s="123"/>
      <c r="H253" s="123"/>
    </row>
    <row r="254" ht="18.75" customHeight="1">
      <c r="E254" s="123"/>
      <c r="H254" s="123"/>
    </row>
    <row r="255" ht="18.75" customHeight="1">
      <c r="E255" s="123"/>
      <c r="H255" s="123"/>
    </row>
    <row r="256" ht="18.75" customHeight="1">
      <c r="E256" s="123"/>
      <c r="H256" s="123"/>
    </row>
    <row r="257" ht="18.75" customHeight="1">
      <c r="E257" s="123"/>
      <c r="H257" s="123"/>
    </row>
    <row r="258" ht="18.75" customHeight="1">
      <c r="E258" s="123"/>
      <c r="H258" s="123"/>
    </row>
    <row r="259" ht="18.75" customHeight="1">
      <c r="E259" s="123"/>
      <c r="H259" s="123"/>
    </row>
    <row r="260" ht="18.75" customHeight="1">
      <c r="E260" s="123"/>
      <c r="H260" s="123"/>
    </row>
    <row r="261" ht="18.75" customHeight="1">
      <c r="E261" s="123"/>
      <c r="H261" s="123"/>
    </row>
    <row r="262" ht="18.75" customHeight="1">
      <c r="E262" s="123"/>
      <c r="H262" s="123"/>
    </row>
    <row r="263" ht="18.75" customHeight="1">
      <c r="E263" s="123"/>
      <c r="H263" s="123"/>
    </row>
    <row r="264" ht="18.75" customHeight="1">
      <c r="E264" s="123"/>
      <c r="H264" s="123"/>
    </row>
    <row r="265" ht="18.75" customHeight="1">
      <c r="E265" s="123"/>
      <c r="H265" s="123"/>
    </row>
    <row r="266" ht="18.75" customHeight="1">
      <c r="E266" s="123"/>
      <c r="H266" s="123"/>
    </row>
    <row r="267" ht="18.75" customHeight="1">
      <c r="E267" s="123"/>
      <c r="H267" s="123"/>
    </row>
    <row r="268" ht="18.75" customHeight="1">
      <c r="E268" s="123"/>
      <c r="H268" s="123"/>
    </row>
    <row r="269" ht="18.75" customHeight="1">
      <c r="E269" s="123"/>
      <c r="H269" s="123"/>
    </row>
    <row r="270" ht="18.75" customHeight="1">
      <c r="E270" s="123"/>
      <c r="H270" s="123"/>
    </row>
    <row r="271" ht="18.75" customHeight="1">
      <c r="E271" s="123"/>
      <c r="H271" s="123"/>
    </row>
    <row r="272" ht="18.75" customHeight="1">
      <c r="E272" s="123"/>
      <c r="H272" s="123"/>
    </row>
    <row r="273" ht="18.75" customHeight="1">
      <c r="E273" s="123"/>
      <c r="H273" s="123"/>
    </row>
    <row r="274" ht="18.75" customHeight="1">
      <c r="E274" s="123"/>
      <c r="H274" s="123"/>
    </row>
    <row r="275" ht="18.75" customHeight="1">
      <c r="E275" s="123"/>
      <c r="H275" s="123"/>
    </row>
    <row r="276" ht="18.75" customHeight="1">
      <c r="E276" s="123"/>
      <c r="H276" s="123"/>
    </row>
    <row r="277" ht="18.75" customHeight="1">
      <c r="E277" s="123"/>
      <c r="H277" s="123"/>
    </row>
    <row r="278" ht="18.75" customHeight="1">
      <c r="E278" s="123"/>
      <c r="H278" s="123"/>
    </row>
    <row r="279" ht="18.75" customHeight="1">
      <c r="E279" s="123"/>
      <c r="H279" s="123"/>
    </row>
    <row r="280" ht="18.75" customHeight="1">
      <c r="E280" s="123"/>
      <c r="H280" s="123"/>
    </row>
    <row r="281" ht="18.75" customHeight="1">
      <c r="E281" s="123"/>
      <c r="H281" s="123"/>
    </row>
    <row r="282" ht="18.75" customHeight="1">
      <c r="E282" s="123"/>
      <c r="H282" s="123"/>
    </row>
    <row r="283" ht="18.75" customHeight="1">
      <c r="E283" s="123"/>
      <c r="H283" s="123"/>
    </row>
    <row r="284" ht="18.75" customHeight="1">
      <c r="E284" s="123"/>
      <c r="H284" s="123"/>
    </row>
    <row r="285" ht="18.75" customHeight="1">
      <c r="E285" s="123"/>
      <c r="H285" s="123"/>
    </row>
    <row r="286" ht="18.75" customHeight="1">
      <c r="E286" s="123"/>
      <c r="H286" s="123"/>
    </row>
    <row r="287" ht="18.75" customHeight="1">
      <c r="E287" s="123"/>
      <c r="H287" s="123"/>
    </row>
    <row r="288" ht="18.75" customHeight="1">
      <c r="E288" s="123"/>
      <c r="H288" s="123"/>
    </row>
    <row r="289" ht="18.75" customHeight="1">
      <c r="E289" s="123"/>
      <c r="H289" s="123"/>
    </row>
    <row r="290" ht="18.75" customHeight="1">
      <c r="E290" s="123"/>
      <c r="H290" s="123"/>
    </row>
    <row r="291" ht="18.75" customHeight="1">
      <c r="E291" s="123"/>
      <c r="H291" s="123"/>
    </row>
    <row r="292" ht="18.75" customHeight="1">
      <c r="E292" s="123"/>
      <c r="H292" s="123"/>
    </row>
    <row r="293" ht="18.75" customHeight="1">
      <c r="E293" s="123"/>
      <c r="H293" s="123"/>
    </row>
    <row r="294" ht="18.75" customHeight="1">
      <c r="E294" s="123"/>
      <c r="H294" s="123"/>
    </row>
    <row r="295" ht="18.75" customHeight="1">
      <c r="E295" s="123"/>
      <c r="H295" s="123"/>
    </row>
    <row r="296" ht="18.75" customHeight="1">
      <c r="E296" s="123"/>
      <c r="H296" s="123"/>
    </row>
    <row r="297" ht="18.75" customHeight="1">
      <c r="E297" s="123"/>
      <c r="H297" s="123"/>
    </row>
    <row r="298" ht="18.75" customHeight="1">
      <c r="E298" s="123"/>
      <c r="H298" s="123"/>
    </row>
    <row r="299" ht="18.75" customHeight="1">
      <c r="E299" s="123"/>
      <c r="H299" s="123"/>
    </row>
    <row r="300" ht="18.75" customHeight="1">
      <c r="E300" s="123"/>
      <c r="H300" s="123"/>
    </row>
    <row r="301" ht="18.75" customHeight="1">
      <c r="E301" s="123"/>
      <c r="H301" s="123"/>
    </row>
    <row r="302" ht="18.75" customHeight="1">
      <c r="E302" s="123"/>
      <c r="H302" s="123"/>
    </row>
    <row r="303" ht="18.75" customHeight="1">
      <c r="E303" s="123"/>
      <c r="H303" s="123"/>
    </row>
    <row r="304" ht="18.75" customHeight="1">
      <c r="E304" s="123"/>
      <c r="H304" s="123"/>
    </row>
    <row r="305" ht="18.75" customHeight="1">
      <c r="E305" s="123"/>
      <c r="H305" s="123"/>
    </row>
    <row r="306" ht="18.75" customHeight="1">
      <c r="E306" s="123"/>
      <c r="H306" s="123"/>
    </row>
    <row r="307" ht="18.75" customHeight="1">
      <c r="E307" s="123"/>
      <c r="H307" s="123"/>
    </row>
    <row r="308" ht="18.75" customHeight="1">
      <c r="E308" s="123"/>
      <c r="H308" s="123"/>
    </row>
    <row r="309" ht="18.75" customHeight="1">
      <c r="E309" s="123"/>
      <c r="H309" s="123"/>
    </row>
    <row r="310" ht="18.75" customHeight="1">
      <c r="E310" s="123"/>
      <c r="H310" s="123"/>
    </row>
    <row r="311" ht="18.75" customHeight="1">
      <c r="E311" s="123"/>
      <c r="H311" s="123"/>
    </row>
    <row r="312" ht="18.75" customHeight="1">
      <c r="E312" s="123"/>
      <c r="H312" s="123"/>
    </row>
    <row r="313" ht="18.75" customHeight="1">
      <c r="E313" s="123"/>
      <c r="H313" s="123"/>
    </row>
    <row r="314" ht="18.75" customHeight="1">
      <c r="E314" s="123"/>
      <c r="H314" s="123"/>
    </row>
    <row r="315" ht="18.75" customHeight="1">
      <c r="E315" s="123"/>
      <c r="H315" s="123"/>
    </row>
    <row r="316" ht="18.75" customHeight="1">
      <c r="E316" s="123"/>
      <c r="H316" s="123"/>
    </row>
    <row r="317" ht="18.75" customHeight="1">
      <c r="E317" s="123"/>
      <c r="H317" s="123"/>
    </row>
    <row r="318" ht="18.75" customHeight="1">
      <c r="E318" s="123"/>
      <c r="H318" s="123"/>
    </row>
    <row r="319" ht="18.75" customHeight="1">
      <c r="E319" s="123"/>
      <c r="H319" s="123"/>
    </row>
    <row r="320" ht="18.75" customHeight="1">
      <c r="E320" s="123"/>
      <c r="H320" s="123"/>
    </row>
    <row r="321" ht="18.75" customHeight="1">
      <c r="E321" s="123"/>
      <c r="H321" s="123"/>
    </row>
    <row r="322" ht="18.75" customHeight="1">
      <c r="E322" s="123"/>
      <c r="H322" s="123"/>
    </row>
    <row r="323" ht="18.75" customHeight="1">
      <c r="E323" s="123"/>
      <c r="H323" s="123"/>
    </row>
    <row r="324" ht="18.75" customHeight="1">
      <c r="E324" s="123"/>
      <c r="H324" s="123"/>
    </row>
    <row r="325" ht="18.75" customHeight="1">
      <c r="E325" s="123"/>
      <c r="H325" s="123"/>
    </row>
    <row r="326" ht="18.75" customHeight="1">
      <c r="E326" s="123"/>
      <c r="H326" s="123"/>
    </row>
    <row r="327" ht="18.75" customHeight="1">
      <c r="E327" s="123"/>
      <c r="H327" s="123"/>
    </row>
    <row r="328" ht="18.75" customHeight="1">
      <c r="E328" s="123"/>
      <c r="H328" s="123"/>
    </row>
    <row r="329" ht="18.75" customHeight="1">
      <c r="E329" s="123"/>
      <c r="H329" s="123"/>
    </row>
    <row r="330" ht="18.75" customHeight="1">
      <c r="E330" s="123"/>
      <c r="H330" s="123"/>
    </row>
    <row r="331" ht="18.75" customHeight="1">
      <c r="E331" s="123"/>
      <c r="H331" s="123"/>
    </row>
    <row r="332" ht="18.75" customHeight="1">
      <c r="E332" s="123"/>
      <c r="H332" s="123"/>
    </row>
    <row r="333" ht="18.75" customHeight="1">
      <c r="E333" s="123"/>
      <c r="H333" s="123"/>
    </row>
    <row r="334" ht="18.75" customHeight="1">
      <c r="E334" s="123"/>
      <c r="H334" s="123"/>
    </row>
    <row r="335" ht="18.75" customHeight="1">
      <c r="E335" s="123"/>
      <c r="H335" s="123"/>
    </row>
    <row r="336" ht="18.75" customHeight="1">
      <c r="E336" s="123"/>
      <c r="H336" s="123"/>
    </row>
    <row r="337" ht="18.75" customHeight="1">
      <c r="E337" s="123"/>
      <c r="H337" s="123"/>
    </row>
    <row r="338" ht="18.75" customHeight="1">
      <c r="E338" s="123"/>
      <c r="H338" s="123"/>
    </row>
    <row r="339" ht="18.75" customHeight="1">
      <c r="E339" s="123"/>
      <c r="H339" s="123"/>
    </row>
    <row r="340" ht="18.75" customHeight="1">
      <c r="E340" s="123"/>
      <c r="H340" s="123"/>
    </row>
    <row r="341" ht="18.75" customHeight="1">
      <c r="E341" s="123"/>
      <c r="H341" s="123"/>
    </row>
    <row r="342" ht="18.75" customHeight="1">
      <c r="E342" s="123"/>
      <c r="H342" s="123"/>
    </row>
    <row r="343" ht="18.75" customHeight="1">
      <c r="E343" s="123"/>
      <c r="H343" s="123"/>
    </row>
    <row r="344" ht="18.75" customHeight="1">
      <c r="E344" s="123"/>
      <c r="H344" s="123"/>
    </row>
    <row r="345" ht="18.75" customHeight="1">
      <c r="E345" s="123"/>
      <c r="H345" s="123"/>
    </row>
    <row r="346" ht="18.75" customHeight="1">
      <c r="E346" s="123"/>
      <c r="H346" s="123"/>
    </row>
    <row r="347" ht="18.75" customHeight="1">
      <c r="E347" s="123"/>
      <c r="H347" s="123"/>
    </row>
    <row r="348" ht="18.75" customHeight="1">
      <c r="E348" s="123"/>
      <c r="H348" s="123"/>
    </row>
    <row r="349" ht="18.75" customHeight="1">
      <c r="E349" s="123"/>
      <c r="H349" s="123"/>
    </row>
    <row r="350" ht="18.75" customHeight="1">
      <c r="E350" s="123"/>
      <c r="H350" s="123"/>
    </row>
    <row r="351" ht="18.75" customHeight="1">
      <c r="E351" s="123"/>
      <c r="H351" s="123"/>
    </row>
    <row r="352" ht="18.75" customHeight="1">
      <c r="E352" s="123"/>
      <c r="H352" s="123"/>
    </row>
    <row r="353" ht="18.75" customHeight="1">
      <c r="E353" s="123"/>
      <c r="H353" s="123"/>
    </row>
    <row r="354" ht="18.75" customHeight="1">
      <c r="E354" s="123"/>
      <c r="H354" s="123"/>
    </row>
    <row r="355" ht="18.75" customHeight="1">
      <c r="E355" s="123"/>
      <c r="H355" s="123"/>
    </row>
    <row r="356" ht="18.75" customHeight="1">
      <c r="E356" s="123"/>
      <c r="H356" s="123"/>
    </row>
    <row r="357" ht="18.75" customHeight="1">
      <c r="E357" s="123"/>
      <c r="H357" s="123"/>
    </row>
    <row r="358" ht="18.75" customHeight="1">
      <c r="E358" s="123"/>
      <c r="H358" s="123"/>
    </row>
    <row r="359" ht="18.75" customHeight="1">
      <c r="E359" s="123"/>
      <c r="H359" s="123"/>
    </row>
    <row r="360" ht="18.75" customHeight="1">
      <c r="E360" s="123"/>
      <c r="H360" s="123"/>
    </row>
    <row r="361" ht="18.75" customHeight="1">
      <c r="E361" s="123"/>
      <c r="H361" s="123"/>
    </row>
    <row r="362" ht="18.75" customHeight="1">
      <c r="E362" s="123"/>
      <c r="H362" s="123"/>
    </row>
    <row r="363" ht="18.75" customHeight="1">
      <c r="E363" s="123"/>
      <c r="H363" s="123"/>
    </row>
    <row r="364" ht="18.75" customHeight="1">
      <c r="E364" s="123"/>
      <c r="H364" s="123"/>
    </row>
    <row r="365" ht="18.75" customHeight="1">
      <c r="E365" s="123"/>
      <c r="H365" s="123"/>
    </row>
    <row r="366" ht="18.75" customHeight="1">
      <c r="E366" s="123"/>
      <c r="H366" s="123"/>
    </row>
    <row r="367" ht="18.75" customHeight="1">
      <c r="E367" s="123"/>
      <c r="H367" s="123"/>
    </row>
    <row r="368" ht="18.75" customHeight="1">
      <c r="E368" s="123"/>
      <c r="H368" s="123"/>
    </row>
    <row r="369" ht="18.75" customHeight="1">
      <c r="E369" s="123"/>
      <c r="H369" s="123"/>
    </row>
    <row r="370" ht="18.75" customHeight="1">
      <c r="E370" s="123"/>
      <c r="H370" s="123"/>
    </row>
    <row r="371" ht="18.75" customHeight="1">
      <c r="E371" s="123"/>
      <c r="H371" s="123"/>
    </row>
    <row r="372" ht="18.75" customHeight="1">
      <c r="E372" s="123"/>
      <c r="H372" s="123"/>
    </row>
    <row r="373" ht="18.75" customHeight="1">
      <c r="E373" s="123"/>
      <c r="H373" s="123"/>
    </row>
    <row r="374" ht="18.75" customHeight="1">
      <c r="E374" s="123"/>
      <c r="H374" s="123"/>
    </row>
    <row r="375" ht="18.75" customHeight="1">
      <c r="E375" s="123"/>
      <c r="H375" s="123"/>
    </row>
    <row r="376" ht="18.75" customHeight="1">
      <c r="E376" s="123"/>
      <c r="H376" s="123"/>
    </row>
    <row r="377" ht="18.75" customHeight="1">
      <c r="E377" s="123"/>
      <c r="H377" s="123"/>
    </row>
    <row r="378" ht="18.75" customHeight="1">
      <c r="E378" s="123"/>
      <c r="H378" s="123"/>
    </row>
    <row r="379" ht="18.75" customHeight="1">
      <c r="E379" s="123"/>
      <c r="H379" s="123"/>
    </row>
    <row r="380" ht="18.75" customHeight="1">
      <c r="E380" s="123"/>
      <c r="H380" s="123"/>
    </row>
    <row r="381" ht="18.75" customHeight="1">
      <c r="E381" s="123"/>
      <c r="H381" s="123"/>
    </row>
    <row r="382" ht="18.75" customHeight="1">
      <c r="E382" s="123"/>
      <c r="H382" s="123"/>
    </row>
    <row r="383" ht="18.75" customHeight="1">
      <c r="E383" s="123"/>
      <c r="H383" s="123"/>
    </row>
    <row r="384" ht="18.75" customHeight="1">
      <c r="E384" s="123"/>
      <c r="H384" s="123"/>
    </row>
    <row r="385" ht="18.75" customHeight="1">
      <c r="E385" s="123"/>
      <c r="H385" s="123"/>
    </row>
    <row r="386" ht="18.75" customHeight="1">
      <c r="E386" s="123"/>
      <c r="H386" s="123"/>
    </row>
    <row r="387" ht="18.75" customHeight="1">
      <c r="E387" s="123"/>
      <c r="H387" s="123"/>
    </row>
    <row r="388" ht="18.75" customHeight="1">
      <c r="E388" s="123"/>
      <c r="H388" s="123"/>
    </row>
    <row r="389" ht="18.75" customHeight="1">
      <c r="E389" s="123"/>
      <c r="H389" s="123"/>
    </row>
    <row r="390" ht="18.75" customHeight="1">
      <c r="E390" s="123"/>
      <c r="H390" s="123"/>
    </row>
    <row r="391" ht="18.75" customHeight="1">
      <c r="E391" s="123"/>
      <c r="H391" s="123"/>
    </row>
    <row r="392" ht="18.75" customHeight="1">
      <c r="E392" s="123"/>
      <c r="H392" s="123"/>
    </row>
    <row r="393" ht="18.75" customHeight="1">
      <c r="E393" s="123"/>
      <c r="H393" s="123"/>
    </row>
    <row r="394" ht="18.75" customHeight="1">
      <c r="E394" s="123"/>
      <c r="H394" s="123"/>
    </row>
    <row r="395" ht="18.75" customHeight="1">
      <c r="E395" s="123"/>
      <c r="H395" s="123"/>
    </row>
    <row r="396" ht="18.75" customHeight="1">
      <c r="E396" s="123"/>
      <c r="H396" s="123"/>
    </row>
    <row r="397" ht="18.75" customHeight="1">
      <c r="E397" s="123"/>
      <c r="H397" s="123"/>
    </row>
    <row r="398" ht="18.75" customHeight="1">
      <c r="E398" s="123"/>
      <c r="H398" s="123"/>
    </row>
    <row r="399" ht="18.75" customHeight="1">
      <c r="E399" s="123"/>
      <c r="H399" s="123"/>
    </row>
    <row r="400" ht="18.75" customHeight="1">
      <c r="E400" s="123"/>
      <c r="H400" s="123"/>
    </row>
    <row r="401" ht="18.75" customHeight="1">
      <c r="E401" s="123"/>
      <c r="H401" s="123"/>
    </row>
    <row r="402" ht="18.75" customHeight="1">
      <c r="E402" s="123"/>
      <c r="H402" s="123"/>
    </row>
    <row r="403" ht="18.75" customHeight="1">
      <c r="E403" s="123"/>
      <c r="H403" s="123"/>
    </row>
    <row r="404" ht="18.75" customHeight="1">
      <c r="E404" s="123"/>
      <c r="H404" s="123"/>
    </row>
    <row r="405" ht="18.75" customHeight="1">
      <c r="E405" s="123"/>
      <c r="H405" s="123"/>
    </row>
    <row r="406" ht="18.75" customHeight="1">
      <c r="E406" s="123"/>
      <c r="H406" s="123"/>
    </row>
    <row r="407" ht="18.75" customHeight="1">
      <c r="E407" s="123"/>
      <c r="H407" s="123"/>
    </row>
    <row r="408" ht="18.75" customHeight="1">
      <c r="E408" s="123"/>
      <c r="H408" s="123"/>
    </row>
    <row r="409" ht="18.75" customHeight="1">
      <c r="E409" s="123"/>
      <c r="H409" s="123"/>
    </row>
    <row r="410" ht="18.75" customHeight="1">
      <c r="E410" s="123"/>
      <c r="H410" s="123"/>
    </row>
    <row r="411" ht="18.75" customHeight="1">
      <c r="E411" s="123"/>
      <c r="H411" s="123"/>
    </row>
    <row r="412" ht="18.75" customHeight="1">
      <c r="E412" s="123"/>
      <c r="H412" s="123"/>
    </row>
    <row r="413" ht="18.75" customHeight="1">
      <c r="E413" s="123"/>
      <c r="H413" s="123"/>
    </row>
    <row r="414" ht="18.75" customHeight="1">
      <c r="E414" s="123"/>
      <c r="H414" s="123"/>
    </row>
    <row r="415" ht="18.75" customHeight="1">
      <c r="E415" s="123"/>
      <c r="H415" s="123"/>
    </row>
    <row r="416" ht="18.75" customHeight="1">
      <c r="E416" s="123"/>
      <c r="H416" s="123"/>
    </row>
    <row r="417" ht="18.75" customHeight="1">
      <c r="E417" s="123"/>
      <c r="H417" s="123"/>
    </row>
    <row r="418" ht="18.75" customHeight="1">
      <c r="E418" s="123"/>
      <c r="H418" s="123"/>
    </row>
    <row r="419" ht="18.75" customHeight="1">
      <c r="E419" s="123"/>
      <c r="H419" s="123"/>
    </row>
    <row r="420" ht="18.75" customHeight="1">
      <c r="E420" s="123"/>
      <c r="H420" s="123"/>
    </row>
    <row r="421" ht="18.75" customHeight="1">
      <c r="E421" s="123"/>
      <c r="H421" s="123"/>
    </row>
    <row r="422" ht="18.75" customHeight="1">
      <c r="E422" s="123"/>
      <c r="H422" s="123"/>
    </row>
    <row r="423" ht="18.75" customHeight="1">
      <c r="E423" s="123"/>
      <c r="H423" s="123"/>
    </row>
    <row r="424" ht="18.75" customHeight="1">
      <c r="E424" s="123"/>
      <c r="H424" s="123"/>
    </row>
    <row r="425" ht="18.75" customHeight="1">
      <c r="E425" s="123"/>
      <c r="H425" s="123"/>
    </row>
    <row r="426" ht="18.75" customHeight="1">
      <c r="E426" s="123"/>
      <c r="H426" s="123"/>
    </row>
    <row r="427" ht="18.75" customHeight="1">
      <c r="E427" s="123"/>
      <c r="H427" s="123"/>
    </row>
    <row r="428" ht="18.75" customHeight="1">
      <c r="E428" s="123"/>
      <c r="H428" s="123"/>
    </row>
    <row r="429" ht="18.75" customHeight="1">
      <c r="E429" s="123"/>
      <c r="H429" s="123"/>
    </row>
    <row r="430" ht="18.75" customHeight="1">
      <c r="E430" s="123"/>
      <c r="H430" s="123"/>
    </row>
    <row r="431" ht="18.75" customHeight="1">
      <c r="E431" s="123"/>
      <c r="H431" s="123"/>
    </row>
    <row r="432" ht="18.75" customHeight="1">
      <c r="E432" s="123"/>
      <c r="H432" s="123"/>
    </row>
    <row r="433" ht="18.75" customHeight="1">
      <c r="E433" s="123"/>
      <c r="H433" s="123"/>
    </row>
    <row r="434" ht="18.75" customHeight="1">
      <c r="E434" s="123"/>
      <c r="H434" s="123"/>
    </row>
    <row r="435" ht="18.75" customHeight="1">
      <c r="E435" s="123"/>
      <c r="H435" s="123"/>
    </row>
    <row r="436" ht="18.75" customHeight="1">
      <c r="E436" s="123"/>
      <c r="H436" s="123"/>
    </row>
    <row r="437" ht="18.75" customHeight="1">
      <c r="E437" s="123"/>
      <c r="H437" s="123"/>
    </row>
    <row r="438" ht="18.75" customHeight="1">
      <c r="E438" s="123"/>
      <c r="H438" s="123"/>
    </row>
    <row r="439" ht="18.75" customHeight="1">
      <c r="E439" s="123"/>
      <c r="H439" s="123"/>
    </row>
    <row r="440" ht="18.75" customHeight="1">
      <c r="E440" s="123"/>
      <c r="H440" s="123"/>
    </row>
    <row r="441" ht="18.75" customHeight="1">
      <c r="E441" s="123"/>
      <c r="H441" s="123"/>
    </row>
    <row r="442" ht="18.75" customHeight="1">
      <c r="E442" s="123"/>
      <c r="H442" s="123"/>
    </row>
    <row r="443" ht="18.75" customHeight="1">
      <c r="E443" s="123"/>
      <c r="H443" s="123"/>
    </row>
    <row r="444" ht="18.75" customHeight="1">
      <c r="E444" s="123"/>
      <c r="H444" s="123"/>
    </row>
    <row r="445" ht="18.75" customHeight="1">
      <c r="E445" s="123"/>
      <c r="H445" s="123"/>
    </row>
    <row r="446" ht="18.75" customHeight="1">
      <c r="E446" s="123"/>
      <c r="H446" s="123"/>
    </row>
    <row r="447" ht="18.75" customHeight="1">
      <c r="E447" s="123"/>
      <c r="H447" s="123"/>
    </row>
    <row r="448" ht="18.75" customHeight="1">
      <c r="E448" s="123"/>
      <c r="H448" s="123"/>
    </row>
    <row r="449" ht="18.75" customHeight="1">
      <c r="E449" s="123"/>
      <c r="H449" s="123"/>
    </row>
    <row r="450" ht="18.75" customHeight="1">
      <c r="E450" s="123"/>
      <c r="H450" s="123"/>
    </row>
    <row r="451" ht="18.75" customHeight="1">
      <c r="E451" s="123"/>
      <c r="H451" s="123"/>
    </row>
    <row r="452" ht="18.75" customHeight="1">
      <c r="E452" s="123"/>
      <c r="H452" s="123"/>
    </row>
    <row r="453" ht="18.75" customHeight="1">
      <c r="E453" s="123"/>
      <c r="H453" s="123"/>
    </row>
    <row r="454" ht="18.75" customHeight="1">
      <c r="E454" s="123"/>
      <c r="H454" s="123"/>
    </row>
    <row r="455" ht="18.75" customHeight="1">
      <c r="E455" s="123"/>
      <c r="H455" s="123"/>
    </row>
    <row r="456" ht="18.75" customHeight="1">
      <c r="E456" s="123"/>
      <c r="H456" s="123"/>
    </row>
    <row r="457" ht="18.75" customHeight="1">
      <c r="E457" s="123"/>
      <c r="H457" s="123"/>
    </row>
    <row r="458" ht="18.75" customHeight="1">
      <c r="E458" s="123"/>
      <c r="H458" s="123"/>
    </row>
    <row r="459" ht="18.75" customHeight="1">
      <c r="E459" s="123"/>
      <c r="H459" s="123"/>
    </row>
    <row r="460" ht="18.75" customHeight="1">
      <c r="E460" s="123"/>
      <c r="H460" s="123"/>
    </row>
    <row r="461" ht="18.75" customHeight="1">
      <c r="E461" s="123"/>
      <c r="H461" s="123"/>
    </row>
    <row r="462" ht="18.75" customHeight="1">
      <c r="E462" s="123"/>
      <c r="H462" s="123"/>
    </row>
    <row r="463" ht="18.75" customHeight="1">
      <c r="E463" s="123"/>
      <c r="H463" s="123"/>
    </row>
    <row r="464" ht="18.75" customHeight="1">
      <c r="E464" s="123"/>
      <c r="H464" s="123"/>
    </row>
    <row r="465" ht="18.75" customHeight="1">
      <c r="E465" s="123"/>
      <c r="H465" s="123"/>
    </row>
    <row r="466" ht="18.75" customHeight="1">
      <c r="E466" s="123"/>
      <c r="H466" s="123"/>
    </row>
    <row r="467" ht="18.75" customHeight="1">
      <c r="E467" s="123"/>
      <c r="H467" s="123"/>
    </row>
    <row r="468" ht="18.75" customHeight="1">
      <c r="E468" s="123"/>
      <c r="H468" s="123"/>
    </row>
    <row r="469" ht="18.75" customHeight="1">
      <c r="E469" s="123"/>
      <c r="H469" s="123"/>
    </row>
    <row r="470" ht="18.75" customHeight="1">
      <c r="E470" s="123"/>
      <c r="H470" s="123"/>
    </row>
    <row r="471" ht="18.75" customHeight="1">
      <c r="E471" s="123"/>
      <c r="H471" s="123"/>
    </row>
    <row r="472" ht="18.75" customHeight="1">
      <c r="E472" s="123"/>
      <c r="H472" s="123"/>
    </row>
    <row r="473" ht="18.75" customHeight="1">
      <c r="E473" s="123"/>
      <c r="H473" s="123"/>
    </row>
    <row r="474" ht="18.75" customHeight="1">
      <c r="E474" s="123"/>
      <c r="H474" s="123"/>
    </row>
    <row r="475" ht="18.75" customHeight="1">
      <c r="E475" s="123"/>
      <c r="H475" s="123"/>
    </row>
    <row r="476" ht="18.75" customHeight="1">
      <c r="E476" s="123"/>
      <c r="H476" s="123"/>
    </row>
    <row r="477" ht="18.75" customHeight="1">
      <c r="E477" s="123"/>
      <c r="H477" s="123"/>
    </row>
    <row r="478" ht="18.75" customHeight="1">
      <c r="E478" s="123"/>
      <c r="H478" s="123"/>
    </row>
    <row r="479" ht="18.75" customHeight="1">
      <c r="E479" s="123"/>
      <c r="H479" s="123"/>
    </row>
    <row r="480" ht="18.75" customHeight="1">
      <c r="E480" s="123"/>
      <c r="H480" s="123"/>
    </row>
    <row r="481" ht="18.75" customHeight="1">
      <c r="E481" s="123"/>
      <c r="H481" s="123"/>
    </row>
    <row r="482" ht="18.75" customHeight="1">
      <c r="E482" s="123"/>
      <c r="H482" s="123"/>
    </row>
    <row r="483" ht="18.75" customHeight="1">
      <c r="E483" s="123"/>
      <c r="H483" s="123"/>
    </row>
    <row r="484" ht="18.75" customHeight="1">
      <c r="E484" s="123"/>
      <c r="H484" s="123"/>
    </row>
    <row r="485" ht="18.75" customHeight="1">
      <c r="E485" s="123"/>
      <c r="H485" s="123"/>
    </row>
    <row r="486" ht="18.75" customHeight="1">
      <c r="E486" s="123"/>
      <c r="H486" s="123"/>
    </row>
    <row r="487" ht="18.75" customHeight="1">
      <c r="E487" s="123"/>
      <c r="H487" s="123"/>
    </row>
    <row r="488" ht="18.75" customHeight="1">
      <c r="E488" s="123"/>
      <c r="H488" s="123"/>
    </row>
    <row r="489" ht="18.75" customHeight="1">
      <c r="E489" s="123"/>
      <c r="H489" s="123"/>
    </row>
    <row r="490" ht="18.75" customHeight="1">
      <c r="E490" s="123"/>
      <c r="H490" s="123"/>
    </row>
    <row r="491" ht="18.75" customHeight="1">
      <c r="E491" s="123"/>
      <c r="H491" s="123"/>
    </row>
    <row r="492" ht="18.75" customHeight="1">
      <c r="E492" s="123"/>
      <c r="H492" s="123"/>
    </row>
    <row r="493" ht="18.75" customHeight="1">
      <c r="E493" s="123"/>
      <c r="H493" s="123"/>
    </row>
    <row r="494" ht="18.75" customHeight="1">
      <c r="E494" s="123"/>
      <c r="H494" s="123"/>
    </row>
    <row r="495" ht="18.75" customHeight="1">
      <c r="E495" s="123"/>
      <c r="H495" s="123"/>
    </row>
    <row r="496" ht="18.75" customHeight="1">
      <c r="E496" s="123"/>
      <c r="H496" s="123"/>
    </row>
    <row r="497" ht="18.75" customHeight="1">
      <c r="E497" s="123"/>
      <c r="H497" s="123"/>
    </row>
    <row r="498" ht="18.75" customHeight="1">
      <c r="E498" s="123"/>
      <c r="H498" s="123"/>
    </row>
    <row r="499" ht="18.75" customHeight="1">
      <c r="E499" s="123"/>
      <c r="H499" s="123"/>
    </row>
    <row r="500" ht="18.75" customHeight="1">
      <c r="E500" s="123"/>
      <c r="H500" s="123"/>
    </row>
    <row r="501" ht="18.75" customHeight="1">
      <c r="E501" s="123"/>
      <c r="H501" s="123"/>
    </row>
    <row r="502" ht="18.75" customHeight="1">
      <c r="E502" s="123"/>
      <c r="H502" s="123"/>
    </row>
    <row r="503" ht="18.75" customHeight="1">
      <c r="E503" s="123"/>
      <c r="H503" s="123"/>
    </row>
    <row r="504" ht="18.75" customHeight="1">
      <c r="E504" s="123"/>
      <c r="H504" s="123"/>
    </row>
    <row r="505" ht="18.75" customHeight="1">
      <c r="E505" s="123"/>
      <c r="H505" s="123"/>
    </row>
    <row r="506" ht="18.75" customHeight="1">
      <c r="E506" s="123"/>
      <c r="H506" s="123"/>
    </row>
    <row r="507" ht="18.75" customHeight="1">
      <c r="E507" s="123"/>
      <c r="H507" s="123"/>
    </row>
    <row r="508" ht="18.75" customHeight="1">
      <c r="E508" s="123"/>
      <c r="H508" s="123"/>
    </row>
    <row r="509" ht="18.75" customHeight="1">
      <c r="E509" s="123"/>
      <c r="H509" s="123"/>
    </row>
    <row r="510" ht="18.75" customHeight="1">
      <c r="E510" s="123"/>
      <c r="H510" s="123"/>
    </row>
    <row r="511" ht="18.75" customHeight="1">
      <c r="E511" s="123"/>
      <c r="H511" s="123"/>
    </row>
    <row r="512" ht="18.75" customHeight="1">
      <c r="E512" s="123"/>
      <c r="H512" s="123"/>
    </row>
    <row r="513" ht="18.75" customHeight="1">
      <c r="E513" s="123"/>
      <c r="H513" s="123"/>
    </row>
    <row r="514" ht="18.75" customHeight="1">
      <c r="E514" s="123"/>
      <c r="H514" s="123"/>
    </row>
    <row r="515" ht="18.75" customHeight="1">
      <c r="E515" s="123"/>
      <c r="H515" s="123"/>
    </row>
    <row r="516" ht="18.75" customHeight="1">
      <c r="E516" s="123"/>
      <c r="H516" s="123"/>
    </row>
    <row r="517" ht="18.75" customHeight="1">
      <c r="E517" s="123"/>
      <c r="H517" s="123"/>
    </row>
    <row r="518" ht="18.75" customHeight="1">
      <c r="E518" s="123"/>
      <c r="H518" s="123"/>
    </row>
    <row r="519" ht="18.75" customHeight="1">
      <c r="E519" s="123"/>
      <c r="H519" s="123"/>
    </row>
    <row r="520" ht="18.75" customHeight="1">
      <c r="E520" s="123"/>
      <c r="H520" s="123"/>
    </row>
    <row r="521" ht="18.75" customHeight="1">
      <c r="E521" s="123"/>
      <c r="H521" s="123"/>
    </row>
    <row r="522" ht="18.75" customHeight="1">
      <c r="E522" s="123"/>
      <c r="H522" s="123"/>
    </row>
    <row r="523" ht="18.75" customHeight="1">
      <c r="E523" s="123"/>
      <c r="H523" s="123"/>
    </row>
    <row r="524" ht="18.75" customHeight="1">
      <c r="E524" s="123"/>
      <c r="H524" s="123"/>
    </row>
    <row r="525" ht="18.75" customHeight="1">
      <c r="E525" s="123"/>
      <c r="H525" s="123"/>
    </row>
    <row r="526" ht="18.75" customHeight="1">
      <c r="E526" s="123"/>
      <c r="H526" s="123"/>
    </row>
    <row r="527" ht="18.75" customHeight="1">
      <c r="E527" s="123"/>
      <c r="H527" s="123"/>
    </row>
    <row r="528" ht="18.75" customHeight="1">
      <c r="E528" s="123"/>
      <c r="H528" s="123"/>
    </row>
    <row r="529" ht="18.75" customHeight="1">
      <c r="E529" s="123"/>
      <c r="H529" s="123"/>
    </row>
    <row r="530" ht="18.75" customHeight="1">
      <c r="E530" s="123"/>
      <c r="H530" s="123"/>
    </row>
    <row r="531" ht="18.75" customHeight="1">
      <c r="E531" s="123"/>
      <c r="H531" s="123"/>
    </row>
    <row r="532" ht="18.75" customHeight="1">
      <c r="E532" s="123"/>
      <c r="H532" s="123"/>
    </row>
    <row r="533" ht="18.75" customHeight="1">
      <c r="E533" s="123"/>
      <c r="H533" s="123"/>
    </row>
    <row r="534" ht="18.75" customHeight="1">
      <c r="E534" s="123"/>
      <c r="H534" s="123"/>
    </row>
    <row r="535" ht="18.75" customHeight="1">
      <c r="E535" s="123"/>
      <c r="H535" s="123"/>
    </row>
    <row r="536" ht="18.75" customHeight="1">
      <c r="E536" s="123"/>
      <c r="H536" s="123"/>
    </row>
    <row r="537" ht="18.75" customHeight="1">
      <c r="E537" s="123"/>
      <c r="H537" s="123"/>
    </row>
    <row r="538" ht="18.75" customHeight="1">
      <c r="E538" s="123"/>
      <c r="H538" s="123"/>
    </row>
    <row r="539" ht="18.75" customHeight="1">
      <c r="E539" s="123"/>
      <c r="H539" s="123"/>
    </row>
    <row r="540" ht="18.75" customHeight="1">
      <c r="E540" s="123"/>
      <c r="H540" s="123"/>
    </row>
    <row r="541" ht="18.75" customHeight="1">
      <c r="E541" s="123"/>
      <c r="H541" s="123"/>
    </row>
    <row r="542" ht="18.75" customHeight="1">
      <c r="E542" s="123"/>
      <c r="H542" s="123"/>
    </row>
    <row r="543" ht="18.75" customHeight="1">
      <c r="E543" s="123"/>
      <c r="H543" s="123"/>
    </row>
    <row r="544" ht="18.75" customHeight="1">
      <c r="E544" s="123"/>
      <c r="H544" s="123"/>
    </row>
    <row r="545" ht="18.75" customHeight="1">
      <c r="E545" s="123"/>
      <c r="H545" s="123"/>
    </row>
    <row r="546" ht="18.75" customHeight="1">
      <c r="E546" s="123"/>
      <c r="H546" s="123"/>
    </row>
    <row r="547" ht="18.75" customHeight="1">
      <c r="E547" s="123"/>
      <c r="H547" s="123"/>
    </row>
    <row r="548" ht="18.75" customHeight="1">
      <c r="E548" s="123"/>
      <c r="H548" s="123"/>
    </row>
    <row r="549" ht="18.75" customHeight="1">
      <c r="E549" s="123"/>
      <c r="H549" s="123"/>
    </row>
    <row r="550" ht="18.75" customHeight="1">
      <c r="E550" s="123"/>
      <c r="H550" s="123"/>
    </row>
    <row r="551" ht="18.75" customHeight="1">
      <c r="E551" s="123"/>
      <c r="H551" s="123"/>
    </row>
    <row r="552" ht="18.75" customHeight="1">
      <c r="E552" s="123"/>
      <c r="H552" s="123"/>
    </row>
    <row r="553" ht="18.75" customHeight="1">
      <c r="E553" s="123"/>
      <c r="H553" s="123"/>
    </row>
    <row r="554" ht="18.75" customHeight="1">
      <c r="E554" s="123"/>
      <c r="H554" s="123"/>
    </row>
    <row r="555" ht="18.75" customHeight="1">
      <c r="E555" s="123"/>
      <c r="H555" s="123"/>
    </row>
    <row r="556" ht="18.75" customHeight="1">
      <c r="E556" s="123"/>
      <c r="H556" s="123"/>
    </row>
    <row r="557" ht="18.75" customHeight="1">
      <c r="E557" s="123"/>
      <c r="H557" s="123"/>
    </row>
    <row r="558" ht="18.75" customHeight="1">
      <c r="E558" s="123"/>
      <c r="H558" s="123"/>
    </row>
    <row r="559" ht="18.75" customHeight="1">
      <c r="E559" s="123"/>
      <c r="H559" s="123"/>
    </row>
    <row r="560" ht="18.75" customHeight="1">
      <c r="E560" s="123"/>
      <c r="H560" s="123"/>
    </row>
    <row r="561" ht="18.75" customHeight="1">
      <c r="E561" s="123"/>
      <c r="H561" s="123"/>
    </row>
    <row r="562" ht="18.75" customHeight="1">
      <c r="E562" s="123"/>
      <c r="H562" s="123"/>
    </row>
    <row r="563" ht="18.75" customHeight="1">
      <c r="E563" s="123"/>
      <c r="H563" s="123"/>
    </row>
    <row r="564" ht="18.75" customHeight="1">
      <c r="E564" s="123"/>
      <c r="H564" s="123"/>
    </row>
    <row r="565" ht="18.75" customHeight="1">
      <c r="E565" s="123"/>
      <c r="H565" s="123"/>
    </row>
    <row r="566" ht="18.75" customHeight="1">
      <c r="E566" s="123"/>
      <c r="H566" s="123"/>
    </row>
    <row r="567" ht="18.75" customHeight="1">
      <c r="E567" s="123"/>
      <c r="H567" s="123"/>
    </row>
    <row r="568" ht="18.75" customHeight="1">
      <c r="E568" s="123"/>
      <c r="H568" s="123"/>
    </row>
    <row r="569" ht="18.75" customHeight="1">
      <c r="E569" s="123"/>
      <c r="H569" s="123"/>
    </row>
    <row r="570" ht="18.75" customHeight="1">
      <c r="E570" s="123"/>
      <c r="H570" s="123"/>
    </row>
    <row r="571" ht="18.75" customHeight="1">
      <c r="E571" s="123"/>
      <c r="H571" s="123"/>
    </row>
    <row r="572" ht="18.75" customHeight="1">
      <c r="E572" s="123"/>
      <c r="H572" s="123"/>
    </row>
    <row r="573" ht="18.75" customHeight="1">
      <c r="E573" s="123"/>
      <c r="H573" s="123"/>
    </row>
    <row r="574" ht="18.75" customHeight="1">
      <c r="E574" s="123"/>
      <c r="H574" s="123"/>
    </row>
    <row r="575" ht="18.75" customHeight="1">
      <c r="E575" s="123"/>
      <c r="H575" s="123"/>
    </row>
    <row r="576" ht="18.75" customHeight="1">
      <c r="E576" s="123"/>
      <c r="H576" s="123"/>
    </row>
    <row r="577" ht="18.75" customHeight="1">
      <c r="E577" s="123"/>
      <c r="H577" s="123"/>
    </row>
    <row r="578" ht="18.75" customHeight="1">
      <c r="E578" s="123"/>
      <c r="H578" s="123"/>
    </row>
    <row r="579" ht="18.75" customHeight="1">
      <c r="E579" s="123"/>
      <c r="H579" s="123"/>
    </row>
    <row r="580" ht="18.75" customHeight="1">
      <c r="E580" s="123"/>
      <c r="H580" s="123"/>
    </row>
    <row r="581" ht="18.75" customHeight="1">
      <c r="E581" s="123"/>
      <c r="H581" s="123"/>
    </row>
    <row r="582" ht="18.75" customHeight="1">
      <c r="E582" s="123"/>
      <c r="H582" s="123"/>
    </row>
    <row r="583" ht="18.75" customHeight="1">
      <c r="E583" s="123"/>
      <c r="H583" s="123"/>
    </row>
    <row r="584" ht="18.75" customHeight="1">
      <c r="E584" s="123"/>
      <c r="H584" s="123"/>
    </row>
    <row r="585" ht="18.75" customHeight="1">
      <c r="E585" s="123"/>
      <c r="H585" s="123"/>
    </row>
    <row r="586" ht="18.75" customHeight="1">
      <c r="E586" s="123"/>
      <c r="H586" s="123"/>
    </row>
    <row r="587" ht="18.75" customHeight="1">
      <c r="E587" s="123"/>
      <c r="H587" s="123"/>
    </row>
    <row r="588" ht="18.75" customHeight="1">
      <c r="E588" s="123"/>
      <c r="H588" s="123"/>
    </row>
    <row r="589" ht="18.75" customHeight="1">
      <c r="E589" s="123"/>
      <c r="H589" s="123"/>
    </row>
    <row r="590" ht="18.75" customHeight="1">
      <c r="E590" s="123"/>
      <c r="H590" s="123"/>
    </row>
    <row r="591" ht="18.75" customHeight="1">
      <c r="E591" s="123"/>
      <c r="H591" s="123"/>
    </row>
    <row r="592" ht="18.75" customHeight="1">
      <c r="E592" s="123"/>
      <c r="H592" s="123"/>
    </row>
    <row r="593" ht="18.75" customHeight="1">
      <c r="E593" s="123"/>
      <c r="H593" s="123"/>
    </row>
    <row r="594" ht="18.75" customHeight="1">
      <c r="E594" s="123"/>
      <c r="H594" s="123"/>
    </row>
    <row r="595" ht="18.75" customHeight="1">
      <c r="E595" s="123"/>
      <c r="H595" s="123"/>
    </row>
    <row r="596" ht="18.75" customHeight="1">
      <c r="E596" s="123"/>
      <c r="H596" s="123"/>
    </row>
    <row r="597" ht="18.75" customHeight="1">
      <c r="E597" s="123"/>
      <c r="H597" s="123"/>
    </row>
    <row r="598" ht="18.75" customHeight="1">
      <c r="E598" s="123"/>
      <c r="H598" s="123"/>
    </row>
    <row r="599" ht="18.75" customHeight="1">
      <c r="E599" s="123"/>
      <c r="H599" s="123"/>
    </row>
    <row r="600" ht="18.75" customHeight="1">
      <c r="E600" s="123"/>
      <c r="H600" s="123"/>
    </row>
    <row r="601" ht="18.75" customHeight="1">
      <c r="E601" s="123"/>
      <c r="H601" s="123"/>
    </row>
    <row r="602" ht="18.75" customHeight="1">
      <c r="E602" s="123"/>
      <c r="H602" s="123"/>
    </row>
    <row r="603" ht="18.75" customHeight="1">
      <c r="E603" s="123"/>
      <c r="H603" s="123"/>
    </row>
    <row r="604" ht="18.75" customHeight="1">
      <c r="E604" s="123"/>
      <c r="H604" s="123"/>
    </row>
    <row r="605" ht="18.75" customHeight="1">
      <c r="E605" s="123"/>
      <c r="H605" s="123"/>
    </row>
    <row r="606" ht="18.75" customHeight="1">
      <c r="E606" s="123"/>
      <c r="H606" s="123"/>
    </row>
    <row r="607" ht="18.75" customHeight="1">
      <c r="E607" s="123"/>
      <c r="H607" s="123"/>
    </row>
    <row r="608" ht="18.75" customHeight="1">
      <c r="E608" s="123"/>
      <c r="H608" s="123"/>
    </row>
    <row r="609" ht="18.75" customHeight="1">
      <c r="E609" s="123"/>
      <c r="H609" s="123"/>
    </row>
    <row r="610" ht="18.75" customHeight="1">
      <c r="E610" s="123"/>
      <c r="H610" s="123"/>
    </row>
    <row r="611" ht="18.75" customHeight="1">
      <c r="E611" s="123"/>
      <c r="H611" s="123"/>
    </row>
    <row r="612" ht="18.75" customHeight="1">
      <c r="E612" s="123"/>
      <c r="H612" s="123"/>
    </row>
    <row r="613" ht="18.75" customHeight="1">
      <c r="E613" s="123"/>
      <c r="H613" s="123"/>
    </row>
    <row r="614" ht="18.75" customHeight="1">
      <c r="E614" s="123"/>
      <c r="H614" s="123"/>
    </row>
    <row r="615" ht="18.75" customHeight="1">
      <c r="E615" s="123"/>
      <c r="H615" s="123"/>
    </row>
    <row r="616" ht="18.75" customHeight="1">
      <c r="E616" s="123"/>
      <c r="H616" s="123"/>
    </row>
    <row r="617" ht="18.75" customHeight="1">
      <c r="E617" s="123"/>
      <c r="H617" s="123"/>
    </row>
    <row r="618" ht="18.75" customHeight="1">
      <c r="E618" s="123"/>
      <c r="H618" s="123"/>
    </row>
    <row r="619" ht="18.75" customHeight="1">
      <c r="E619" s="123"/>
      <c r="H619" s="123"/>
    </row>
    <row r="620" ht="18.75" customHeight="1">
      <c r="E620" s="123"/>
      <c r="H620" s="123"/>
    </row>
    <row r="621" ht="18.75" customHeight="1">
      <c r="E621" s="123"/>
      <c r="H621" s="123"/>
    </row>
    <row r="622" ht="18.75" customHeight="1">
      <c r="E622" s="123"/>
      <c r="H622" s="123"/>
    </row>
    <row r="623" ht="18.75" customHeight="1">
      <c r="E623" s="123"/>
      <c r="H623" s="123"/>
    </row>
    <row r="624" ht="18.75" customHeight="1">
      <c r="E624" s="123"/>
      <c r="H624" s="123"/>
    </row>
    <row r="625" ht="18.75" customHeight="1">
      <c r="E625" s="123"/>
      <c r="H625" s="123"/>
    </row>
    <row r="626" ht="18.75" customHeight="1">
      <c r="E626" s="123"/>
      <c r="H626" s="123"/>
    </row>
    <row r="627" ht="18.75" customHeight="1">
      <c r="E627" s="123"/>
      <c r="H627" s="123"/>
    </row>
    <row r="628" ht="18.75" customHeight="1">
      <c r="E628" s="123"/>
      <c r="H628" s="123"/>
    </row>
    <row r="629" ht="18.75" customHeight="1">
      <c r="E629" s="123"/>
      <c r="H629" s="123"/>
    </row>
    <row r="630" ht="18.75" customHeight="1">
      <c r="E630" s="123"/>
      <c r="H630" s="123"/>
    </row>
    <row r="631" ht="18.75" customHeight="1">
      <c r="E631" s="123"/>
      <c r="H631" s="123"/>
    </row>
    <row r="632" ht="18.75" customHeight="1">
      <c r="E632" s="123"/>
      <c r="H632" s="123"/>
    </row>
    <row r="633" ht="18.75" customHeight="1">
      <c r="E633" s="123"/>
      <c r="H633" s="123"/>
    </row>
    <row r="634" ht="18.75" customHeight="1">
      <c r="E634" s="123"/>
      <c r="H634" s="123"/>
    </row>
    <row r="635" ht="18.75" customHeight="1">
      <c r="E635" s="123"/>
      <c r="H635" s="123"/>
    </row>
    <row r="636" ht="18.75" customHeight="1">
      <c r="E636" s="123"/>
      <c r="H636" s="123"/>
    </row>
    <row r="637" ht="18.75" customHeight="1">
      <c r="E637" s="123"/>
      <c r="H637" s="123"/>
    </row>
    <row r="638" ht="18.75" customHeight="1">
      <c r="E638" s="123"/>
      <c r="H638" s="123"/>
    </row>
    <row r="639" ht="18.75" customHeight="1">
      <c r="E639" s="123"/>
      <c r="H639" s="123"/>
    </row>
    <row r="640" ht="18.75" customHeight="1">
      <c r="E640" s="123"/>
      <c r="H640" s="123"/>
    </row>
    <row r="641" ht="18.75" customHeight="1">
      <c r="E641" s="123"/>
      <c r="H641" s="123"/>
    </row>
    <row r="642" ht="18.75" customHeight="1">
      <c r="E642" s="123"/>
      <c r="H642" s="123"/>
    </row>
    <row r="643" ht="18.75" customHeight="1">
      <c r="E643" s="123"/>
      <c r="H643" s="123"/>
    </row>
    <row r="644" ht="18.75" customHeight="1">
      <c r="E644" s="123"/>
      <c r="H644" s="123"/>
    </row>
    <row r="645" ht="18.75" customHeight="1">
      <c r="E645" s="123"/>
      <c r="H645" s="123"/>
    </row>
    <row r="646" ht="18.75" customHeight="1">
      <c r="E646" s="123"/>
      <c r="H646" s="123"/>
    </row>
    <row r="647" ht="18.75" customHeight="1">
      <c r="E647" s="123"/>
      <c r="H647" s="123"/>
    </row>
    <row r="648" ht="18.75" customHeight="1">
      <c r="E648" s="123"/>
      <c r="H648" s="123"/>
    </row>
    <row r="649" ht="18.75" customHeight="1">
      <c r="E649" s="123"/>
      <c r="H649" s="123"/>
    </row>
    <row r="650" ht="18.75" customHeight="1">
      <c r="E650" s="123"/>
      <c r="H650" s="123"/>
    </row>
    <row r="651" ht="18.75" customHeight="1">
      <c r="E651" s="123"/>
      <c r="H651" s="123"/>
    </row>
    <row r="652" ht="18.75" customHeight="1">
      <c r="E652" s="123"/>
      <c r="H652" s="123"/>
    </row>
    <row r="653" ht="18.75" customHeight="1">
      <c r="E653" s="123"/>
      <c r="H653" s="123"/>
    </row>
    <row r="654" ht="18.75" customHeight="1">
      <c r="E654" s="123"/>
      <c r="H654" s="123"/>
    </row>
    <row r="655" ht="18.75" customHeight="1">
      <c r="E655" s="123"/>
      <c r="H655" s="123"/>
    </row>
    <row r="656" ht="18.75" customHeight="1">
      <c r="E656" s="123"/>
      <c r="H656" s="123"/>
    </row>
    <row r="657" ht="18.75" customHeight="1">
      <c r="E657" s="123"/>
      <c r="H657" s="123"/>
    </row>
    <row r="658" ht="18.75" customHeight="1">
      <c r="E658" s="123"/>
      <c r="H658" s="123"/>
    </row>
    <row r="659" ht="18.75" customHeight="1">
      <c r="E659" s="123"/>
      <c r="H659" s="123"/>
    </row>
    <row r="660" ht="18.75" customHeight="1">
      <c r="E660" s="123"/>
      <c r="H660" s="123"/>
    </row>
    <row r="661" ht="18.75" customHeight="1">
      <c r="E661" s="123"/>
      <c r="H661" s="123"/>
    </row>
    <row r="662" ht="18.75" customHeight="1">
      <c r="E662" s="123"/>
      <c r="H662" s="123"/>
    </row>
    <row r="663" ht="18.75" customHeight="1">
      <c r="E663" s="123"/>
      <c r="H663" s="123"/>
    </row>
    <row r="664" ht="18.75" customHeight="1">
      <c r="E664" s="123"/>
      <c r="H664" s="123"/>
    </row>
    <row r="665" ht="18.75" customHeight="1">
      <c r="E665" s="123"/>
      <c r="H665" s="123"/>
    </row>
    <row r="666" ht="18.75" customHeight="1">
      <c r="E666" s="123"/>
      <c r="H666" s="123"/>
    </row>
    <row r="667" ht="18.75" customHeight="1">
      <c r="E667" s="123"/>
      <c r="H667" s="123"/>
    </row>
    <row r="668" ht="18.75" customHeight="1">
      <c r="E668" s="123"/>
      <c r="H668" s="123"/>
    </row>
    <row r="669" ht="18.75" customHeight="1">
      <c r="E669" s="123"/>
      <c r="H669" s="123"/>
    </row>
    <row r="670" ht="18.75" customHeight="1">
      <c r="E670" s="123"/>
      <c r="H670" s="123"/>
    </row>
    <row r="671" ht="18.75" customHeight="1">
      <c r="E671" s="123"/>
      <c r="H671" s="123"/>
    </row>
    <row r="672" ht="18.75" customHeight="1">
      <c r="E672" s="123"/>
      <c r="H672" s="123"/>
    </row>
    <row r="673" ht="18.75" customHeight="1">
      <c r="E673" s="123"/>
      <c r="H673" s="123"/>
    </row>
    <row r="674" ht="18.75" customHeight="1">
      <c r="E674" s="123"/>
      <c r="H674" s="123"/>
    </row>
    <row r="675" ht="18.75" customHeight="1">
      <c r="E675" s="123"/>
      <c r="H675" s="123"/>
    </row>
    <row r="676" ht="18.75" customHeight="1">
      <c r="E676" s="123"/>
      <c r="H676" s="123"/>
    </row>
    <row r="677" ht="18.75" customHeight="1">
      <c r="E677" s="123"/>
      <c r="H677" s="123"/>
    </row>
    <row r="678" ht="18.75" customHeight="1">
      <c r="E678" s="123"/>
      <c r="H678" s="123"/>
    </row>
    <row r="679" ht="18.75" customHeight="1">
      <c r="E679" s="123"/>
      <c r="H679" s="123"/>
    </row>
    <row r="680" ht="18.75" customHeight="1">
      <c r="E680" s="123"/>
      <c r="H680" s="123"/>
    </row>
    <row r="681" ht="18.75" customHeight="1">
      <c r="E681" s="123"/>
      <c r="H681" s="123"/>
    </row>
    <row r="682" ht="18.75" customHeight="1">
      <c r="E682" s="123"/>
      <c r="H682" s="123"/>
    </row>
    <row r="683" ht="18.75" customHeight="1">
      <c r="E683" s="123"/>
      <c r="H683" s="123"/>
    </row>
    <row r="684" ht="18.75" customHeight="1">
      <c r="E684" s="123"/>
      <c r="H684" s="123"/>
    </row>
    <row r="685" ht="18.75" customHeight="1">
      <c r="E685" s="123"/>
      <c r="H685" s="123"/>
    </row>
    <row r="686" ht="18.75" customHeight="1">
      <c r="E686" s="123"/>
      <c r="H686" s="123"/>
    </row>
    <row r="687" ht="18.75" customHeight="1">
      <c r="E687" s="123"/>
      <c r="H687" s="123"/>
    </row>
    <row r="688" ht="18.75" customHeight="1">
      <c r="E688" s="123"/>
      <c r="H688" s="123"/>
    </row>
    <row r="689" ht="18.75" customHeight="1">
      <c r="E689" s="123"/>
      <c r="H689" s="123"/>
    </row>
    <row r="690" ht="18.75" customHeight="1">
      <c r="E690" s="123"/>
      <c r="H690" s="123"/>
    </row>
    <row r="691" ht="18.75" customHeight="1">
      <c r="E691" s="123"/>
      <c r="H691" s="123"/>
    </row>
    <row r="692" ht="18.75" customHeight="1">
      <c r="E692" s="123"/>
      <c r="H692" s="123"/>
    </row>
    <row r="693" ht="18.75" customHeight="1">
      <c r="E693" s="123"/>
      <c r="H693" s="123"/>
    </row>
    <row r="694" ht="18.75" customHeight="1">
      <c r="E694" s="123"/>
      <c r="H694" s="123"/>
    </row>
    <row r="695" ht="18.75" customHeight="1">
      <c r="E695" s="123"/>
      <c r="H695" s="123"/>
    </row>
    <row r="696" ht="18.75" customHeight="1">
      <c r="E696" s="123"/>
      <c r="H696" s="123"/>
    </row>
    <row r="697" ht="18.75" customHeight="1">
      <c r="E697" s="123"/>
      <c r="H697" s="123"/>
    </row>
    <row r="698" ht="18.75" customHeight="1">
      <c r="E698" s="123"/>
      <c r="H698" s="123"/>
    </row>
    <row r="699" ht="18.75" customHeight="1">
      <c r="E699" s="123"/>
      <c r="H699" s="123"/>
    </row>
    <row r="700" ht="18.75" customHeight="1">
      <c r="E700" s="123"/>
      <c r="H700" s="123"/>
    </row>
    <row r="701" ht="18.75" customHeight="1">
      <c r="E701" s="123"/>
      <c r="H701" s="123"/>
    </row>
    <row r="702" ht="18.75" customHeight="1">
      <c r="E702" s="123"/>
      <c r="H702" s="123"/>
    </row>
    <row r="703" ht="18.75" customHeight="1">
      <c r="E703" s="123"/>
      <c r="H703" s="123"/>
    </row>
    <row r="704" ht="18.75" customHeight="1">
      <c r="E704" s="123"/>
      <c r="H704" s="123"/>
    </row>
    <row r="705" ht="18.75" customHeight="1">
      <c r="E705" s="123"/>
      <c r="H705" s="123"/>
    </row>
    <row r="706" ht="18.75" customHeight="1">
      <c r="E706" s="123"/>
      <c r="H706" s="123"/>
    </row>
    <row r="707" ht="18.75" customHeight="1">
      <c r="E707" s="123"/>
      <c r="H707" s="123"/>
    </row>
    <row r="708" ht="18.75" customHeight="1">
      <c r="E708" s="123"/>
      <c r="H708" s="123"/>
    </row>
    <row r="709" ht="18.75" customHeight="1">
      <c r="E709" s="123"/>
      <c r="H709" s="123"/>
    </row>
    <row r="710" ht="18.75" customHeight="1">
      <c r="E710" s="123"/>
      <c r="H710" s="123"/>
    </row>
    <row r="711" ht="18.75" customHeight="1">
      <c r="E711" s="123"/>
      <c r="H711" s="123"/>
    </row>
    <row r="712" ht="18.75" customHeight="1">
      <c r="E712" s="123"/>
      <c r="H712" s="123"/>
    </row>
    <row r="713" ht="18.75" customHeight="1">
      <c r="E713" s="123"/>
      <c r="H713" s="123"/>
    </row>
    <row r="714" ht="18.75" customHeight="1">
      <c r="E714" s="123"/>
      <c r="H714" s="123"/>
    </row>
    <row r="715" ht="18.75" customHeight="1">
      <c r="E715" s="123"/>
      <c r="H715" s="123"/>
    </row>
    <row r="716" ht="18.75" customHeight="1">
      <c r="E716" s="123"/>
      <c r="H716" s="123"/>
    </row>
    <row r="717" ht="18.75" customHeight="1">
      <c r="E717" s="123"/>
      <c r="H717" s="123"/>
    </row>
    <row r="718" ht="18.75" customHeight="1">
      <c r="E718" s="123"/>
      <c r="H718" s="123"/>
    </row>
    <row r="719" ht="18.75" customHeight="1">
      <c r="E719" s="123"/>
      <c r="H719" s="123"/>
    </row>
    <row r="720" ht="18.75" customHeight="1">
      <c r="E720" s="123"/>
      <c r="H720" s="123"/>
    </row>
    <row r="721" ht="18.75" customHeight="1">
      <c r="E721" s="123"/>
      <c r="H721" s="123"/>
    </row>
    <row r="722" ht="18.75" customHeight="1">
      <c r="E722" s="123"/>
      <c r="H722" s="123"/>
    </row>
    <row r="723" ht="18.75" customHeight="1">
      <c r="E723" s="123"/>
      <c r="H723" s="123"/>
    </row>
    <row r="724" ht="18.75" customHeight="1">
      <c r="E724" s="123"/>
      <c r="H724" s="123"/>
    </row>
    <row r="725" ht="18.75" customHeight="1">
      <c r="E725" s="123"/>
      <c r="H725" s="123"/>
    </row>
    <row r="726" ht="18.75" customHeight="1">
      <c r="E726" s="123"/>
      <c r="H726" s="123"/>
    </row>
    <row r="727" ht="18.75" customHeight="1">
      <c r="E727" s="123"/>
      <c r="H727" s="123"/>
    </row>
    <row r="728" ht="18.75" customHeight="1">
      <c r="E728" s="123"/>
      <c r="H728" s="123"/>
    </row>
    <row r="729" ht="18.75" customHeight="1">
      <c r="E729" s="123"/>
      <c r="H729" s="123"/>
    </row>
    <row r="730" ht="18.75" customHeight="1">
      <c r="E730" s="123"/>
      <c r="H730" s="123"/>
    </row>
    <row r="731" ht="18.75" customHeight="1">
      <c r="E731" s="123"/>
      <c r="H731" s="123"/>
    </row>
    <row r="732" ht="18.75" customHeight="1">
      <c r="E732" s="123"/>
      <c r="H732" s="123"/>
    </row>
    <row r="733" ht="18.75" customHeight="1">
      <c r="E733" s="123"/>
      <c r="H733" s="123"/>
    </row>
    <row r="734" ht="18.75" customHeight="1">
      <c r="E734" s="123"/>
      <c r="H734" s="123"/>
    </row>
    <row r="735" ht="18.75" customHeight="1">
      <c r="E735" s="123"/>
      <c r="H735" s="123"/>
    </row>
    <row r="736" ht="18.75" customHeight="1">
      <c r="E736" s="123"/>
      <c r="H736" s="123"/>
    </row>
    <row r="737" ht="18.75" customHeight="1">
      <c r="E737" s="123"/>
      <c r="H737" s="123"/>
    </row>
    <row r="738" ht="18.75" customHeight="1">
      <c r="E738" s="123"/>
      <c r="H738" s="123"/>
    </row>
    <row r="739" ht="18.75" customHeight="1">
      <c r="E739" s="123"/>
      <c r="H739" s="123"/>
    </row>
    <row r="740" ht="18.75" customHeight="1">
      <c r="E740" s="123"/>
      <c r="H740" s="123"/>
    </row>
    <row r="741" ht="18.75" customHeight="1">
      <c r="E741" s="123"/>
      <c r="H741" s="123"/>
    </row>
    <row r="742" ht="18.75" customHeight="1">
      <c r="E742" s="123"/>
      <c r="H742" s="123"/>
    </row>
    <row r="743" ht="18.75" customHeight="1">
      <c r="E743" s="123"/>
      <c r="H743" s="123"/>
    </row>
    <row r="744" ht="18.75" customHeight="1">
      <c r="E744" s="123"/>
      <c r="H744" s="123"/>
    </row>
    <row r="745" ht="18.75" customHeight="1">
      <c r="E745" s="123"/>
      <c r="H745" s="123"/>
    </row>
    <row r="746" ht="18.75" customHeight="1">
      <c r="E746" s="123"/>
      <c r="H746" s="123"/>
    </row>
    <row r="747" ht="18.75" customHeight="1">
      <c r="E747" s="123"/>
      <c r="H747" s="123"/>
    </row>
    <row r="748" ht="18.75" customHeight="1">
      <c r="E748" s="123"/>
      <c r="H748" s="123"/>
    </row>
    <row r="749" ht="18.75" customHeight="1">
      <c r="E749" s="123"/>
      <c r="H749" s="123"/>
    </row>
    <row r="750" ht="18.75" customHeight="1">
      <c r="E750" s="123"/>
      <c r="H750" s="123"/>
    </row>
    <row r="751" ht="18.75" customHeight="1">
      <c r="E751" s="123"/>
      <c r="H751" s="123"/>
    </row>
    <row r="752" ht="18.75" customHeight="1">
      <c r="E752" s="123"/>
      <c r="H752" s="123"/>
    </row>
    <row r="753" ht="18.75" customHeight="1">
      <c r="E753" s="123"/>
      <c r="H753" s="123"/>
    </row>
    <row r="754" ht="18.75" customHeight="1">
      <c r="E754" s="123"/>
      <c r="H754" s="123"/>
    </row>
    <row r="755" ht="18.75" customHeight="1">
      <c r="E755" s="123"/>
      <c r="H755" s="123"/>
    </row>
    <row r="756" ht="18.75" customHeight="1">
      <c r="E756" s="123"/>
      <c r="H756" s="123"/>
    </row>
    <row r="757" ht="18.75" customHeight="1">
      <c r="E757" s="123"/>
      <c r="H757" s="123"/>
    </row>
    <row r="758" ht="18.75" customHeight="1">
      <c r="E758" s="123"/>
      <c r="H758" s="123"/>
    </row>
    <row r="759" ht="18.75" customHeight="1">
      <c r="E759" s="123"/>
      <c r="H759" s="123"/>
    </row>
    <row r="760" ht="18.75" customHeight="1">
      <c r="E760" s="123"/>
      <c r="H760" s="123"/>
    </row>
    <row r="761" ht="18.75" customHeight="1">
      <c r="E761" s="123"/>
      <c r="H761" s="123"/>
    </row>
    <row r="762" ht="18.75" customHeight="1">
      <c r="E762" s="123"/>
      <c r="H762" s="123"/>
    </row>
    <row r="763" ht="18.75" customHeight="1">
      <c r="E763" s="123"/>
      <c r="H763" s="123"/>
    </row>
    <row r="764" ht="18.75" customHeight="1">
      <c r="E764" s="123"/>
      <c r="H764" s="123"/>
    </row>
    <row r="765" ht="18.75" customHeight="1">
      <c r="E765" s="123"/>
      <c r="H765" s="123"/>
    </row>
    <row r="766" ht="18.75" customHeight="1">
      <c r="E766" s="123"/>
      <c r="H766" s="123"/>
    </row>
    <row r="767" ht="18.75" customHeight="1">
      <c r="E767" s="123"/>
      <c r="H767" s="123"/>
    </row>
    <row r="768" ht="18.75" customHeight="1">
      <c r="E768" s="123"/>
      <c r="H768" s="123"/>
    </row>
    <row r="769" ht="18.75" customHeight="1">
      <c r="E769" s="123"/>
      <c r="H769" s="123"/>
    </row>
    <row r="770" ht="18.75" customHeight="1">
      <c r="E770" s="123"/>
      <c r="H770" s="123"/>
    </row>
    <row r="771" ht="18.75" customHeight="1">
      <c r="E771" s="123"/>
      <c r="H771" s="123"/>
    </row>
    <row r="772" ht="18.75" customHeight="1">
      <c r="E772" s="123"/>
      <c r="H772" s="123"/>
    </row>
    <row r="773" ht="18.75" customHeight="1">
      <c r="E773" s="123"/>
      <c r="H773" s="123"/>
    </row>
    <row r="774" ht="18.75" customHeight="1">
      <c r="E774" s="123"/>
      <c r="H774" s="123"/>
    </row>
    <row r="775" ht="18.75" customHeight="1">
      <c r="E775" s="123"/>
      <c r="H775" s="123"/>
    </row>
    <row r="776" ht="18.75" customHeight="1">
      <c r="E776" s="123"/>
      <c r="H776" s="123"/>
    </row>
    <row r="777" ht="18.75" customHeight="1">
      <c r="E777" s="123"/>
      <c r="H777" s="123"/>
    </row>
    <row r="778" ht="18.75" customHeight="1">
      <c r="E778" s="123"/>
      <c r="H778" s="123"/>
    </row>
    <row r="779" ht="18.75" customHeight="1">
      <c r="E779" s="123"/>
      <c r="H779" s="123"/>
    </row>
    <row r="780" ht="18.75" customHeight="1">
      <c r="E780" s="123"/>
      <c r="H780" s="123"/>
    </row>
    <row r="781" ht="18.75" customHeight="1">
      <c r="E781" s="123"/>
      <c r="H781" s="123"/>
    </row>
    <row r="782" ht="18.75" customHeight="1">
      <c r="E782" s="123"/>
      <c r="H782" s="123"/>
    </row>
    <row r="783" ht="18.75" customHeight="1">
      <c r="E783" s="123"/>
      <c r="H783" s="123"/>
    </row>
    <row r="784" ht="18.75" customHeight="1">
      <c r="E784" s="123"/>
      <c r="H784" s="123"/>
    </row>
    <row r="785" ht="18.75" customHeight="1">
      <c r="E785" s="123"/>
      <c r="H785" s="123"/>
    </row>
    <row r="786" ht="18.75" customHeight="1">
      <c r="E786" s="123"/>
      <c r="H786" s="123"/>
    </row>
    <row r="787" ht="18.75" customHeight="1">
      <c r="E787" s="123"/>
      <c r="H787" s="123"/>
    </row>
    <row r="788" ht="18.75" customHeight="1">
      <c r="E788" s="123"/>
      <c r="H788" s="123"/>
    </row>
    <row r="789" ht="18.75" customHeight="1">
      <c r="E789" s="123"/>
      <c r="H789" s="123"/>
    </row>
    <row r="790" ht="18.75" customHeight="1">
      <c r="E790" s="123"/>
      <c r="H790" s="123"/>
    </row>
    <row r="791" ht="18.75" customHeight="1">
      <c r="E791" s="123"/>
      <c r="H791" s="123"/>
    </row>
    <row r="792" ht="18.75" customHeight="1">
      <c r="E792" s="123"/>
      <c r="H792" s="123"/>
    </row>
    <row r="793" ht="18.75" customHeight="1">
      <c r="E793" s="123"/>
      <c r="H793" s="123"/>
    </row>
    <row r="794" ht="18.75" customHeight="1">
      <c r="E794" s="123"/>
      <c r="H794" s="123"/>
    </row>
    <row r="795" ht="18.75" customHeight="1">
      <c r="E795" s="123"/>
      <c r="H795" s="123"/>
    </row>
    <row r="796" ht="18.75" customHeight="1">
      <c r="E796" s="123"/>
      <c r="H796" s="123"/>
    </row>
    <row r="797" ht="18.75" customHeight="1">
      <c r="E797" s="123"/>
      <c r="H797" s="123"/>
    </row>
    <row r="798" ht="18.75" customHeight="1">
      <c r="E798" s="123"/>
      <c r="H798" s="123"/>
    </row>
    <row r="799" ht="18.75" customHeight="1">
      <c r="E799" s="123"/>
      <c r="H799" s="123"/>
    </row>
    <row r="800" ht="18.75" customHeight="1">
      <c r="E800" s="123"/>
      <c r="H800" s="123"/>
    </row>
    <row r="801" ht="18.75" customHeight="1">
      <c r="E801" s="123"/>
      <c r="H801" s="123"/>
    </row>
    <row r="802" ht="18.75" customHeight="1">
      <c r="E802" s="123"/>
      <c r="H802" s="123"/>
    </row>
    <row r="803" ht="18.75" customHeight="1">
      <c r="E803" s="123"/>
      <c r="H803" s="123"/>
    </row>
    <row r="804" ht="18.75" customHeight="1">
      <c r="E804" s="123"/>
      <c r="H804" s="123"/>
    </row>
    <row r="805" ht="18.75" customHeight="1">
      <c r="E805" s="123"/>
      <c r="H805" s="123"/>
    </row>
    <row r="806" ht="18.75" customHeight="1">
      <c r="E806" s="123"/>
      <c r="H806" s="123"/>
    </row>
    <row r="807" ht="18.75" customHeight="1">
      <c r="E807" s="123"/>
      <c r="H807" s="123"/>
    </row>
    <row r="808" ht="18.75" customHeight="1">
      <c r="E808" s="123"/>
      <c r="H808" s="123"/>
    </row>
    <row r="809" ht="18.75" customHeight="1">
      <c r="E809" s="123"/>
      <c r="H809" s="123"/>
    </row>
    <row r="810" ht="18.75" customHeight="1">
      <c r="E810" s="123"/>
      <c r="H810" s="123"/>
    </row>
    <row r="811" ht="18.75" customHeight="1">
      <c r="E811" s="123"/>
      <c r="H811" s="123"/>
    </row>
    <row r="812" ht="18.75" customHeight="1">
      <c r="E812" s="123"/>
      <c r="H812" s="123"/>
    </row>
    <row r="813" ht="18.75" customHeight="1">
      <c r="E813" s="123"/>
      <c r="H813" s="123"/>
    </row>
    <row r="814" ht="18.75" customHeight="1">
      <c r="E814" s="123"/>
      <c r="H814" s="123"/>
    </row>
    <row r="815" ht="18.75" customHeight="1">
      <c r="E815" s="123"/>
      <c r="H815" s="123"/>
    </row>
    <row r="816" ht="18.75" customHeight="1">
      <c r="E816" s="123"/>
      <c r="H816" s="123"/>
    </row>
    <row r="817" ht="18.75" customHeight="1">
      <c r="E817" s="123"/>
      <c r="H817" s="123"/>
    </row>
    <row r="818" ht="18.75" customHeight="1">
      <c r="E818" s="123"/>
      <c r="H818" s="123"/>
    </row>
    <row r="819" ht="18.75" customHeight="1">
      <c r="E819" s="123"/>
      <c r="H819" s="123"/>
    </row>
    <row r="820" ht="18.75" customHeight="1">
      <c r="E820" s="123"/>
      <c r="H820" s="123"/>
    </row>
    <row r="821" ht="18.75" customHeight="1">
      <c r="E821" s="123"/>
      <c r="H821" s="123"/>
    </row>
    <row r="822" ht="18.75" customHeight="1">
      <c r="E822" s="123"/>
      <c r="H822" s="123"/>
    </row>
    <row r="823" ht="18.75" customHeight="1">
      <c r="E823" s="123"/>
      <c r="H823" s="123"/>
    </row>
    <row r="824" ht="18.75" customHeight="1">
      <c r="E824" s="123"/>
      <c r="H824" s="123"/>
    </row>
    <row r="825" ht="18.75" customHeight="1">
      <c r="E825" s="123"/>
      <c r="H825" s="123"/>
    </row>
    <row r="826" ht="18.75" customHeight="1">
      <c r="E826" s="123"/>
      <c r="H826" s="123"/>
    </row>
    <row r="827" ht="18.75" customHeight="1">
      <c r="E827" s="123"/>
      <c r="H827" s="123"/>
    </row>
    <row r="828" ht="18.75" customHeight="1">
      <c r="E828" s="123"/>
      <c r="H828" s="123"/>
    </row>
    <row r="829" ht="18.75" customHeight="1">
      <c r="E829" s="123"/>
      <c r="H829" s="123"/>
    </row>
    <row r="830" ht="18.75" customHeight="1">
      <c r="E830" s="123"/>
      <c r="H830" s="123"/>
    </row>
    <row r="831" ht="18.75" customHeight="1">
      <c r="E831" s="123"/>
      <c r="H831" s="123"/>
    </row>
    <row r="832" ht="18.75" customHeight="1">
      <c r="E832" s="123"/>
      <c r="H832" s="123"/>
    </row>
    <row r="833" ht="18.75" customHeight="1">
      <c r="E833" s="123"/>
      <c r="H833" s="123"/>
    </row>
    <row r="834" ht="18.75" customHeight="1">
      <c r="E834" s="123"/>
      <c r="H834" s="123"/>
    </row>
    <row r="835" ht="18.75" customHeight="1">
      <c r="E835" s="123"/>
      <c r="H835" s="123"/>
    </row>
    <row r="836" ht="18.75" customHeight="1">
      <c r="E836" s="123"/>
      <c r="H836" s="123"/>
    </row>
    <row r="837" ht="18.75" customHeight="1">
      <c r="E837" s="123"/>
      <c r="H837" s="123"/>
    </row>
    <row r="838" ht="18.75" customHeight="1">
      <c r="E838" s="123"/>
      <c r="H838" s="123"/>
    </row>
    <row r="839" ht="18.75" customHeight="1">
      <c r="E839" s="123"/>
      <c r="H839" s="123"/>
    </row>
    <row r="840" ht="18.75" customHeight="1">
      <c r="E840" s="123"/>
      <c r="H840" s="123"/>
    </row>
    <row r="841" ht="18.75" customHeight="1">
      <c r="E841" s="123"/>
      <c r="H841" s="123"/>
    </row>
    <row r="842" ht="18.75" customHeight="1">
      <c r="E842" s="123"/>
      <c r="H842" s="123"/>
    </row>
    <row r="843" ht="18.75" customHeight="1">
      <c r="E843" s="123"/>
      <c r="H843" s="123"/>
    </row>
    <row r="844" ht="18.75" customHeight="1">
      <c r="E844" s="123"/>
      <c r="H844" s="123"/>
    </row>
    <row r="845" ht="18.75" customHeight="1">
      <c r="E845" s="123"/>
      <c r="H845" s="123"/>
    </row>
    <row r="846" ht="18.75" customHeight="1">
      <c r="E846" s="123"/>
      <c r="H846" s="123"/>
    </row>
    <row r="847" ht="18.75" customHeight="1">
      <c r="E847" s="123"/>
      <c r="H847" s="123"/>
    </row>
    <row r="848" ht="18.75" customHeight="1">
      <c r="E848" s="123"/>
      <c r="H848" s="123"/>
    </row>
    <row r="849" ht="18.75" customHeight="1">
      <c r="E849" s="123"/>
      <c r="H849" s="123"/>
    </row>
    <row r="850" ht="18.75" customHeight="1">
      <c r="E850" s="123"/>
      <c r="H850" s="123"/>
    </row>
    <row r="851" ht="18.75" customHeight="1">
      <c r="E851" s="123"/>
      <c r="H851" s="123"/>
    </row>
    <row r="852" ht="18.75" customHeight="1">
      <c r="E852" s="123"/>
      <c r="H852" s="123"/>
    </row>
    <row r="853" ht="18.75" customHeight="1">
      <c r="E853" s="123"/>
      <c r="H853" s="123"/>
    </row>
    <row r="854" ht="18.75" customHeight="1">
      <c r="E854" s="123"/>
      <c r="H854" s="123"/>
    </row>
    <row r="855" ht="18.75" customHeight="1">
      <c r="E855" s="123"/>
      <c r="H855" s="123"/>
    </row>
    <row r="856" ht="18.75" customHeight="1">
      <c r="E856" s="123"/>
      <c r="H856" s="123"/>
    </row>
    <row r="857" ht="18.75" customHeight="1">
      <c r="E857" s="123"/>
      <c r="H857" s="123"/>
    </row>
    <row r="858" ht="18.75" customHeight="1">
      <c r="E858" s="123"/>
      <c r="H858" s="123"/>
    </row>
    <row r="859" ht="18.75" customHeight="1">
      <c r="E859" s="123"/>
      <c r="H859" s="123"/>
    </row>
    <row r="860" ht="18.75" customHeight="1">
      <c r="E860" s="123"/>
      <c r="H860" s="123"/>
    </row>
    <row r="861" ht="18.75" customHeight="1">
      <c r="E861" s="123"/>
      <c r="H861" s="123"/>
    </row>
    <row r="862" ht="18.75" customHeight="1">
      <c r="E862" s="123"/>
      <c r="H862" s="123"/>
    </row>
    <row r="863" ht="18.75" customHeight="1">
      <c r="E863" s="123"/>
      <c r="H863" s="123"/>
    </row>
    <row r="864" ht="18.75" customHeight="1">
      <c r="E864" s="123"/>
      <c r="H864" s="123"/>
    </row>
    <row r="865" ht="18.75" customHeight="1">
      <c r="E865" s="123"/>
      <c r="H865" s="123"/>
    </row>
    <row r="866" ht="18.75" customHeight="1">
      <c r="E866" s="123"/>
      <c r="H866" s="123"/>
    </row>
    <row r="867" ht="18.75" customHeight="1">
      <c r="E867" s="123"/>
      <c r="H867" s="123"/>
    </row>
    <row r="868" ht="18.75" customHeight="1">
      <c r="E868" s="123"/>
      <c r="H868" s="123"/>
    </row>
    <row r="869" ht="18.75" customHeight="1">
      <c r="E869" s="123"/>
      <c r="H869" s="123"/>
    </row>
    <row r="870" ht="18.75" customHeight="1">
      <c r="E870" s="123"/>
      <c r="H870" s="123"/>
    </row>
    <row r="871" ht="18.75" customHeight="1">
      <c r="E871" s="123"/>
      <c r="H871" s="123"/>
    </row>
    <row r="872" ht="18.75" customHeight="1">
      <c r="E872" s="123"/>
      <c r="H872" s="123"/>
    </row>
    <row r="873" ht="18.75" customHeight="1">
      <c r="E873" s="123"/>
      <c r="H873" s="123"/>
    </row>
    <row r="874" ht="18.75" customHeight="1">
      <c r="E874" s="123"/>
      <c r="H874" s="123"/>
    </row>
    <row r="875" ht="18.75" customHeight="1">
      <c r="E875" s="123"/>
      <c r="H875" s="123"/>
    </row>
    <row r="876" ht="18.75" customHeight="1">
      <c r="E876" s="123"/>
      <c r="H876" s="123"/>
    </row>
    <row r="877" ht="18.75" customHeight="1">
      <c r="E877" s="123"/>
      <c r="H877" s="123"/>
    </row>
    <row r="878" ht="18.75" customHeight="1">
      <c r="E878" s="123"/>
      <c r="H878" s="123"/>
    </row>
    <row r="879" ht="18.75" customHeight="1">
      <c r="E879" s="123"/>
      <c r="H879" s="123"/>
    </row>
    <row r="880" ht="18.75" customHeight="1">
      <c r="E880" s="123"/>
      <c r="H880" s="123"/>
    </row>
    <row r="881" ht="18.75" customHeight="1">
      <c r="E881" s="123"/>
      <c r="H881" s="123"/>
    </row>
    <row r="882" ht="18.75" customHeight="1">
      <c r="E882" s="123"/>
      <c r="H882" s="123"/>
    </row>
    <row r="883" ht="18.75" customHeight="1">
      <c r="E883" s="123"/>
      <c r="H883" s="123"/>
    </row>
    <row r="884" ht="18.75" customHeight="1">
      <c r="E884" s="123"/>
      <c r="H884" s="123"/>
    </row>
    <row r="885" ht="18.75" customHeight="1">
      <c r="E885" s="123"/>
      <c r="H885" s="123"/>
    </row>
    <row r="886" ht="18.75" customHeight="1">
      <c r="E886" s="123"/>
      <c r="H886" s="123"/>
    </row>
    <row r="887" ht="18.75" customHeight="1">
      <c r="E887" s="123"/>
      <c r="H887" s="123"/>
    </row>
    <row r="888" ht="18.75" customHeight="1">
      <c r="E888" s="123"/>
      <c r="H888" s="123"/>
    </row>
    <row r="889" ht="18.75" customHeight="1">
      <c r="E889" s="123"/>
      <c r="H889" s="123"/>
    </row>
    <row r="890" ht="18.75" customHeight="1">
      <c r="E890" s="123"/>
      <c r="H890" s="123"/>
    </row>
    <row r="891" ht="18.75" customHeight="1">
      <c r="E891" s="123"/>
      <c r="H891" s="123"/>
    </row>
    <row r="892" ht="18.75" customHeight="1">
      <c r="E892" s="123"/>
      <c r="H892" s="123"/>
    </row>
    <row r="893" ht="18.75" customHeight="1">
      <c r="E893" s="123"/>
      <c r="H893" s="123"/>
    </row>
    <row r="894" ht="18.75" customHeight="1">
      <c r="E894" s="123"/>
      <c r="H894" s="123"/>
    </row>
    <row r="895" ht="18.75" customHeight="1">
      <c r="E895" s="123"/>
      <c r="H895" s="123"/>
    </row>
    <row r="896" ht="18.75" customHeight="1">
      <c r="E896" s="123"/>
      <c r="H896" s="123"/>
    </row>
    <row r="897" ht="18.75" customHeight="1">
      <c r="E897" s="123"/>
      <c r="H897" s="123"/>
    </row>
    <row r="898" ht="18.75" customHeight="1">
      <c r="E898" s="123"/>
      <c r="H898" s="123"/>
    </row>
    <row r="899" ht="18.75" customHeight="1">
      <c r="H899" s="123"/>
    </row>
    <row r="900" ht="18.75" customHeight="1">
      <c r="H900" s="123"/>
    </row>
    <row r="901" ht="18.75" customHeight="1">
      <c r="H901" s="123"/>
    </row>
    <row r="902" ht="18.75" customHeight="1">
      <c r="H902" s="123"/>
    </row>
    <row r="903" ht="18.75" customHeight="1">
      <c r="H903" s="123"/>
    </row>
    <row r="904" ht="18.75" customHeight="1">
      <c r="H904" s="123"/>
    </row>
    <row r="905" ht="18.75" customHeight="1">
      <c r="H905" s="123"/>
    </row>
    <row r="906" ht="18.75" customHeight="1">
      <c r="H906" s="123"/>
    </row>
    <row r="907" ht="18.75" customHeight="1">
      <c r="H907" s="123"/>
    </row>
    <row r="908" ht="18.75" customHeight="1">
      <c r="H908" s="123"/>
    </row>
    <row r="909" ht="18.75" customHeight="1">
      <c r="H909" s="123"/>
    </row>
    <row r="910" ht="18.75" customHeight="1">
      <c r="H910" s="123"/>
    </row>
    <row r="911" ht="18.75" customHeight="1">
      <c r="H911" s="123"/>
    </row>
    <row r="912" ht="18.75" customHeight="1">
      <c r="H912" s="123"/>
    </row>
    <row r="913" ht="18.75" customHeight="1">
      <c r="H913" s="123"/>
    </row>
    <row r="914" ht="18.75" customHeight="1">
      <c r="H914" s="123"/>
    </row>
    <row r="915" ht="18.75" customHeight="1">
      <c r="H915" s="123"/>
    </row>
    <row r="916" ht="18.75" customHeight="1">
      <c r="H916" s="123"/>
    </row>
    <row r="917" ht="18.75" customHeight="1">
      <c r="H917" s="123"/>
    </row>
    <row r="918" ht="18.75" customHeight="1">
      <c r="H918" s="123"/>
    </row>
    <row r="919" ht="18.75" customHeight="1">
      <c r="H919" s="123"/>
    </row>
    <row r="920" ht="18.75" customHeight="1">
      <c r="H920" s="123"/>
    </row>
    <row r="921" ht="18.75" customHeight="1">
      <c r="H921" s="123"/>
    </row>
    <row r="922" ht="18.75" customHeight="1">
      <c r="H922" s="123"/>
    </row>
    <row r="923" ht="18.75" customHeight="1">
      <c r="H923" s="123"/>
    </row>
    <row r="924" ht="18.75" customHeight="1">
      <c r="H924" s="123"/>
    </row>
    <row r="925" ht="18.75" customHeight="1">
      <c r="H925" s="123"/>
    </row>
    <row r="926" ht="18.75" customHeight="1">
      <c r="H926" s="123"/>
    </row>
    <row r="927" ht="18.75" customHeight="1">
      <c r="H927" s="123"/>
    </row>
    <row r="928" ht="18.75" customHeight="1">
      <c r="H928" s="123"/>
    </row>
    <row r="929" ht="18.75" customHeight="1">
      <c r="H929" s="123"/>
    </row>
    <row r="930" ht="18.75" customHeight="1">
      <c r="H930" s="123"/>
    </row>
    <row r="931" ht="18.75" customHeight="1">
      <c r="H931" s="123"/>
    </row>
    <row r="932" ht="18.75" customHeight="1">
      <c r="H932" s="123"/>
    </row>
    <row r="933" ht="18.75" customHeight="1">
      <c r="H933" s="123"/>
    </row>
    <row r="934" ht="18.75" customHeight="1">
      <c r="H934" s="123"/>
    </row>
    <row r="935" ht="18.75" customHeight="1">
      <c r="H935" s="123"/>
    </row>
    <row r="936" ht="18.75" customHeight="1">
      <c r="H936" s="123"/>
    </row>
    <row r="937" ht="18.75" customHeight="1">
      <c r="H937" s="123"/>
    </row>
    <row r="938" ht="18.75" customHeight="1">
      <c r="H938" s="123"/>
    </row>
    <row r="939" ht="18.75" customHeight="1">
      <c r="H939" s="123"/>
    </row>
    <row r="940" ht="18.75" customHeight="1">
      <c r="H940" s="123"/>
    </row>
    <row r="941" ht="18.75" customHeight="1">
      <c r="H941" s="123"/>
    </row>
    <row r="942" ht="18.75" customHeight="1">
      <c r="H942" s="123"/>
    </row>
    <row r="943" ht="18.75" customHeight="1">
      <c r="H943" s="123"/>
    </row>
    <row r="944" ht="18.75" customHeight="1">
      <c r="H944" s="123"/>
    </row>
    <row r="945" ht="18.75" customHeight="1">
      <c r="H945" s="123"/>
    </row>
    <row r="946" ht="18.75" customHeight="1">
      <c r="H946" s="123"/>
    </row>
    <row r="947" ht="18.75" customHeight="1">
      <c r="H947" s="123"/>
    </row>
    <row r="948" ht="18.75" customHeight="1">
      <c r="H948" s="123"/>
    </row>
    <row r="949" ht="18.75" customHeight="1">
      <c r="H949" s="123"/>
    </row>
    <row r="950" ht="18.75" customHeight="1">
      <c r="H950" s="123"/>
    </row>
    <row r="951" ht="18.75" customHeight="1">
      <c r="H951" s="123"/>
    </row>
    <row r="952" ht="18.75" customHeight="1">
      <c r="H952" s="123"/>
    </row>
    <row r="953" ht="18.75" customHeight="1">
      <c r="H953" s="123"/>
    </row>
    <row r="954" ht="18.75" customHeight="1">
      <c r="H954" s="123"/>
    </row>
    <row r="955" ht="18.75" customHeight="1">
      <c r="H955" s="123"/>
    </row>
    <row r="956" ht="18.75" customHeight="1">
      <c r="H956" s="123"/>
    </row>
    <row r="957" ht="18.75" customHeight="1">
      <c r="H957" s="123"/>
    </row>
    <row r="958" ht="18.75" customHeight="1">
      <c r="H958" s="123"/>
    </row>
    <row r="959" ht="18.75" customHeight="1">
      <c r="H959" s="123"/>
    </row>
    <row r="960" ht="18.75" customHeight="1">
      <c r="H960" s="123"/>
    </row>
    <row r="961" ht="18.75" customHeight="1">
      <c r="H961" s="123"/>
    </row>
    <row r="962" ht="18.75" customHeight="1">
      <c r="H962" s="123"/>
    </row>
    <row r="963" ht="18.75" customHeight="1">
      <c r="H963" s="123"/>
    </row>
    <row r="964" ht="18.75" customHeight="1">
      <c r="H964" s="123"/>
    </row>
    <row r="965" ht="18.75" customHeight="1">
      <c r="H965" s="123"/>
    </row>
    <row r="966" ht="18.75" customHeight="1">
      <c r="H966" s="123"/>
    </row>
    <row r="967" ht="18.75" customHeight="1">
      <c r="H967" s="123"/>
    </row>
    <row r="968" ht="18.75" customHeight="1">
      <c r="H968" s="123"/>
    </row>
    <row r="969" ht="18.75" customHeight="1">
      <c r="H969" s="123"/>
    </row>
    <row r="970" ht="18.75" customHeight="1">
      <c r="H970" s="123"/>
    </row>
    <row r="971" ht="18.75" customHeight="1">
      <c r="H971" s="123"/>
    </row>
    <row r="972" ht="18.75" customHeight="1">
      <c r="H972" s="123"/>
    </row>
    <row r="973" ht="18.75" customHeight="1">
      <c r="H973" s="123"/>
    </row>
    <row r="974" ht="18.75" customHeight="1">
      <c r="H974" s="123"/>
    </row>
    <row r="975" ht="18.75" customHeight="1">
      <c r="H975" s="123"/>
    </row>
    <row r="976" ht="18.75" customHeight="1">
      <c r="H976" s="123"/>
    </row>
    <row r="977" ht="18.75" customHeight="1">
      <c r="H977" s="123"/>
    </row>
    <row r="978" ht="18.75" customHeight="1">
      <c r="H978" s="123"/>
    </row>
    <row r="979" ht="18.75" customHeight="1">
      <c r="H979" s="123"/>
    </row>
    <row r="980" ht="18.75" customHeight="1">
      <c r="H980" s="123"/>
    </row>
    <row r="981" ht="18.75" customHeight="1">
      <c r="H981" s="123"/>
    </row>
    <row r="982" ht="18.75" customHeight="1">
      <c r="H982" s="123"/>
    </row>
    <row r="983" ht="18.75" customHeight="1">
      <c r="H983" s="123"/>
    </row>
    <row r="984" ht="18.75" customHeight="1">
      <c r="H984" s="123"/>
    </row>
    <row r="985" ht="18.75" customHeight="1">
      <c r="H985" s="123"/>
    </row>
    <row r="986" ht="18.75" customHeight="1">
      <c r="H986" s="123"/>
    </row>
    <row r="987" ht="18.75" customHeight="1">
      <c r="H987" s="123"/>
    </row>
    <row r="988" ht="18.75" customHeight="1">
      <c r="H988" s="123"/>
    </row>
    <row r="989" ht="18.75" customHeight="1">
      <c r="H989" s="123"/>
    </row>
    <row r="990" ht="18.75" customHeight="1">
      <c r="H990" s="123"/>
    </row>
    <row r="991" ht="18.75" customHeight="1">
      <c r="H991" s="123"/>
    </row>
    <row r="992" ht="18.75" customHeight="1">
      <c r="H992" s="123"/>
    </row>
    <row r="993" ht="18.75" customHeight="1">
      <c r="H993" s="123"/>
    </row>
    <row r="994" ht="18.75" customHeight="1">
      <c r="H994" s="123"/>
    </row>
    <row r="995" ht="18.75" customHeight="1">
      <c r="H995" s="123"/>
    </row>
    <row r="996" ht="18.75" customHeight="1">
      <c r="H996" s="123"/>
    </row>
    <row r="997" ht="18.75" customHeight="1">
      <c r="H997" s="123"/>
    </row>
    <row r="998" ht="18.75" customHeight="1">
      <c r="H998" s="123"/>
    </row>
    <row r="999" ht="18.75" customHeight="1">
      <c r="H999" s="123"/>
    </row>
  </sheetData>
  <mergeCells count="21">
    <mergeCell ref="A1:F1"/>
    <mergeCell ref="H1:J1"/>
    <mergeCell ref="A2:F2"/>
    <mergeCell ref="A3:A6"/>
    <mergeCell ref="B3:B6"/>
    <mergeCell ref="E3:E6"/>
    <mergeCell ref="F3:F6"/>
    <mergeCell ref="L5:P5"/>
    <mergeCell ref="L20:L22"/>
    <mergeCell ref="H21:J21"/>
    <mergeCell ref="L23:M23"/>
    <mergeCell ref="L24:L26"/>
    <mergeCell ref="L27:M27"/>
    <mergeCell ref="H43:K43"/>
    <mergeCell ref="C3:D3"/>
    <mergeCell ref="C4:C5"/>
    <mergeCell ref="D4:D5"/>
    <mergeCell ref="L7:L13"/>
    <mergeCell ref="L14:M14"/>
    <mergeCell ref="L15:L18"/>
    <mergeCell ref="L19:M19"/>
  </mergeCells>
  <dataValidations>
    <dataValidation type="list" allowBlank="1" showErrorMessage="1" sqref="E8:E98">
      <formula1>"1,1,1,2,1,3,2,1,2,2,2,3,2,4,2,5,2,6,2,7,2,8,2,9,2,11,2,12"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6.0"/>
    <col customWidth="1" min="2" max="2" width="12.71"/>
    <col customWidth="1" min="3" max="4" width="13.86"/>
    <col customWidth="1" min="5" max="5" width="10.0"/>
    <col customWidth="1" min="6" max="6" width="42.29"/>
    <col customWidth="1" min="7" max="7" width="7.0"/>
    <col customWidth="1" min="8" max="8" width="14.0"/>
    <col customWidth="1" min="9" max="9" width="46.0"/>
    <col customWidth="1" min="10" max="10" width="16.0"/>
    <col customWidth="1" min="11" max="11" width="7.29"/>
    <col customWidth="1" min="12" max="12" width="11.86"/>
    <col customWidth="1" min="13" max="13" width="15.14"/>
    <col customWidth="1" min="14" max="15" width="15.86"/>
    <col customWidth="1" min="16" max="16" width="27.71"/>
    <col customWidth="1" min="17" max="17" width="14.29"/>
    <col customWidth="1" min="18" max="25" width="14.0"/>
  </cols>
  <sheetData>
    <row r="1" ht="18.75" customHeight="1">
      <c r="A1" s="11" t="s">
        <v>22</v>
      </c>
      <c r="F1" s="12"/>
      <c r="G1" s="13"/>
      <c r="H1" s="103" t="s">
        <v>23</v>
      </c>
      <c r="I1" s="15"/>
      <c r="J1" s="16"/>
      <c r="K1" s="13"/>
      <c r="O1" s="124"/>
    </row>
    <row r="2" ht="18.75" customHeight="1">
      <c r="A2" s="17" t="s">
        <v>288</v>
      </c>
      <c r="G2" s="13"/>
      <c r="H2" s="104" t="s">
        <v>25</v>
      </c>
      <c r="I2" s="19" t="s">
        <v>26</v>
      </c>
      <c r="J2" s="20" t="s">
        <v>27</v>
      </c>
      <c r="K2" s="13"/>
      <c r="O2" s="124"/>
    </row>
    <row r="3" ht="18.75" customHeight="1">
      <c r="A3" s="21" t="s">
        <v>28</v>
      </c>
      <c r="B3" s="21" t="s">
        <v>29</v>
      </c>
      <c r="C3" s="23" t="s">
        <v>30</v>
      </c>
      <c r="D3" s="24"/>
      <c r="E3" s="105" t="s">
        <v>25</v>
      </c>
      <c r="F3" s="21" t="s">
        <v>26</v>
      </c>
      <c r="G3" s="13"/>
      <c r="H3" s="106" t="s">
        <v>216</v>
      </c>
      <c r="I3" s="27" t="s">
        <v>31</v>
      </c>
      <c r="J3" s="28">
        <f>SUM(J4:J6)</f>
        <v>295697978</v>
      </c>
      <c r="K3" s="13"/>
      <c r="O3" s="124"/>
    </row>
    <row r="4" ht="18.75" customHeight="1">
      <c r="A4" s="29"/>
      <c r="B4" s="29"/>
      <c r="C4" s="21" t="s">
        <v>32</v>
      </c>
      <c r="D4" s="21" t="s">
        <v>33</v>
      </c>
      <c r="E4" s="30"/>
      <c r="F4" s="29"/>
      <c r="G4" s="13"/>
      <c r="H4" s="107" t="s">
        <v>217</v>
      </c>
      <c r="I4" s="32" t="s">
        <v>34</v>
      </c>
      <c r="J4" s="28">
        <f>SUMIF($E$8:$E$100,1.1,$C$8:$C$100)</f>
        <v>0</v>
      </c>
      <c r="K4" s="13"/>
      <c r="O4" s="124"/>
    </row>
    <row r="5" ht="18.75" customHeight="1">
      <c r="A5" s="29"/>
      <c r="B5" s="29"/>
      <c r="C5" s="33"/>
      <c r="D5" s="33"/>
      <c r="E5" s="30"/>
      <c r="F5" s="29"/>
      <c r="G5" s="13"/>
      <c r="H5" s="107" t="s">
        <v>218</v>
      </c>
      <c r="I5" s="32" t="s">
        <v>35</v>
      </c>
      <c r="J5" s="28">
        <f>SUMIF($E$8:$E$100,1.2,$C$8:$C$100)</f>
        <v>295697978</v>
      </c>
      <c r="K5" s="13"/>
      <c r="L5" s="125" t="s">
        <v>259</v>
      </c>
    </row>
    <row r="6" ht="18.75" customHeight="1">
      <c r="A6" s="33"/>
      <c r="B6" s="33"/>
      <c r="C6" s="34"/>
      <c r="D6" s="34"/>
      <c r="E6" s="35"/>
      <c r="F6" s="33"/>
      <c r="G6" s="13"/>
      <c r="H6" s="107" t="s">
        <v>219</v>
      </c>
      <c r="I6" s="32" t="s">
        <v>36</v>
      </c>
      <c r="J6" s="28">
        <f>SUMIF($E$8:$E$100,1.3,$C$8:$C$100)</f>
        <v>0</v>
      </c>
      <c r="K6" s="13"/>
      <c r="L6" s="126" t="s">
        <v>260</v>
      </c>
      <c r="M6" s="127" t="s">
        <v>261</v>
      </c>
      <c r="N6" s="127" t="s">
        <v>262</v>
      </c>
      <c r="O6" s="127" t="s">
        <v>263</v>
      </c>
      <c r="P6" s="126" t="s">
        <v>264</v>
      </c>
    </row>
    <row r="7" ht="21.75" customHeight="1">
      <c r="A7" s="36"/>
      <c r="B7" s="17" t="s">
        <v>265</v>
      </c>
      <c r="C7" s="42">
        <f t="shared" ref="C7:D7" si="1">SUM(C8:C100)</f>
        <v>295697978</v>
      </c>
      <c r="D7" s="42">
        <f t="shared" si="1"/>
        <v>369183401</v>
      </c>
      <c r="E7" s="39"/>
      <c r="F7" s="40"/>
      <c r="G7" s="40"/>
      <c r="H7" s="128" t="s">
        <v>221</v>
      </c>
      <c r="I7" s="49" t="s">
        <v>40</v>
      </c>
      <c r="J7" s="28">
        <f>SUM(J8:J18)</f>
        <v>369183401</v>
      </c>
      <c r="K7" s="40"/>
      <c r="L7" s="129" t="s">
        <v>289</v>
      </c>
      <c r="M7" s="130">
        <v>45999.0</v>
      </c>
      <c r="N7" s="131"/>
      <c r="O7" s="138">
        <v>4.58E7</v>
      </c>
      <c r="P7" s="133" t="s">
        <v>283</v>
      </c>
    </row>
    <row r="8" ht="18.75" customHeight="1">
      <c r="A8" s="134">
        <v>1.0</v>
      </c>
      <c r="B8" s="108">
        <v>45992.0</v>
      </c>
      <c r="C8" s="101"/>
      <c r="D8" s="135">
        <v>7000000.0</v>
      </c>
      <c r="E8" s="110" t="s">
        <v>43</v>
      </c>
      <c r="F8" s="136" t="s">
        <v>290</v>
      </c>
      <c r="G8" s="13"/>
      <c r="H8" s="110" t="s">
        <v>223</v>
      </c>
      <c r="I8" s="54" t="s">
        <v>42</v>
      </c>
      <c r="J8" s="55">
        <f>SUMIF($E$8:$E$100,2.1,$D$8:$D$100)</f>
        <v>0</v>
      </c>
      <c r="K8" s="13"/>
      <c r="L8" s="137"/>
      <c r="M8" s="130">
        <v>46001.0</v>
      </c>
      <c r="N8" s="131"/>
      <c r="O8" s="138">
        <v>1.0756E7</v>
      </c>
      <c r="P8" s="133" t="s">
        <v>285</v>
      </c>
    </row>
    <row r="9" ht="18.75" customHeight="1">
      <c r="A9" s="139">
        <v>2.0</v>
      </c>
      <c r="B9" s="108">
        <v>45995.0</v>
      </c>
      <c r="C9" s="93"/>
      <c r="D9" s="112">
        <v>1.26E7</v>
      </c>
      <c r="E9" s="113" t="s">
        <v>60</v>
      </c>
      <c r="F9" s="66" t="s">
        <v>291</v>
      </c>
      <c r="G9" s="52"/>
      <c r="H9" s="113" t="s">
        <v>224</v>
      </c>
      <c r="I9" s="54" t="s">
        <v>45</v>
      </c>
      <c r="J9" s="28">
        <f>SUMIF($E$8:$E$100,2.2,$D$8:$D$100)</f>
        <v>57416333</v>
      </c>
      <c r="K9" s="13"/>
      <c r="L9" s="137"/>
      <c r="M9" s="130">
        <v>45999.0</v>
      </c>
      <c r="N9" s="131"/>
      <c r="O9" s="138">
        <v>1.26E7</v>
      </c>
      <c r="P9" s="133" t="s">
        <v>286</v>
      </c>
    </row>
    <row r="10" ht="18.75" customHeight="1">
      <c r="A10" s="134">
        <v>3.0</v>
      </c>
      <c r="B10" s="108">
        <v>45995.0</v>
      </c>
      <c r="C10" s="60"/>
      <c r="D10" s="59">
        <v>1.0756068E7</v>
      </c>
      <c r="E10" s="113" t="s">
        <v>46</v>
      </c>
      <c r="F10" s="66" t="s">
        <v>292</v>
      </c>
      <c r="G10" s="52"/>
      <c r="H10" s="113" t="s">
        <v>227</v>
      </c>
      <c r="I10" s="54" t="s">
        <v>48</v>
      </c>
      <c r="J10" s="28">
        <f>SUMIF($E$8:$E$100,2.3,$D$8:$D$100)</f>
        <v>268400000</v>
      </c>
      <c r="K10" s="13"/>
      <c r="L10" s="137"/>
      <c r="M10" s="130">
        <v>45999.0</v>
      </c>
      <c r="N10" s="138">
        <v>6.27E7</v>
      </c>
      <c r="O10" s="138"/>
      <c r="P10" s="133" t="s">
        <v>293</v>
      </c>
    </row>
    <row r="11" ht="18.75" customHeight="1">
      <c r="A11" s="139">
        <v>4.0</v>
      </c>
      <c r="B11" s="108">
        <v>45995.0</v>
      </c>
      <c r="C11" s="60"/>
      <c r="D11" s="59">
        <v>4.5416333E7</v>
      </c>
      <c r="E11" s="113" t="s">
        <v>43</v>
      </c>
      <c r="F11" s="66" t="s">
        <v>294</v>
      </c>
      <c r="G11" s="52"/>
      <c r="H11" s="113" t="s">
        <v>229</v>
      </c>
      <c r="I11" s="54" t="s">
        <v>51</v>
      </c>
      <c r="J11" s="28">
        <f>SUMIF($E$8:$E$100,2.4,$D$8:$D$100)</f>
        <v>0</v>
      </c>
      <c r="K11" s="13"/>
      <c r="L11" s="137"/>
      <c r="M11" s="130">
        <v>46001.0</v>
      </c>
      <c r="N11" s="138"/>
      <c r="O11" s="138">
        <f>5600000*2</f>
        <v>11200000</v>
      </c>
      <c r="P11" s="133" t="s">
        <v>295</v>
      </c>
    </row>
    <row r="12" ht="18.75" customHeight="1">
      <c r="A12" s="134">
        <v>5.0</v>
      </c>
      <c r="B12" s="108">
        <v>46003.0</v>
      </c>
      <c r="C12" s="60"/>
      <c r="D12" s="59">
        <v>2661000.0</v>
      </c>
      <c r="E12" s="113" t="s">
        <v>49</v>
      </c>
      <c r="F12" s="66" t="s">
        <v>296</v>
      </c>
      <c r="G12" s="52"/>
      <c r="H12" s="113" t="s">
        <v>231</v>
      </c>
      <c r="I12" s="54" t="s">
        <v>53</v>
      </c>
      <c r="J12" s="28">
        <f>SUMIF($E$8:$E$100,2.5,$D$8:$D$100)</f>
        <v>0</v>
      </c>
      <c r="K12" s="13"/>
      <c r="L12" s="137"/>
      <c r="M12" s="130">
        <v>46004.0</v>
      </c>
      <c r="N12" s="138">
        <v>1.5E8</v>
      </c>
      <c r="O12" s="138"/>
      <c r="P12" s="133" t="s">
        <v>297</v>
      </c>
    </row>
    <row r="13" ht="18.75" customHeight="1">
      <c r="A13" s="139">
        <v>6.0</v>
      </c>
      <c r="B13" s="108">
        <v>46006.0</v>
      </c>
      <c r="C13" s="60"/>
      <c r="D13" s="59">
        <v>1000000.0</v>
      </c>
      <c r="E13" s="113" t="s">
        <v>68</v>
      </c>
      <c r="F13" s="66" t="s">
        <v>298</v>
      </c>
      <c r="G13" s="52"/>
      <c r="H13" s="113" t="s">
        <v>233</v>
      </c>
      <c r="I13" s="54" t="s">
        <v>55</v>
      </c>
      <c r="J13" s="28">
        <f>SUMIF($E$8:$E$100,2.6,$D$8:$D$100)</f>
        <v>10756068</v>
      </c>
      <c r="K13" s="13"/>
      <c r="L13" s="137"/>
      <c r="M13" s="130">
        <v>45999.0</v>
      </c>
      <c r="N13" s="138"/>
      <c r="O13" s="138">
        <v>1.19422076E8</v>
      </c>
      <c r="P13" s="133" t="s">
        <v>299</v>
      </c>
    </row>
    <row r="14" ht="18.75" customHeight="1">
      <c r="A14" s="134">
        <v>7.0</v>
      </c>
      <c r="B14" s="108">
        <v>46021.0</v>
      </c>
      <c r="C14" s="59"/>
      <c r="D14" s="59">
        <v>1.735E7</v>
      </c>
      <c r="E14" s="113" t="s">
        <v>116</v>
      </c>
      <c r="F14" s="66" t="s">
        <v>300</v>
      </c>
      <c r="G14" s="52"/>
      <c r="H14" s="113" t="s">
        <v>235</v>
      </c>
      <c r="I14" s="54" t="s">
        <v>57</v>
      </c>
      <c r="J14" s="28">
        <f>SUMIF($E$8:$E$100,2.7,$D$8:$D$100)</f>
        <v>2661000</v>
      </c>
      <c r="K14" s="13"/>
      <c r="L14" s="137"/>
      <c r="M14" s="130">
        <v>46004.0</v>
      </c>
      <c r="N14" s="138"/>
      <c r="O14" s="138">
        <v>7.9377022E7</v>
      </c>
      <c r="P14" s="133" t="s">
        <v>301</v>
      </c>
    </row>
    <row r="15" ht="18.75" customHeight="1">
      <c r="A15" s="139">
        <v>8.0</v>
      </c>
      <c r="B15" s="108">
        <v>46022.0</v>
      </c>
      <c r="C15" s="135"/>
      <c r="D15" s="150">
        <v>5000000.0</v>
      </c>
      <c r="E15" s="113" t="s">
        <v>43</v>
      </c>
      <c r="F15" s="145" t="s">
        <v>302</v>
      </c>
      <c r="G15" s="52"/>
      <c r="H15" s="113" t="s">
        <v>236</v>
      </c>
      <c r="I15" s="54" t="s">
        <v>59</v>
      </c>
      <c r="J15" s="28">
        <f>SUMIF($E$8:$E$100,2.8,$D$8:$D$100)</f>
        <v>12600000</v>
      </c>
      <c r="K15" s="13"/>
      <c r="L15" s="141" t="s">
        <v>272</v>
      </c>
      <c r="M15" s="142"/>
      <c r="N15" s="143">
        <f t="shared" ref="N15:O15" si="2">SUM(N7:N14)</f>
        <v>212700000</v>
      </c>
      <c r="O15" s="143">
        <f t="shared" si="2"/>
        <v>279155098</v>
      </c>
      <c r="P15" s="144"/>
    </row>
    <row r="16" ht="18.75" customHeight="1">
      <c r="A16" s="134">
        <v>9.0</v>
      </c>
      <c r="B16" s="108">
        <v>45992.0</v>
      </c>
      <c r="C16" s="135"/>
      <c r="D16" s="135">
        <v>1.0E7</v>
      </c>
      <c r="E16" s="110" t="s">
        <v>68</v>
      </c>
      <c r="F16" s="136" t="s">
        <v>234</v>
      </c>
      <c r="G16" s="52"/>
      <c r="H16" s="113" t="s">
        <v>238</v>
      </c>
      <c r="I16" s="54" t="s">
        <v>62</v>
      </c>
      <c r="J16" s="28">
        <f>SUMIF($E$8:$E$100,2.9,$D$8:$D$100)</f>
        <v>17350000</v>
      </c>
      <c r="K16" s="13"/>
      <c r="L16" s="129" t="s">
        <v>303</v>
      </c>
      <c r="M16" s="130">
        <v>46006.0</v>
      </c>
      <c r="N16" s="138"/>
      <c r="O16" s="138">
        <f>5600000*3</f>
        <v>16800000</v>
      </c>
      <c r="P16" s="133" t="s">
        <v>304</v>
      </c>
    </row>
    <row r="17" ht="18.75" customHeight="1">
      <c r="A17" s="139">
        <v>10.0</v>
      </c>
      <c r="B17" s="108">
        <v>45994.0</v>
      </c>
      <c r="C17" s="135"/>
      <c r="D17" s="109">
        <v>1.5E7</v>
      </c>
      <c r="E17" s="110" t="s">
        <v>68</v>
      </c>
      <c r="F17" s="136" t="s">
        <v>234</v>
      </c>
      <c r="G17" s="52"/>
      <c r="H17" s="113" t="s">
        <v>240</v>
      </c>
      <c r="I17" s="54" t="s">
        <v>64</v>
      </c>
      <c r="J17" s="28">
        <f>SUMIF($E$8:$E$100,2.11,$D$8:$D$100)</f>
        <v>0</v>
      </c>
      <c r="K17" s="13"/>
      <c r="L17" s="137"/>
      <c r="M17" s="130">
        <v>46006.0</v>
      </c>
      <c r="N17" s="138">
        <v>6.875E7</v>
      </c>
      <c r="O17" s="138"/>
      <c r="P17" s="133" t="s">
        <v>305</v>
      </c>
    </row>
    <row r="18" ht="18.75" customHeight="1">
      <c r="A18" s="134">
        <v>11.0</v>
      </c>
      <c r="B18" s="108">
        <v>45996.0</v>
      </c>
      <c r="C18" s="135"/>
      <c r="D18" s="135">
        <v>5000000.0</v>
      </c>
      <c r="E18" s="110" t="s">
        <v>68</v>
      </c>
      <c r="F18" s="136" t="s">
        <v>234</v>
      </c>
      <c r="G18" s="52"/>
      <c r="H18" s="113" t="s">
        <v>241</v>
      </c>
      <c r="I18" s="54" t="s">
        <v>67</v>
      </c>
      <c r="J18" s="28">
        <f>SUMIF($E$8:$E$100,2.12,$D$8:$D$100)</f>
        <v>0</v>
      </c>
      <c r="K18" s="13"/>
      <c r="L18" s="137"/>
      <c r="M18" s="130">
        <v>46006.0</v>
      </c>
      <c r="N18" s="138"/>
      <c r="O18" s="138">
        <v>1000000.0</v>
      </c>
      <c r="P18" s="133" t="s">
        <v>306</v>
      </c>
    </row>
    <row r="19" ht="18.75" customHeight="1">
      <c r="A19" s="139">
        <v>12.0</v>
      </c>
      <c r="B19" s="108">
        <v>45997.0</v>
      </c>
      <c r="C19" s="135"/>
      <c r="D19" s="135">
        <v>2.0E7</v>
      </c>
      <c r="E19" s="110" t="s">
        <v>68</v>
      </c>
      <c r="F19" s="136" t="s">
        <v>234</v>
      </c>
      <c r="G19" s="52"/>
      <c r="H19" s="146" t="s">
        <v>242</v>
      </c>
      <c r="I19" s="64" t="s">
        <v>70</v>
      </c>
      <c r="J19" s="65">
        <f>J3-J7</f>
        <v>-73485423</v>
      </c>
      <c r="K19" s="13"/>
      <c r="L19" s="137"/>
      <c r="M19" s="130">
        <v>46006.0</v>
      </c>
      <c r="N19" s="138"/>
      <c r="O19" s="151">
        <v>1.17755409E8</v>
      </c>
      <c r="P19" s="133" t="s">
        <v>307</v>
      </c>
    </row>
    <row r="20" ht="18.75" customHeight="1">
      <c r="A20" s="134">
        <v>13.0</v>
      </c>
      <c r="B20" s="108">
        <v>45999.0</v>
      </c>
      <c r="C20" s="135"/>
      <c r="D20" s="135">
        <v>2.0E7</v>
      </c>
      <c r="E20" s="110" t="s">
        <v>68</v>
      </c>
      <c r="F20" s="136" t="s">
        <v>234</v>
      </c>
      <c r="G20" s="52"/>
      <c r="H20" s="115"/>
      <c r="I20" s="64"/>
      <c r="J20" s="65"/>
      <c r="K20" s="13"/>
      <c r="L20" s="137"/>
      <c r="M20" s="130">
        <v>46006.0</v>
      </c>
      <c r="N20" s="138"/>
      <c r="O20" s="138">
        <v>7.9377022E7</v>
      </c>
      <c r="P20" s="133" t="s">
        <v>301</v>
      </c>
    </row>
    <row r="21" ht="18.75" customHeight="1">
      <c r="A21" s="139">
        <v>14.0</v>
      </c>
      <c r="B21" s="108">
        <v>46001.0</v>
      </c>
      <c r="C21" s="135"/>
      <c r="D21" s="135">
        <v>5000000.0</v>
      </c>
      <c r="E21" s="110" t="s">
        <v>68</v>
      </c>
      <c r="F21" s="136" t="s">
        <v>234</v>
      </c>
      <c r="G21" s="52"/>
      <c r="K21" s="13"/>
      <c r="L21" s="137"/>
      <c r="M21" s="130">
        <v>46011.0</v>
      </c>
      <c r="N21" s="138">
        <v>5.775E7</v>
      </c>
      <c r="P21" s="133" t="s">
        <v>308</v>
      </c>
    </row>
    <row r="22" ht="18.75" customHeight="1">
      <c r="A22" s="134">
        <v>15.0</v>
      </c>
      <c r="B22" s="108">
        <v>46002.0</v>
      </c>
      <c r="C22" s="135"/>
      <c r="D22" s="135">
        <v>8000000.0</v>
      </c>
      <c r="E22" s="110" t="s">
        <v>68</v>
      </c>
      <c r="F22" s="136" t="s">
        <v>234</v>
      </c>
      <c r="G22" s="13"/>
      <c r="K22" s="13"/>
      <c r="L22" s="141" t="s">
        <v>272</v>
      </c>
      <c r="M22" s="142"/>
      <c r="N22" s="143">
        <f t="shared" ref="N22:O22" si="3">SUM(N16:N21)</f>
        <v>126500000</v>
      </c>
      <c r="O22" s="143">
        <f t="shared" si="3"/>
        <v>214932431</v>
      </c>
      <c r="P22" s="144"/>
    </row>
    <row r="23" ht="18.75" customHeight="1">
      <c r="A23" s="139">
        <v>16.0</v>
      </c>
      <c r="B23" s="108">
        <v>46003.0</v>
      </c>
      <c r="C23" s="135"/>
      <c r="D23" s="135">
        <v>1500000.0</v>
      </c>
      <c r="E23" s="110" t="s">
        <v>68</v>
      </c>
      <c r="F23" s="136" t="s">
        <v>234</v>
      </c>
      <c r="G23" s="13"/>
      <c r="H23" s="103" t="s">
        <v>73</v>
      </c>
      <c r="I23" s="15"/>
      <c r="J23" s="16"/>
      <c r="K23" s="13"/>
      <c r="L23" s="129" t="s">
        <v>309</v>
      </c>
      <c r="M23" s="130"/>
      <c r="N23" s="131"/>
      <c r="O23" s="138"/>
      <c r="P23" s="133"/>
    </row>
    <row r="24" ht="18.75" customHeight="1">
      <c r="A24" s="134">
        <v>17.0</v>
      </c>
      <c r="B24" s="108">
        <v>46003.0</v>
      </c>
      <c r="C24" s="135"/>
      <c r="D24" s="135">
        <v>1000000.0</v>
      </c>
      <c r="E24" s="110" t="s">
        <v>68</v>
      </c>
      <c r="F24" s="136" t="s">
        <v>234</v>
      </c>
      <c r="G24" s="13"/>
      <c r="H24" s="117"/>
      <c r="I24" s="64" t="s">
        <v>26</v>
      </c>
      <c r="J24" s="53" t="s">
        <v>27</v>
      </c>
      <c r="K24" s="13"/>
      <c r="L24" s="137"/>
      <c r="M24" s="130"/>
      <c r="N24" s="138"/>
      <c r="O24" s="138"/>
      <c r="P24" s="133"/>
    </row>
    <row r="25" ht="18.75" customHeight="1">
      <c r="A25" s="139">
        <v>18.0</v>
      </c>
      <c r="B25" s="108">
        <v>46004.0</v>
      </c>
      <c r="C25" s="135"/>
      <c r="D25" s="135">
        <v>1.0E7</v>
      </c>
      <c r="E25" s="110" t="s">
        <v>68</v>
      </c>
      <c r="F25" s="136" t="s">
        <v>234</v>
      </c>
      <c r="G25" s="13"/>
      <c r="H25" s="118" t="s">
        <v>76</v>
      </c>
      <c r="I25" s="64" t="s">
        <v>77</v>
      </c>
      <c r="J25" s="67">
        <v>0.0</v>
      </c>
      <c r="K25" s="13"/>
      <c r="L25" s="137"/>
      <c r="M25" s="130"/>
      <c r="N25" s="138"/>
      <c r="O25" s="138"/>
      <c r="P25" s="133"/>
    </row>
    <row r="26" ht="18.75" customHeight="1">
      <c r="A26" s="134">
        <v>19.0</v>
      </c>
      <c r="B26" s="108">
        <v>46004.0</v>
      </c>
      <c r="C26" s="135"/>
      <c r="D26" s="135">
        <v>1.5E7</v>
      </c>
      <c r="E26" s="110" t="s">
        <v>68</v>
      </c>
      <c r="F26" s="136" t="s">
        <v>234</v>
      </c>
      <c r="G26" s="13"/>
      <c r="H26" s="118" t="s">
        <v>78</v>
      </c>
      <c r="I26" s="64" t="s">
        <v>79</v>
      </c>
      <c r="J26" s="69">
        <f>SUM(J27:J29)</f>
        <v>295697978</v>
      </c>
      <c r="K26" s="13"/>
      <c r="L26" s="141" t="s">
        <v>272</v>
      </c>
      <c r="M26" s="142"/>
      <c r="N26" s="143">
        <f t="shared" ref="N26:O26" si="4">SUM(N23:N25)</f>
        <v>0</v>
      </c>
      <c r="O26" s="143">
        <f t="shared" si="4"/>
        <v>0</v>
      </c>
      <c r="P26" s="144"/>
    </row>
    <row r="27" ht="18.75" customHeight="1">
      <c r="A27" s="139">
        <v>20.0</v>
      </c>
      <c r="B27" s="108">
        <v>46005.0</v>
      </c>
      <c r="C27" s="135"/>
      <c r="D27" s="135">
        <v>7000000.0</v>
      </c>
      <c r="E27" s="110" t="s">
        <v>68</v>
      </c>
      <c r="F27" s="136" t="s">
        <v>234</v>
      </c>
      <c r="G27" s="52"/>
      <c r="H27" s="117"/>
      <c r="I27" s="54" t="s">
        <v>80</v>
      </c>
      <c r="J27" s="69">
        <f>J3</f>
        <v>295697978</v>
      </c>
      <c r="K27" s="13"/>
    </row>
    <row r="28" ht="18.75" customHeight="1">
      <c r="A28" s="134">
        <v>21.0</v>
      </c>
      <c r="B28" s="108">
        <v>46005.0</v>
      </c>
      <c r="C28" s="135"/>
      <c r="D28" s="135">
        <v>5000000.0</v>
      </c>
      <c r="E28" s="110" t="s">
        <v>68</v>
      </c>
      <c r="F28" s="136" t="s">
        <v>234</v>
      </c>
      <c r="G28" s="52"/>
      <c r="H28" s="117"/>
      <c r="I28" s="54" t="s">
        <v>81</v>
      </c>
      <c r="J28" s="64"/>
      <c r="K28" s="13"/>
    </row>
    <row r="29" ht="18.75" customHeight="1">
      <c r="A29" s="139">
        <v>22.0</v>
      </c>
      <c r="B29" s="108">
        <v>46006.0</v>
      </c>
      <c r="C29" s="135"/>
      <c r="D29" s="135">
        <v>3.0E7</v>
      </c>
      <c r="E29" s="110" t="s">
        <v>68</v>
      </c>
      <c r="F29" s="136" t="s">
        <v>234</v>
      </c>
      <c r="G29" s="52"/>
      <c r="H29" s="117"/>
      <c r="I29" s="54" t="s">
        <v>82</v>
      </c>
      <c r="J29" s="64"/>
      <c r="K29" s="13"/>
    </row>
    <row r="30" ht="18.75" customHeight="1">
      <c r="A30" s="134">
        <v>23.0</v>
      </c>
      <c r="B30" s="108">
        <v>46007.0</v>
      </c>
      <c r="C30" s="135"/>
      <c r="D30" s="135">
        <v>1.0E7</v>
      </c>
      <c r="E30" s="110" t="s">
        <v>68</v>
      </c>
      <c r="F30" s="136" t="s">
        <v>234</v>
      </c>
      <c r="G30" s="52"/>
      <c r="H30" s="118" t="s">
        <v>83</v>
      </c>
      <c r="I30" s="64" t="s">
        <v>84</v>
      </c>
      <c r="J30" s="69">
        <f>SUM(J31:J42)</f>
        <v>369183401</v>
      </c>
      <c r="K30" s="13"/>
    </row>
    <row r="31" ht="18.75" customHeight="1">
      <c r="A31" s="139">
        <v>24.0</v>
      </c>
      <c r="B31" s="108">
        <v>46009.0</v>
      </c>
      <c r="C31" s="135"/>
      <c r="D31" s="135">
        <v>1.0E7</v>
      </c>
      <c r="E31" s="110" t="s">
        <v>68</v>
      </c>
      <c r="F31" s="136" t="s">
        <v>234</v>
      </c>
      <c r="G31" s="52"/>
      <c r="H31" s="113" t="s">
        <v>223</v>
      </c>
      <c r="I31" s="54" t="s">
        <v>42</v>
      </c>
      <c r="J31" s="69">
        <f>J8</f>
        <v>0</v>
      </c>
      <c r="K31" s="13"/>
    </row>
    <row r="32" ht="18.75" customHeight="1">
      <c r="A32" s="134">
        <v>25.0</v>
      </c>
      <c r="B32" s="108">
        <v>46010.0</v>
      </c>
      <c r="C32" s="135"/>
      <c r="D32" s="135">
        <v>1.5E7</v>
      </c>
      <c r="E32" s="110" t="s">
        <v>68</v>
      </c>
      <c r="F32" s="136" t="s">
        <v>234</v>
      </c>
      <c r="G32" s="52"/>
      <c r="H32" s="107" t="s">
        <v>219</v>
      </c>
      <c r="I32" s="54" t="s">
        <v>85</v>
      </c>
      <c r="J32" s="67"/>
      <c r="K32" s="13"/>
      <c r="N32" s="149"/>
    </row>
    <row r="33" ht="18.75" customHeight="1">
      <c r="A33" s="139">
        <v>26.0</v>
      </c>
      <c r="B33" s="108">
        <v>46013.0</v>
      </c>
      <c r="C33" s="135"/>
      <c r="D33" s="135">
        <v>7900000.0</v>
      </c>
      <c r="E33" s="110" t="s">
        <v>68</v>
      </c>
      <c r="F33" s="136" t="s">
        <v>234</v>
      </c>
      <c r="G33" s="52"/>
      <c r="H33" s="113" t="s">
        <v>224</v>
      </c>
      <c r="I33" s="54" t="s">
        <v>45</v>
      </c>
      <c r="J33" s="69">
        <f t="shared" ref="J33:J42" si="5">J9</f>
        <v>57416333</v>
      </c>
      <c r="K33" s="13"/>
    </row>
    <row r="34" ht="18.75" customHeight="1">
      <c r="A34" s="134">
        <v>27.0</v>
      </c>
      <c r="B34" s="108">
        <v>46014.0</v>
      </c>
      <c r="C34" s="135"/>
      <c r="D34" s="135">
        <v>2000000.0</v>
      </c>
      <c r="E34" s="110" t="s">
        <v>68</v>
      </c>
      <c r="F34" s="136" t="s">
        <v>234</v>
      </c>
      <c r="G34" s="52"/>
      <c r="H34" s="113" t="s">
        <v>227</v>
      </c>
      <c r="I34" s="54" t="s">
        <v>48</v>
      </c>
      <c r="J34" s="69">
        <f t="shared" si="5"/>
        <v>268400000</v>
      </c>
      <c r="K34" s="13"/>
    </row>
    <row r="35" ht="18.75" customHeight="1">
      <c r="A35" s="139">
        <v>28.0</v>
      </c>
      <c r="B35" s="108">
        <v>46014.0</v>
      </c>
      <c r="C35" s="135"/>
      <c r="D35" s="135">
        <v>1.5E7</v>
      </c>
      <c r="E35" s="110" t="s">
        <v>68</v>
      </c>
      <c r="F35" s="136" t="s">
        <v>234</v>
      </c>
      <c r="G35" s="52"/>
      <c r="H35" s="113" t="s">
        <v>229</v>
      </c>
      <c r="I35" s="54" t="s">
        <v>51</v>
      </c>
      <c r="J35" s="69">
        <f t="shared" si="5"/>
        <v>0</v>
      </c>
      <c r="K35" s="13"/>
    </row>
    <row r="36" ht="18.75" customHeight="1">
      <c r="A36" s="134">
        <v>29.0</v>
      </c>
      <c r="B36" s="108">
        <v>46015.0</v>
      </c>
      <c r="C36" s="135"/>
      <c r="D36" s="135">
        <v>8000000.0</v>
      </c>
      <c r="E36" s="110" t="s">
        <v>68</v>
      </c>
      <c r="F36" s="136" t="s">
        <v>234</v>
      </c>
      <c r="G36" s="52"/>
      <c r="H36" s="113" t="s">
        <v>231</v>
      </c>
      <c r="I36" s="54" t="s">
        <v>53</v>
      </c>
      <c r="J36" s="69">
        <f t="shared" si="5"/>
        <v>0</v>
      </c>
      <c r="K36" s="13"/>
    </row>
    <row r="37" ht="18.75" customHeight="1">
      <c r="A37" s="139">
        <v>30.0</v>
      </c>
      <c r="B37" s="108">
        <v>46016.0</v>
      </c>
      <c r="C37" s="135"/>
      <c r="D37" s="135">
        <v>5000000.0</v>
      </c>
      <c r="E37" s="110" t="s">
        <v>68</v>
      </c>
      <c r="F37" s="136" t="s">
        <v>234</v>
      </c>
      <c r="G37" s="52"/>
      <c r="H37" s="113" t="s">
        <v>233</v>
      </c>
      <c r="I37" s="54" t="s">
        <v>55</v>
      </c>
      <c r="J37" s="69">
        <f t="shared" si="5"/>
        <v>10756068</v>
      </c>
      <c r="K37" s="13"/>
    </row>
    <row r="38" ht="18.75" customHeight="1">
      <c r="A38" s="134">
        <v>31.0</v>
      </c>
      <c r="B38" s="108">
        <v>46017.0</v>
      </c>
      <c r="C38" s="135"/>
      <c r="D38" s="135">
        <v>1.0E7</v>
      </c>
      <c r="E38" s="110" t="s">
        <v>68</v>
      </c>
      <c r="F38" s="136" t="s">
        <v>234</v>
      </c>
      <c r="G38" s="52"/>
      <c r="H38" s="113" t="s">
        <v>235</v>
      </c>
      <c r="I38" s="54" t="s">
        <v>57</v>
      </c>
      <c r="J38" s="69">
        <f t="shared" si="5"/>
        <v>2661000</v>
      </c>
      <c r="K38" s="13"/>
    </row>
    <row r="39" ht="18.75" customHeight="1">
      <c r="A39" s="139">
        <v>32.0</v>
      </c>
      <c r="B39" s="108">
        <v>46017.0</v>
      </c>
      <c r="C39" s="135"/>
      <c r="D39" s="135">
        <v>2000000.0</v>
      </c>
      <c r="E39" s="110" t="s">
        <v>68</v>
      </c>
      <c r="F39" s="136" t="s">
        <v>234</v>
      </c>
      <c r="G39" s="52"/>
      <c r="H39" s="113" t="s">
        <v>236</v>
      </c>
      <c r="I39" s="54" t="s">
        <v>59</v>
      </c>
      <c r="J39" s="69">
        <f t="shared" si="5"/>
        <v>12600000</v>
      </c>
      <c r="K39" s="13"/>
    </row>
    <row r="40" ht="18.75" customHeight="1">
      <c r="A40" s="134">
        <v>33.0</v>
      </c>
      <c r="B40" s="108">
        <v>46017.0</v>
      </c>
      <c r="C40" s="135"/>
      <c r="D40" s="135">
        <v>5000000.0</v>
      </c>
      <c r="E40" s="110" t="s">
        <v>68</v>
      </c>
      <c r="F40" s="136" t="s">
        <v>234</v>
      </c>
      <c r="G40" s="52"/>
      <c r="H40" s="113" t="s">
        <v>238</v>
      </c>
      <c r="I40" s="54" t="s">
        <v>62</v>
      </c>
      <c r="J40" s="69">
        <f t="shared" si="5"/>
        <v>17350000</v>
      </c>
      <c r="K40" s="13"/>
    </row>
    <row r="41" ht="18.75" customHeight="1">
      <c r="A41" s="139">
        <v>34.0</v>
      </c>
      <c r="B41" s="108">
        <v>46018.0</v>
      </c>
      <c r="C41" s="135"/>
      <c r="D41" s="135">
        <v>5000000.0</v>
      </c>
      <c r="E41" s="110" t="s">
        <v>68</v>
      </c>
      <c r="F41" s="136" t="s">
        <v>234</v>
      </c>
      <c r="G41" s="52"/>
      <c r="H41" s="113" t="s">
        <v>240</v>
      </c>
      <c r="I41" s="54" t="s">
        <v>64</v>
      </c>
      <c r="J41" s="69">
        <f t="shared" si="5"/>
        <v>0</v>
      </c>
      <c r="K41" s="13"/>
    </row>
    <row r="42" ht="18.75" customHeight="1">
      <c r="A42" s="134">
        <v>35.0</v>
      </c>
      <c r="B42" s="108">
        <v>46019.0</v>
      </c>
      <c r="C42" s="135"/>
      <c r="D42" s="135">
        <v>1.0E7</v>
      </c>
      <c r="E42" s="110" t="s">
        <v>68</v>
      </c>
      <c r="F42" s="136" t="s">
        <v>234</v>
      </c>
      <c r="G42" s="52"/>
      <c r="H42" s="113" t="s">
        <v>241</v>
      </c>
      <c r="I42" s="54" t="s">
        <v>86</v>
      </c>
      <c r="J42" s="69">
        <f t="shared" si="5"/>
        <v>0</v>
      </c>
      <c r="K42" s="13"/>
    </row>
    <row r="43" ht="18.75" customHeight="1">
      <c r="A43" s="139">
        <v>36.0</v>
      </c>
      <c r="B43" s="108">
        <v>46019.0</v>
      </c>
      <c r="C43" s="135"/>
      <c r="D43" s="152">
        <v>1.0E7</v>
      </c>
      <c r="E43" s="110" t="s">
        <v>68</v>
      </c>
      <c r="F43" s="145" t="s">
        <v>234</v>
      </c>
      <c r="G43" s="52"/>
      <c r="H43" s="118" t="s">
        <v>87</v>
      </c>
      <c r="I43" s="64" t="s">
        <v>5</v>
      </c>
      <c r="J43" s="28">
        <f>J25+J26-J30</f>
        <v>-73485423</v>
      </c>
      <c r="K43" s="13"/>
    </row>
    <row r="44" ht="18.75" customHeight="1">
      <c r="A44" s="139">
        <v>37.0</v>
      </c>
      <c r="B44" s="108">
        <v>46018.0</v>
      </c>
      <c r="C44" s="135">
        <v>1.1825E8</v>
      </c>
      <c r="D44" s="152"/>
      <c r="E44" s="110" t="s">
        <v>114</v>
      </c>
      <c r="F44" s="145" t="s">
        <v>310</v>
      </c>
      <c r="G44" s="13"/>
      <c r="K44" s="13"/>
    </row>
    <row r="45" ht="18.75" customHeight="1">
      <c r="A45" s="139">
        <v>38.0</v>
      </c>
      <c r="B45" s="108">
        <v>46014.0</v>
      </c>
      <c r="C45" s="135">
        <v>1.5E7</v>
      </c>
      <c r="D45" s="152"/>
      <c r="E45" s="110" t="s">
        <v>114</v>
      </c>
      <c r="F45" s="145" t="s">
        <v>311</v>
      </c>
      <c r="G45" s="13"/>
      <c r="H45" s="119" t="s">
        <v>88</v>
      </c>
      <c r="I45" s="71"/>
      <c r="J45" s="71"/>
      <c r="K45" s="24"/>
    </row>
    <row r="46" ht="18.75" customHeight="1">
      <c r="A46" s="139">
        <v>39.0</v>
      </c>
      <c r="B46" s="108">
        <v>46021.0</v>
      </c>
      <c r="C46" s="135">
        <v>1.0E7</v>
      </c>
      <c r="D46" s="152"/>
      <c r="E46" s="110" t="s">
        <v>114</v>
      </c>
      <c r="F46" s="145" t="s">
        <v>311</v>
      </c>
      <c r="G46" s="52"/>
      <c r="H46" s="118" t="s">
        <v>25</v>
      </c>
      <c r="I46" s="64" t="s">
        <v>26</v>
      </c>
      <c r="J46" s="53" t="s">
        <v>27</v>
      </c>
      <c r="K46" s="72" t="s">
        <v>89</v>
      </c>
    </row>
    <row r="47" ht="18.75" customHeight="1">
      <c r="A47" s="139">
        <v>40.0</v>
      </c>
      <c r="B47" s="108">
        <v>46004.0</v>
      </c>
      <c r="C47" s="135">
        <v>8.25E7</v>
      </c>
      <c r="D47" s="152"/>
      <c r="E47" s="110" t="s">
        <v>114</v>
      </c>
      <c r="F47" s="145" t="s">
        <v>312</v>
      </c>
      <c r="G47" s="52"/>
      <c r="H47" s="118" t="s">
        <v>76</v>
      </c>
      <c r="I47" s="64" t="s">
        <v>77</v>
      </c>
      <c r="J47" s="69">
        <f>J43</f>
        <v>-73485423</v>
      </c>
      <c r="K47" s="73"/>
    </row>
    <row r="48" ht="18.75" customHeight="1">
      <c r="A48" s="139">
        <v>41.0</v>
      </c>
      <c r="B48" s="108">
        <v>45999.0</v>
      </c>
      <c r="C48" s="135">
        <v>6.27E7</v>
      </c>
      <c r="D48" s="152"/>
      <c r="E48" s="110" t="s">
        <v>114</v>
      </c>
      <c r="F48" s="145" t="s">
        <v>313</v>
      </c>
      <c r="G48" s="52"/>
      <c r="H48" s="118" t="s">
        <v>78</v>
      </c>
      <c r="I48" s="64" t="s">
        <v>79</v>
      </c>
      <c r="J48" s="69">
        <f>SUM(J49:J55)</f>
        <v>0</v>
      </c>
      <c r="K48" s="73"/>
    </row>
    <row r="49" ht="18.75" customHeight="1">
      <c r="A49" s="139">
        <v>42.0</v>
      </c>
      <c r="B49" s="108">
        <v>45996.0</v>
      </c>
      <c r="C49" s="135">
        <v>8.6625E7</v>
      </c>
      <c r="D49" s="152"/>
      <c r="E49" s="110" t="s">
        <v>114</v>
      </c>
      <c r="F49" s="145" t="s">
        <v>314</v>
      </c>
      <c r="G49" s="52"/>
      <c r="H49" s="117"/>
      <c r="I49" s="66"/>
      <c r="J49" s="138"/>
      <c r="K49" s="73"/>
    </row>
    <row r="50" ht="18.75" customHeight="1">
      <c r="A50" s="139">
        <v>43.0</v>
      </c>
      <c r="B50" s="108">
        <v>46017.0</v>
      </c>
      <c r="C50" s="135">
        <v>-7.9377022E7</v>
      </c>
      <c r="D50" s="109"/>
      <c r="E50" s="110" t="s">
        <v>114</v>
      </c>
      <c r="F50" s="111" t="s">
        <v>315</v>
      </c>
      <c r="G50" s="52"/>
      <c r="H50" s="117"/>
      <c r="I50" s="66"/>
      <c r="J50" s="121"/>
      <c r="K50" s="73"/>
    </row>
    <row r="51" ht="18.75" customHeight="1">
      <c r="A51" s="77"/>
      <c r="B51" s="87"/>
      <c r="C51" s="77"/>
      <c r="D51" s="77"/>
      <c r="E51" s="122"/>
      <c r="F51" s="77"/>
      <c r="G51" s="52"/>
      <c r="H51" s="117"/>
      <c r="I51" s="66"/>
      <c r="J51" s="121"/>
      <c r="K51" s="73"/>
    </row>
    <row r="52" ht="18.75" customHeight="1">
      <c r="A52" s="77"/>
      <c r="B52" s="87"/>
      <c r="C52" s="77"/>
      <c r="D52" s="77"/>
      <c r="E52" s="122"/>
      <c r="F52" s="77"/>
      <c r="G52" s="52"/>
      <c r="H52" s="117"/>
      <c r="I52" s="54"/>
      <c r="J52" s="74"/>
      <c r="K52" s="73"/>
    </row>
    <row r="53" ht="18.75" customHeight="1">
      <c r="A53" s="77"/>
      <c r="B53" s="87"/>
      <c r="C53" s="77"/>
      <c r="D53" s="77"/>
      <c r="E53" s="122"/>
      <c r="F53" s="77"/>
      <c r="G53" s="52"/>
      <c r="H53" s="117"/>
      <c r="I53" s="54"/>
      <c r="J53" s="64"/>
      <c r="K53" s="73"/>
    </row>
    <row r="54" ht="18.75" customHeight="1">
      <c r="A54" s="77"/>
      <c r="B54" s="87"/>
      <c r="C54" s="77"/>
      <c r="D54" s="77"/>
      <c r="E54" s="122"/>
      <c r="G54" s="52"/>
      <c r="H54" s="117"/>
      <c r="I54" s="54"/>
      <c r="J54" s="64"/>
      <c r="K54" s="73"/>
    </row>
    <row r="55" ht="18.75" customHeight="1">
      <c r="A55" s="77"/>
      <c r="B55" s="87"/>
      <c r="C55" s="77"/>
      <c r="D55" s="77"/>
      <c r="E55" s="122"/>
      <c r="F55" s="77"/>
      <c r="G55" s="52"/>
      <c r="H55" s="117"/>
      <c r="I55" s="54"/>
      <c r="J55" s="64"/>
      <c r="K55" s="73"/>
    </row>
    <row r="56" ht="18.75" customHeight="1">
      <c r="A56" s="77"/>
      <c r="B56" s="87"/>
      <c r="C56" s="77"/>
      <c r="D56" s="77"/>
      <c r="E56" s="122"/>
      <c r="F56" s="77"/>
      <c r="G56" s="52"/>
      <c r="H56" s="118" t="s">
        <v>83</v>
      </c>
      <c r="I56" s="64" t="s">
        <v>84</v>
      </c>
      <c r="J56" s="74">
        <f>SUM(J57:J66)</f>
        <v>0</v>
      </c>
      <c r="K56" s="73"/>
    </row>
    <row r="57" ht="18.75" customHeight="1">
      <c r="A57" s="77"/>
      <c r="B57" s="87"/>
      <c r="C57" s="77"/>
      <c r="D57" s="77"/>
      <c r="E57" s="122"/>
      <c r="F57" s="77"/>
      <c r="G57" s="52"/>
      <c r="H57" s="117"/>
      <c r="I57" s="66"/>
      <c r="J57" s="74"/>
      <c r="K57" s="97"/>
    </row>
    <row r="58" ht="18.75" customHeight="1">
      <c r="A58" s="77"/>
      <c r="B58" s="87"/>
      <c r="C58" s="77"/>
      <c r="D58" s="77"/>
      <c r="E58" s="122"/>
      <c r="F58" s="77"/>
      <c r="G58" s="52"/>
      <c r="H58" s="117"/>
      <c r="I58" s="66"/>
      <c r="J58" s="121"/>
      <c r="K58" s="97"/>
    </row>
    <row r="59" ht="18.75" customHeight="1">
      <c r="A59" s="77"/>
      <c r="B59" s="87"/>
      <c r="C59" s="77"/>
      <c r="D59" s="77"/>
      <c r="E59" s="122"/>
      <c r="F59" s="77"/>
      <c r="G59" s="52"/>
      <c r="H59" s="117"/>
      <c r="I59" s="66"/>
      <c r="J59" s="74"/>
      <c r="K59" s="76"/>
    </row>
    <row r="60" ht="18.75" customHeight="1">
      <c r="A60" s="77"/>
      <c r="B60" s="87"/>
      <c r="C60" s="77"/>
      <c r="D60" s="77"/>
      <c r="E60" s="122"/>
      <c r="F60" s="77"/>
      <c r="G60" s="52"/>
      <c r="H60" s="117"/>
      <c r="I60" s="66"/>
      <c r="J60" s="121"/>
      <c r="K60" s="97"/>
    </row>
    <row r="61" ht="18.75" customHeight="1">
      <c r="A61" s="77"/>
      <c r="B61" s="87"/>
      <c r="C61" s="77"/>
      <c r="D61" s="77"/>
      <c r="E61" s="122"/>
      <c r="F61" s="77"/>
      <c r="G61" s="52"/>
      <c r="H61" s="117"/>
      <c r="I61" s="66"/>
      <c r="J61" s="121"/>
      <c r="K61" s="97"/>
    </row>
    <row r="62" ht="18.75" customHeight="1">
      <c r="A62" s="77"/>
      <c r="B62" s="87"/>
      <c r="C62" s="77"/>
      <c r="D62" s="77"/>
      <c r="E62" s="122"/>
      <c r="F62" s="77"/>
      <c r="G62" s="52"/>
      <c r="H62" s="117"/>
      <c r="I62" s="66"/>
      <c r="J62" s="74"/>
      <c r="K62" s="73"/>
    </row>
    <row r="63" ht="18.75" customHeight="1">
      <c r="A63" s="77"/>
      <c r="B63" s="87"/>
      <c r="C63" s="77"/>
      <c r="D63" s="77"/>
      <c r="E63" s="122"/>
      <c r="F63" s="77"/>
      <c r="G63" s="52"/>
      <c r="H63" s="117"/>
      <c r="I63" s="54"/>
      <c r="J63" s="74"/>
      <c r="K63" s="73"/>
    </row>
    <row r="64" ht="18.75" customHeight="1">
      <c r="A64" s="77"/>
      <c r="B64" s="87"/>
      <c r="C64" s="77"/>
      <c r="D64" s="77"/>
      <c r="E64" s="122"/>
      <c r="F64" s="77"/>
      <c r="G64" s="52"/>
      <c r="H64" s="117"/>
      <c r="I64" s="54"/>
      <c r="J64" s="74"/>
      <c r="K64" s="73"/>
    </row>
    <row r="65" ht="18.75" customHeight="1">
      <c r="A65" s="77"/>
      <c r="B65" s="87"/>
      <c r="C65" s="77"/>
      <c r="D65" s="77"/>
      <c r="E65" s="122"/>
      <c r="F65" s="77"/>
      <c r="G65" s="52"/>
      <c r="H65" s="117"/>
      <c r="I65" s="54"/>
      <c r="J65" s="74"/>
      <c r="K65" s="73"/>
    </row>
    <row r="66" ht="18.75" customHeight="1">
      <c r="A66" s="77"/>
      <c r="B66" s="87"/>
      <c r="C66" s="77"/>
      <c r="D66" s="77"/>
      <c r="E66" s="122"/>
      <c r="F66" s="77"/>
      <c r="G66" s="52"/>
      <c r="H66" s="117"/>
      <c r="I66" s="54"/>
      <c r="J66" s="74"/>
      <c r="K66" s="73"/>
    </row>
    <row r="67" ht="18.75" customHeight="1">
      <c r="A67" s="77"/>
      <c r="B67" s="87"/>
      <c r="C67" s="77"/>
      <c r="D67" s="77"/>
      <c r="E67" s="122"/>
      <c r="F67" s="77"/>
      <c r="G67" s="52"/>
      <c r="H67" s="118" t="s">
        <v>87</v>
      </c>
      <c r="I67" s="64" t="s">
        <v>5</v>
      </c>
      <c r="J67" s="28">
        <f>J47+J48-J56</f>
        <v>-73485423</v>
      </c>
      <c r="K67" s="73"/>
    </row>
    <row r="68" ht="18.75" customHeight="1">
      <c r="A68" s="77"/>
      <c r="B68" s="87"/>
      <c r="C68" s="77"/>
      <c r="D68" s="77"/>
      <c r="E68" s="122"/>
      <c r="F68" s="77"/>
      <c r="G68" s="77"/>
      <c r="H68" s="122"/>
      <c r="I68" s="77"/>
      <c r="J68" s="77"/>
      <c r="K68" s="77"/>
    </row>
    <row r="69" ht="18.75" customHeight="1">
      <c r="A69" s="77"/>
      <c r="B69" s="87"/>
      <c r="C69" s="77"/>
      <c r="D69" s="77"/>
      <c r="E69" s="122"/>
      <c r="F69" s="77"/>
      <c r="G69" s="77"/>
      <c r="H69" s="122"/>
      <c r="I69" s="77"/>
      <c r="J69" s="77"/>
      <c r="K69" s="77"/>
    </row>
    <row r="70" ht="18.75" customHeight="1">
      <c r="A70" s="77"/>
      <c r="B70" s="87"/>
      <c r="C70" s="77"/>
      <c r="D70" s="77"/>
      <c r="E70" s="122"/>
      <c r="F70" s="77"/>
      <c r="G70" s="77"/>
      <c r="H70" s="122"/>
      <c r="I70" s="77"/>
      <c r="J70" s="77"/>
      <c r="K70" s="77"/>
    </row>
    <row r="71" ht="18.75" customHeight="1">
      <c r="A71" s="77"/>
      <c r="B71" s="87"/>
      <c r="C71" s="77"/>
      <c r="D71" s="77"/>
      <c r="E71" s="122"/>
      <c r="F71" s="77"/>
      <c r="G71" s="77"/>
      <c r="H71" s="122"/>
      <c r="I71" s="77"/>
      <c r="J71" s="77"/>
      <c r="K71" s="77"/>
    </row>
    <row r="72" ht="18.75" customHeight="1">
      <c r="A72" s="77"/>
      <c r="B72" s="87"/>
      <c r="C72" s="77"/>
      <c r="D72" s="77"/>
      <c r="E72" s="122"/>
      <c r="F72" s="77"/>
      <c r="G72" s="77"/>
      <c r="H72" s="122"/>
      <c r="I72" s="77"/>
      <c r="J72" s="77"/>
      <c r="K72" s="77"/>
    </row>
    <row r="73" ht="18.75" customHeight="1">
      <c r="A73" s="77"/>
      <c r="B73" s="87"/>
      <c r="C73" s="77"/>
      <c r="D73" s="77"/>
      <c r="E73" s="122"/>
      <c r="F73" s="77"/>
      <c r="G73" s="77"/>
      <c r="H73" s="122"/>
      <c r="I73" s="77"/>
      <c r="J73" s="77"/>
      <c r="K73" s="77"/>
    </row>
    <row r="74" ht="18.75" customHeight="1">
      <c r="A74" s="77"/>
      <c r="B74" s="87"/>
      <c r="C74" s="77"/>
      <c r="D74" s="77"/>
      <c r="E74" s="122"/>
      <c r="F74" s="77"/>
      <c r="G74" s="77"/>
      <c r="H74" s="122"/>
      <c r="I74" s="77"/>
      <c r="J74" s="77"/>
      <c r="K74" s="77"/>
    </row>
    <row r="75" ht="18.75" customHeight="1">
      <c r="A75" s="77"/>
      <c r="B75" s="87"/>
      <c r="C75" s="77"/>
      <c r="D75" s="77"/>
      <c r="E75" s="122"/>
      <c r="F75" s="77"/>
      <c r="G75" s="77"/>
      <c r="H75" s="122"/>
      <c r="I75" s="77"/>
      <c r="J75" s="77"/>
      <c r="K75" s="77"/>
    </row>
    <row r="76" ht="18.75" customHeight="1">
      <c r="A76" s="77"/>
      <c r="B76" s="87"/>
      <c r="C76" s="77"/>
      <c r="D76" s="77"/>
      <c r="E76" s="122"/>
      <c r="F76" s="77"/>
      <c r="G76" s="77"/>
      <c r="H76" s="122"/>
      <c r="I76" s="77"/>
      <c r="J76" s="77"/>
      <c r="K76" s="77"/>
    </row>
    <row r="77" ht="18.75" customHeight="1">
      <c r="A77" s="77"/>
      <c r="B77" s="87"/>
      <c r="C77" s="77"/>
      <c r="D77" s="77"/>
      <c r="E77" s="122"/>
      <c r="F77" s="77"/>
      <c r="G77" s="77"/>
      <c r="H77" s="122"/>
      <c r="I77" s="77"/>
      <c r="J77" s="77"/>
      <c r="K77" s="77"/>
    </row>
    <row r="78" ht="18.75" customHeight="1">
      <c r="A78" s="77"/>
      <c r="B78" s="87"/>
      <c r="C78" s="77"/>
      <c r="D78" s="77"/>
      <c r="E78" s="122"/>
      <c r="F78" s="77"/>
      <c r="G78" s="77"/>
      <c r="H78" s="122"/>
      <c r="I78" s="77"/>
      <c r="J78" s="77"/>
      <c r="K78" s="77"/>
    </row>
    <row r="79" ht="18.75" customHeight="1">
      <c r="A79" s="77"/>
      <c r="B79" s="87"/>
      <c r="C79" s="77"/>
      <c r="D79" s="77"/>
      <c r="E79" s="122"/>
      <c r="F79" s="77"/>
      <c r="G79" s="77"/>
      <c r="H79" s="122"/>
      <c r="I79" s="77"/>
      <c r="J79" s="77"/>
      <c r="K79" s="77"/>
    </row>
    <row r="80" ht="18.75" customHeight="1">
      <c r="A80" s="77"/>
      <c r="B80" s="87"/>
      <c r="C80" s="77"/>
      <c r="D80" s="77"/>
      <c r="E80" s="122"/>
      <c r="F80" s="77"/>
      <c r="G80" s="77"/>
      <c r="H80" s="122"/>
      <c r="I80" s="77"/>
      <c r="J80" s="77"/>
      <c r="K80" s="77"/>
    </row>
    <row r="81" ht="18.75" customHeight="1">
      <c r="A81" s="77"/>
      <c r="B81" s="87"/>
      <c r="C81" s="77"/>
      <c r="D81" s="77"/>
      <c r="E81" s="122"/>
      <c r="F81" s="77"/>
      <c r="G81" s="77"/>
      <c r="H81" s="122"/>
      <c r="I81" s="77"/>
      <c r="J81" s="77"/>
      <c r="K81" s="77"/>
    </row>
    <row r="82" ht="18.75" customHeight="1">
      <c r="A82" s="77"/>
      <c r="B82" s="87"/>
      <c r="C82" s="77"/>
      <c r="D82" s="77"/>
      <c r="E82" s="122"/>
      <c r="F82" s="77"/>
      <c r="G82" s="77"/>
      <c r="H82" s="122"/>
      <c r="I82" s="77"/>
      <c r="J82" s="77"/>
      <c r="K82" s="77"/>
    </row>
    <row r="83" ht="18.75" customHeight="1">
      <c r="A83" s="77"/>
      <c r="B83" s="87"/>
      <c r="C83" s="77"/>
      <c r="D83" s="77"/>
      <c r="E83" s="122"/>
      <c r="F83" s="77"/>
      <c r="G83" s="77"/>
      <c r="H83" s="122"/>
      <c r="I83" s="77"/>
      <c r="J83" s="77"/>
      <c r="K83" s="77"/>
    </row>
    <row r="84" ht="18.75" customHeight="1">
      <c r="A84" s="77"/>
      <c r="B84" s="87"/>
      <c r="C84" s="77"/>
      <c r="D84" s="77"/>
      <c r="E84" s="122"/>
      <c r="F84" s="77"/>
      <c r="G84" s="77"/>
      <c r="H84" s="122"/>
      <c r="I84" s="77"/>
      <c r="J84" s="77"/>
      <c r="K84" s="77"/>
    </row>
    <row r="85" ht="18.75" customHeight="1">
      <c r="A85" s="77"/>
      <c r="B85" s="87"/>
      <c r="C85" s="77"/>
      <c r="D85" s="77"/>
      <c r="E85" s="122"/>
      <c r="F85" s="77"/>
      <c r="G85" s="77"/>
      <c r="H85" s="122"/>
      <c r="I85" s="77"/>
      <c r="J85" s="77"/>
      <c r="K85" s="77"/>
    </row>
    <row r="86" ht="18.75" customHeight="1">
      <c r="A86" s="77"/>
      <c r="B86" s="87"/>
      <c r="C86" s="77"/>
      <c r="D86" s="77"/>
      <c r="E86" s="122"/>
      <c r="F86" s="77"/>
      <c r="G86" s="77"/>
      <c r="H86" s="122"/>
      <c r="I86" s="77"/>
      <c r="J86" s="77"/>
      <c r="K86" s="77"/>
    </row>
    <row r="87" ht="18.75" customHeight="1">
      <c r="A87" s="77"/>
      <c r="B87" s="87"/>
      <c r="C87" s="77"/>
      <c r="D87" s="77"/>
      <c r="E87" s="122"/>
      <c r="F87" s="77"/>
      <c r="G87" s="77"/>
      <c r="H87" s="122"/>
      <c r="I87" s="77"/>
      <c r="J87" s="77"/>
      <c r="K87" s="77"/>
    </row>
    <row r="88" ht="18.75" customHeight="1">
      <c r="A88" s="77"/>
      <c r="B88" s="87"/>
      <c r="C88" s="77"/>
      <c r="D88" s="77"/>
      <c r="E88" s="122"/>
      <c r="F88" s="77"/>
      <c r="G88" s="77"/>
      <c r="H88" s="122"/>
      <c r="I88" s="77"/>
      <c r="J88" s="77"/>
      <c r="K88" s="77"/>
    </row>
    <row r="89" ht="18.75" customHeight="1">
      <c r="A89" s="77"/>
      <c r="B89" s="87"/>
      <c r="C89" s="77"/>
      <c r="D89" s="77"/>
      <c r="E89" s="122"/>
      <c r="F89" s="77"/>
      <c r="G89" s="77"/>
      <c r="H89" s="122"/>
      <c r="I89" s="77"/>
      <c r="J89" s="77"/>
      <c r="K89" s="77"/>
    </row>
    <row r="90" ht="18.75" customHeight="1">
      <c r="A90" s="77"/>
      <c r="B90" s="87"/>
      <c r="C90" s="77"/>
      <c r="D90" s="77"/>
      <c r="E90" s="122"/>
      <c r="F90" s="77"/>
      <c r="G90" s="77"/>
      <c r="H90" s="122"/>
      <c r="I90" s="77"/>
      <c r="J90" s="77"/>
      <c r="K90" s="77"/>
    </row>
    <row r="91" ht="18.75" customHeight="1">
      <c r="A91" s="77"/>
      <c r="B91" s="87"/>
      <c r="C91" s="77"/>
      <c r="D91" s="77"/>
      <c r="E91" s="122"/>
      <c r="F91" s="77"/>
      <c r="G91" s="77"/>
      <c r="H91" s="122"/>
      <c r="I91" s="77"/>
      <c r="J91" s="77"/>
      <c r="K91" s="77"/>
    </row>
    <row r="92" ht="18.75" customHeight="1">
      <c r="A92" s="77"/>
      <c r="B92" s="87"/>
      <c r="C92" s="77"/>
      <c r="D92" s="77"/>
      <c r="E92" s="122"/>
      <c r="F92" s="77"/>
      <c r="G92" s="77"/>
      <c r="H92" s="122"/>
      <c r="I92" s="77"/>
      <c r="J92" s="77"/>
      <c r="K92" s="77"/>
    </row>
    <row r="93" ht="18.75" customHeight="1">
      <c r="A93" s="77"/>
      <c r="B93" s="87"/>
      <c r="C93" s="77"/>
      <c r="D93" s="77"/>
      <c r="E93" s="122"/>
      <c r="F93" s="77"/>
      <c r="G93" s="77"/>
      <c r="H93" s="122"/>
      <c r="I93" s="77"/>
      <c r="J93" s="77"/>
      <c r="K93" s="77"/>
    </row>
    <row r="94" ht="18.75" customHeight="1">
      <c r="A94" s="77"/>
      <c r="B94" s="87"/>
      <c r="C94" s="77"/>
      <c r="D94" s="77"/>
      <c r="E94" s="122"/>
      <c r="F94" s="77"/>
      <c r="G94" s="77"/>
      <c r="H94" s="122"/>
      <c r="I94" s="77"/>
      <c r="J94" s="77"/>
      <c r="K94" s="77"/>
    </row>
    <row r="95" ht="18.75" customHeight="1">
      <c r="A95" s="77"/>
      <c r="B95" s="87"/>
      <c r="C95" s="77"/>
      <c r="D95" s="77"/>
      <c r="E95" s="122"/>
      <c r="F95" s="77"/>
      <c r="G95" s="77"/>
      <c r="H95" s="122"/>
      <c r="I95" s="77"/>
      <c r="J95" s="77"/>
      <c r="K95" s="77"/>
    </row>
    <row r="96" ht="18.75" customHeight="1">
      <c r="A96" s="77"/>
      <c r="B96" s="87"/>
      <c r="C96" s="77"/>
      <c r="D96" s="77"/>
      <c r="E96" s="122"/>
      <c r="F96" s="77"/>
      <c r="G96" s="77"/>
      <c r="H96" s="122"/>
      <c r="I96" s="77"/>
      <c r="J96" s="77"/>
      <c r="K96" s="77"/>
    </row>
    <row r="97" ht="18.75" customHeight="1">
      <c r="A97" s="77"/>
      <c r="B97" s="87"/>
      <c r="C97" s="77"/>
      <c r="D97" s="77"/>
      <c r="E97" s="122"/>
      <c r="F97" s="77"/>
      <c r="G97" s="77"/>
      <c r="H97" s="122"/>
      <c r="I97" s="77"/>
      <c r="J97" s="77"/>
      <c r="K97" s="77"/>
    </row>
    <row r="98" ht="18.75" customHeight="1">
      <c r="A98" s="77"/>
      <c r="B98" s="87"/>
      <c r="C98" s="77"/>
      <c r="D98" s="77"/>
      <c r="E98" s="122"/>
      <c r="F98" s="77"/>
      <c r="G98" s="77"/>
      <c r="H98" s="122"/>
      <c r="I98" s="77"/>
      <c r="J98" s="77"/>
      <c r="K98" s="77"/>
    </row>
    <row r="99" ht="18.75" customHeight="1">
      <c r="A99" s="77"/>
      <c r="B99" s="87"/>
      <c r="C99" s="77"/>
      <c r="D99" s="77"/>
      <c r="E99" s="122"/>
      <c r="F99" s="77"/>
      <c r="G99" s="77"/>
      <c r="H99" s="122"/>
      <c r="I99" s="77"/>
      <c r="J99" s="77"/>
      <c r="K99" s="77"/>
    </row>
    <row r="100" ht="18.75" customHeight="1">
      <c r="A100" s="77"/>
      <c r="B100" s="87"/>
      <c r="C100" s="77"/>
      <c r="D100" s="77"/>
      <c r="E100" s="122"/>
      <c r="F100" s="77"/>
      <c r="G100" s="77"/>
      <c r="H100" s="122"/>
      <c r="I100" s="77"/>
      <c r="J100" s="77"/>
      <c r="K100" s="77"/>
    </row>
    <row r="101" ht="18.75" customHeight="1">
      <c r="E101" s="123"/>
      <c r="G101" s="77"/>
      <c r="H101" s="122"/>
      <c r="I101" s="77"/>
      <c r="J101" s="77"/>
      <c r="K101" s="77"/>
    </row>
    <row r="102" ht="18.75" customHeight="1">
      <c r="E102" s="123"/>
      <c r="G102" s="77"/>
      <c r="H102" s="122"/>
      <c r="I102" s="77"/>
      <c r="J102" s="77"/>
      <c r="K102" s="77"/>
    </row>
    <row r="103" ht="18.75" customHeight="1">
      <c r="E103" s="123"/>
      <c r="G103" s="77"/>
      <c r="H103" s="122"/>
      <c r="I103" s="77"/>
      <c r="J103" s="77"/>
      <c r="K103" s="77"/>
    </row>
    <row r="104" ht="18.75" customHeight="1">
      <c r="E104" s="123"/>
      <c r="G104" s="77"/>
      <c r="H104" s="122"/>
      <c r="I104" s="77"/>
      <c r="J104" s="77"/>
      <c r="K104" s="77"/>
    </row>
    <row r="105" ht="18.75" customHeight="1">
      <c r="E105" s="123"/>
      <c r="G105" s="77"/>
      <c r="H105" s="122"/>
      <c r="I105" s="77"/>
      <c r="J105" s="77"/>
      <c r="K105" s="77"/>
    </row>
    <row r="106" ht="18.75" customHeight="1">
      <c r="E106" s="123"/>
      <c r="G106" s="77"/>
      <c r="H106" s="122"/>
      <c r="I106" s="77"/>
      <c r="J106" s="77"/>
      <c r="K106" s="77"/>
    </row>
    <row r="107" ht="18.75" customHeight="1">
      <c r="E107" s="123"/>
      <c r="G107" s="77"/>
      <c r="H107" s="122"/>
      <c r="I107" s="77"/>
      <c r="J107" s="77"/>
      <c r="K107" s="77"/>
    </row>
    <row r="108" ht="18.75" customHeight="1">
      <c r="E108" s="123"/>
      <c r="G108" s="77"/>
      <c r="H108" s="122"/>
      <c r="I108" s="77"/>
      <c r="J108" s="77"/>
      <c r="K108" s="77"/>
    </row>
    <row r="109" ht="18.75" customHeight="1">
      <c r="E109" s="123"/>
      <c r="G109" s="77"/>
      <c r="H109" s="122"/>
      <c r="I109" s="77"/>
      <c r="J109" s="77"/>
      <c r="K109" s="77"/>
    </row>
    <row r="110" ht="18.75" customHeight="1">
      <c r="E110" s="123"/>
      <c r="G110" s="77"/>
      <c r="H110" s="122"/>
      <c r="I110" s="77"/>
      <c r="J110" s="77"/>
      <c r="K110" s="77"/>
    </row>
    <row r="111" ht="18.75" customHeight="1">
      <c r="E111" s="123"/>
      <c r="G111" s="77"/>
      <c r="H111" s="122"/>
      <c r="I111" s="77"/>
      <c r="J111" s="77"/>
      <c r="K111" s="77"/>
    </row>
    <row r="112" ht="18.75" customHeight="1">
      <c r="E112" s="123"/>
      <c r="G112" s="77"/>
      <c r="H112" s="122"/>
      <c r="I112" s="77"/>
      <c r="J112" s="77"/>
      <c r="K112" s="77"/>
    </row>
    <row r="113" ht="18.75" customHeight="1">
      <c r="E113" s="123"/>
      <c r="G113" s="77"/>
      <c r="H113" s="122"/>
      <c r="I113" s="77"/>
      <c r="J113" s="77"/>
      <c r="K113" s="77"/>
    </row>
    <row r="114" ht="18.75" customHeight="1">
      <c r="E114" s="123"/>
      <c r="G114" s="77"/>
      <c r="H114" s="122"/>
      <c r="I114" s="77"/>
      <c r="J114" s="77"/>
      <c r="K114" s="77"/>
    </row>
    <row r="115" ht="18.75" customHeight="1">
      <c r="E115" s="123"/>
      <c r="G115" s="77"/>
      <c r="H115" s="122"/>
      <c r="I115" s="77"/>
      <c r="J115" s="77"/>
      <c r="K115" s="77"/>
    </row>
    <row r="116" ht="18.75" customHeight="1">
      <c r="E116" s="123"/>
      <c r="G116" s="77"/>
      <c r="H116" s="122"/>
      <c r="I116" s="77"/>
      <c r="J116" s="77"/>
      <c r="K116" s="77"/>
    </row>
    <row r="117" ht="18.75" customHeight="1">
      <c r="E117" s="123"/>
      <c r="G117" s="77"/>
      <c r="H117" s="122"/>
      <c r="I117" s="77"/>
      <c r="J117" s="77"/>
      <c r="K117" s="77"/>
    </row>
    <row r="118" ht="18.75" customHeight="1">
      <c r="E118" s="123"/>
      <c r="G118" s="77"/>
      <c r="H118" s="122"/>
      <c r="I118" s="77"/>
      <c r="J118" s="77"/>
      <c r="K118" s="77"/>
    </row>
    <row r="119" ht="18.75" customHeight="1">
      <c r="E119" s="123"/>
      <c r="G119" s="77"/>
      <c r="H119" s="122"/>
      <c r="I119" s="77"/>
      <c r="J119" s="77"/>
      <c r="K119" s="77"/>
    </row>
    <row r="120" ht="18.75" customHeight="1">
      <c r="E120" s="123"/>
      <c r="G120" s="77"/>
      <c r="H120" s="122"/>
      <c r="I120" s="77"/>
      <c r="J120" s="77"/>
      <c r="K120" s="77"/>
    </row>
    <row r="121" ht="18.75" customHeight="1">
      <c r="E121" s="123"/>
      <c r="G121" s="77"/>
      <c r="H121" s="122"/>
      <c r="I121" s="77"/>
      <c r="J121" s="77"/>
      <c r="K121" s="77"/>
    </row>
    <row r="122" ht="18.75" customHeight="1">
      <c r="E122" s="123"/>
      <c r="G122" s="77"/>
      <c r="H122" s="122"/>
      <c r="I122" s="77"/>
      <c r="J122" s="77"/>
      <c r="K122" s="77"/>
    </row>
    <row r="123" ht="18.75" customHeight="1">
      <c r="E123" s="123"/>
      <c r="G123" s="77"/>
      <c r="H123" s="122"/>
      <c r="I123" s="77"/>
      <c r="J123" s="77"/>
      <c r="K123" s="77"/>
    </row>
    <row r="124" ht="18.75" customHeight="1">
      <c r="E124" s="123"/>
      <c r="G124" s="77"/>
      <c r="H124" s="122"/>
      <c r="I124" s="77"/>
      <c r="J124" s="77"/>
      <c r="K124" s="77"/>
    </row>
    <row r="125" ht="18.75" customHeight="1">
      <c r="E125" s="123"/>
      <c r="G125" s="77"/>
      <c r="H125" s="122"/>
      <c r="I125" s="77"/>
      <c r="J125" s="77"/>
      <c r="K125" s="77"/>
    </row>
    <row r="126" ht="18.75" customHeight="1">
      <c r="E126" s="123"/>
      <c r="G126" s="77"/>
      <c r="H126" s="122"/>
      <c r="I126" s="77"/>
      <c r="J126" s="77"/>
      <c r="K126" s="77"/>
    </row>
    <row r="127" ht="18.75" customHeight="1">
      <c r="E127" s="123"/>
      <c r="G127" s="77"/>
      <c r="H127" s="122"/>
      <c r="I127" s="77"/>
      <c r="J127" s="77"/>
      <c r="K127" s="77"/>
    </row>
    <row r="128" ht="18.75" customHeight="1">
      <c r="E128" s="123"/>
      <c r="G128" s="77"/>
      <c r="H128" s="122"/>
      <c r="I128" s="77"/>
      <c r="J128" s="77"/>
      <c r="K128" s="77"/>
    </row>
    <row r="129" ht="18.75" customHeight="1">
      <c r="E129" s="123"/>
      <c r="G129" s="77"/>
      <c r="H129" s="122"/>
      <c r="I129" s="77"/>
      <c r="J129" s="77"/>
      <c r="K129" s="77"/>
    </row>
    <row r="130" ht="18.75" customHeight="1">
      <c r="E130" s="123"/>
      <c r="G130" s="77"/>
      <c r="H130" s="122"/>
      <c r="I130" s="77"/>
      <c r="J130" s="77"/>
      <c r="K130" s="77"/>
    </row>
    <row r="131" ht="18.75" customHeight="1">
      <c r="E131" s="123"/>
      <c r="G131" s="77"/>
      <c r="H131" s="122"/>
      <c r="I131" s="77"/>
      <c r="J131" s="77"/>
      <c r="K131" s="77"/>
    </row>
    <row r="132" ht="18.75" customHeight="1">
      <c r="E132" s="123"/>
      <c r="G132" s="77"/>
      <c r="H132" s="122"/>
      <c r="I132" s="77"/>
      <c r="J132" s="77"/>
      <c r="K132" s="77"/>
    </row>
    <row r="133" ht="18.75" customHeight="1">
      <c r="E133" s="123"/>
      <c r="G133" s="77"/>
      <c r="H133" s="122"/>
      <c r="I133" s="77"/>
      <c r="J133" s="77"/>
      <c r="K133" s="77"/>
    </row>
    <row r="134" ht="18.75" customHeight="1">
      <c r="E134" s="123"/>
      <c r="G134" s="77"/>
      <c r="H134" s="122"/>
      <c r="I134" s="77"/>
      <c r="J134" s="77"/>
      <c r="K134" s="77"/>
    </row>
    <row r="135" ht="18.75" customHeight="1">
      <c r="E135" s="123"/>
      <c r="G135" s="77"/>
      <c r="H135" s="122"/>
      <c r="I135" s="77"/>
      <c r="J135" s="77"/>
      <c r="K135" s="77"/>
    </row>
    <row r="136" ht="18.75" customHeight="1">
      <c r="E136" s="123"/>
      <c r="G136" s="77"/>
      <c r="H136" s="122"/>
      <c r="I136" s="77"/>
      <c r="J136" s="77"/>
      <c r="K136" s="77"/>
    </row>
    <row r="137" ht="18.75" customHeight="1">
      <c r="E137" s="123"/>
      <c r="G137" s="77"/>
      <c r="H137" s="122"/>
      <c r="I137" s="77"/>
      <c r="J137" s="77"/>
      <c r="K137" s="77"/>
    </row>
    <row r="138" ht="18.75" customHeight="1">
      <c r="E138" s="123"/>
      <c r="G138" s="77"/>
      <c r="H138" s="122"/>
      <c r="I138" s="77"/>
      <c r="J138" s="77"/>
      <c r="K138" s="77"/>
    </row>
    <row r="139" ht="18.75" customHeight="1">
      <c r="E139" s="123"/>
      <c r="G139" s="77"/>
      <c r="H139" s="122"/>
      <c r="I139" s="77"/>
      <c r="J139" s="77"/>
      <c r="K139" s="77"/>
    </row>
    <row r="140" ht="18.75" customHeight="1">
      <c r="E140" s="123"/>
      <c r="G140" s="77"/>
      <c r="H140" s="122"/>
      <c r="I140" s="77"/>
      <c r="J140" s="77"/>
      <c r="K140" s="77"/>
    </row>
    <row r="141" ht="18.75" customHeight="1">
      <c r="E141" s="123"/>
      <c r="G141" s="77"/>
      <c r="H141" s="122"/>
      <c r="I141" s="77"/>
      <c r="J141" s="77"/>
      <c r="K141" s="77"/>
    </row>
    <row r="142" ht="18.75" customHeight="1">
      <c r="E142" s="123"/>
      <c r="G142" s="77"/>
      <c r="H142" s="122"/>
      <c r="I142" s="77"/>
      <c r="J142" s="77"/>
      <c r="K142" s="77"/>
    </row>
    <row r="143" ht="18.75" customHeight="1">
      <c r="E143" s="123"/>
      <c r="G143" s="77"/>
      <c r="H143" s="122"/>
      <c r="I143" s="77"/>
      <c r="J143" s="77"/>
      <c r="K143" s="77"/>
    </row>
    <row r="144" ht="18.75" customHeight="1">
      <c r="E144" s="123"/>
      <c r="G144" s="77"/>
      <c r="H144" s="122"/>
      <c r="I144" s="77"/>
      <c r="J144" s="77"/>
      <c r="K144" s="77"/>
    </row>
    <row r="145" ht="18.75" customHeight="1">
      <c r="E145" s="123"/>
      <c r="G145" s="77"/>
      <c r="H145" s="122"/>
      <c r="I145" s="77"/>
      <c r="J145" s="77"/>
      <c r="K145" s="77"/>
    </row>
    <row r="146" ht="18.75" customHeight="1">
      <c r="E146" s="123"/>
      <c r="G146" s="77"/>
      <c r="H146" s="122"/>
      <c r="I146" s="77"/>
      <c r="J146" s="77"/>
      <c r="K146" s="77"/>
    </row>
    <row r="147" ht="18.75" customHeight="1">
      <c r="E147" s="123"/>
      <c r="G147" s="77"/>
      <c r="H147" s="122"/>
      <c r="I147" s="77"/>
      <c r="J147" s="77"/>
      <c r="K147" s="77"/>
    </row>
    <row r="148" ht="18.75" customHeight="1">
      <c r="E148" s="123"/>
      <c r="G148" s="77"/>
      <c r="H148" s="122"/>
      <c r="I148" s="77"/>
      <c r="J148" s="77"/>
      <c r="K148" s="77"/>
    </row>
    <row r="149" ht="18.75" customHeight="1">
      <c r="E149" s="123"/>
      <c r="G149" s="77"/>
      <c r="H149" s="122"/>
      <c r="I149" s="77"/>
      <c r="J149" s="77"/>
      <c r="K149" s="77"/>
    </row>
    <row r="150" ht="18.75" customHeight="1">
      <c r="E150" s="123"/>
      <c r="G150" s="77"/>
      <c r="H150" s="122"/>
      <c r="I150" s="77"/>
      <c r="J150" s="77"/>
      <c r="K150" s="77"/>
    </row>
    <row r="151" ht="18.75" customHeight="1">
      <c r="E151" s="123"/>
      <c r="G151" s="77"/>
      <c r="H151" s="122"/>
      <c r="I151" s="77"/>
      <c r="J151" s="77"/>
      <c r="K151" s="77"/>
    </row>
    <row r="152" ht="18.75" customHeight="1">
      <c r="E152" s="123"/>
      <c r="G152" s="77"/>
      <c r="H152" s="122"/>
      <c r="I152" s="77"/>
      <c r="J152" s="77"/>
      <c r="K152" s="77"/>
    </row>
    <row r="153" ht="18.75" customHeight="1">
      <c r="E153" s="123"/>
      <c r="G153" s="77"/>
      <c r="H153" s="122"/>
      <c r="I153" s="77"/>
      <c r="J153" s="77"/>
      <c r="K153" s="77"/>
    </row>
    <row r="154" ht="18.75" customHeight="1">
      <c r="E154" s="123"/>
      <c r="G154" s="77"/>
      <c r="H154" s="122"/>
      <c r="I154" s="77"/>
      <c r="J154" s="77"/>
      <c r="K154" s="77"/>
    </row>
    <row r="155" ht="18.75" customHeight="1">
      <c r="E155" s="123"/>
      <c r="G155" s="77"/>
      <c r="H155" s="122"/>
      <c r="I155" s="77"/>
      <c r="J155" s="77"/>
      <c r="K155" s="77"/>
    </row>
    <row r="156" ht="18.75" customHeight="1">
      <c r="E156" s="123"/>
      <c r="G156" s="77"/>
      <c r="H156" s="122"/>
      <c r="I156" s="77"/>
      <c r="J156" s="77"/>
      <c r="K156" s="77"/>
    </row>
    <row r="157" ht="18.75" customHeight="1">
      <c r="E157" s="123"/>
      <c r="G157" s="77"/>
      <c r="H157" s="122"/>
      <c r="I157" s="77"/>
      <c r="J157" s="77"/>
      <c r="K157" s="77"/>
    </row>
    <row r="158" ht="18.75" customHeight="1">
      <c r="E158" s="123"/>
      <c r="G158" s="77"/>
      <c r="H158" s="122"/>
      <c r="I158" s="77"/>
      <c r="J158" s="77"/>
      <c r="K158" s="77"/>
    </row>
    <row r="159" ht="18.75" customHeight="1">
      <c r="E159" s="123"/>
      <c r="G159" s="77"/>
      <c r="H159" s="122"/>
      <c r="I159" s="77"/>
      <c r="J159" s="77"/>
      <c r="K159" s="77"/>
    </row>
    <row r="160" ht="18.75" customHeight="1">
      <c r="E160" s="123"/>
      <c r="G160" s="77"/>
      <c r="H160" s="122"/>
      <c r="I160" s="77"/>
      <c r="J160" s="77"/>
      <c r="K160" s="77"/>
    </row>
    <row r="161" ht="18.75" customHeight="1">
      <c r="E161" s="123"/>
      <c r="G161" s="77"/>
      <c r="H161" s="122"/>
      <c r="I161" s="77"/>
      <c r="J161" s="77"/>
      <c r="K161" s="77"/>
    </row>
    <row r="162" ht="18.75" customHeight="1">
      <c r="E162" s="123"/>
      <c r="G162" s="77"/>
      <c r="H162" s="122"/>
      <c r="I162" s="77"/>
      <c r="J162" s="77"/>
      <c r="K162" s="77"/>
    </row>
    <row r="163" ht="18.75" customHeight="1">
      <c r="E163" s="123"/>
      <c r="G163" s="77"/>
      <c r="H163" s="122"/>
      <c r="I163" s="77"/>
      <c r="J163" s="77"/>
      <c r="K163" s="77"/>
    </row>
    <row r="164" ht="18.75" customHeight="1">
      <c r="E164" s="123"/>
      <c r="G164" s="77"/>
      <c r="H164" s="122"/>
      <c r="I164" s="77"/>
      <c r="J164" s="77"/>
      <c r="K164" s="77"/>
    </row>
    <row r="165" ht="18.75" customHeight="1">
      <c r="E165" s="123"/>
      <c r="G165" s="77"/>
      <c r="H165" s="122"/>
      <c r="I165" s="77"/>
      <c r="J165" s="77"/>
      <c r="K165" s="77"/>
    </row>
    <row r="166" ht="18.75" customHeight="1">
      <c r="E166" s="123"/>
      <c r="G166" s="77"/>
      <c r="H166" s="122"/>
      <c r="I166" s="77"/>
      <c r="J166" s="77"/>
      <c r="K166" s="77"/>
    </row>
    <row r="167" ht="18.75" customHeight="1">
      <c r="E167" s="123"/>
      <c r="G167" s="77"/>
      <c r="H167" s="122"/>
      <c r="I167" s="77"/>
      <c r="J167" s="77"/>
      <c r="K167" s="77"/>
    </row>
    <row r="168" ht="18.75" customHeight="1">
      <c r="E168" s="123"/>
      <c r="G168" s="77"/>
      <c r="H168" s="122"/>
      <c r="I168" s="77"/>
      <c r="J168" s="77"/>
      <c r="K168" s="77"/>
    </row>
    <row r="169" ht="18.75" customHeight="1">
      <c r="E169" s="123"/>
      <c r="G169" s="77"/>
      <c r="H169" s="122"/>
      <c r="I169" s="77"/>
      <c r="J169" s="77"/>
      <c r="K169" s="77"/>
    </row>
    <row r="170" ht="18.75" customHeight="1">
      <c r="E170" s="123"/>
      <c r="G170" s="77"/>
      <c r="H170" s="122"/>
      <c r="I170" s="77"/>
      <c r="J170" s="77"/>
      <c r="K170" s="77"/>
    </row>
    <row r="171" ht="18.75" customHeight="1">
      <c r="E171" s="123"/>
      <c r="G171" s="77"/>
      <c r="H171" s="122"/>
      <c r="I171" s="77"/>
      <c r="J171" s="77"/>
      <c r="K171" s="77"/>
    </row>
    <row r="172" ht="18.75" customHeight="1">
      <c r="E172" s="123"/>
      <c r="G172" s="77"/>
      <c r="H172" s="122"/>
      <c r="I172" s="77"/>
      <c r="J172" s="77"/>
      <c r="K172" s="77"/>
    </row>
    <row r="173" ht="18.75" customHeight="1">
      <c r="E173" s="123"/>
      <c r="G173" s="77"/>
      <c r="H173" s="122"/>
      <c r="I173" s="77"/>
      <c r="J173" s="77"/>
      <c r="K173" s="77"/>
    </row>
    <row r="174" ht="18.75" customHeight="1">
      <c r="E174" s="123"/>
      <c r="G174" s="77"/>
      <c r="H174" s="122"/>
      <c r="I174" s="77"/>
      <c r="J174" s="77"/>
      <c r="K174" s="77"/>
    </row>
    <row r="175" ht="18.75" customHeight="1">
      <c r="E175" s="123"/>
      <c r="G175" s="77"/>
      <c r="H175" s="122"/>
      <c r="I175" s="77"/>
      <c r="J175" s="77"/>
      <c r="K175" s="77"/>
    </row>
    <row r="176" ht="18.75" customHeight="1">
      <c r="E176" s="123"/>
      <c r="G176" s="77"/>
      <c r="H176" s="122"/>
      <c r="I176" s="77"/>
      <c r="J176" s="77"/>
      <c r="K176" s="77"/>
    </row>
    <row r="177" ht="18.75" customHeight="1">
      <c r="E177" s="123"/>
      <c r="G177" s="77"/>
      <c r="H177" s="122"/>
      <c r="I177" s="77"/>
      <c r="J177" s="77"/>
      <c r="K177" s="77"/>
    </row>
    <row r="178" ht="18.75" customHeight="1">
      <c r="E178" s="123"/>
      <c r="G178" s="77"/>
      <c r="H178" s="122"/>
      <c r="I178" s="77"/>
      <c r="J178" s="77"/>
      <c r="K178" s="77"/>
    </row>
    <row r="179" ht="18.75" customHeight="1">
      <c r="E179" s="123"/>
      <c r="G179" s="77"/>
      <c r="H179" s="122"/>
      <c r="I179" s="77"/>
      <c r="J179" s="77"/>
      <c r="K179" s="77"/>
    </row>
    <row r="180" ht="18.75" customHeight="1">
      <c r="E180" s="123"/>
      <c r="G180" s="77"/>
      <c r="H180" s="122"/>
      <c r="I180" s="77"/>
      <c r="J180" s="77"/>
      <c r="K180" s="77"/>
    </row>
    <row r="181" ht="18.75" customHeight="1">
      <c r="E181" s="123"/>
      <c r="G181" s="77"/>
      <c r="H181" s="122"/>
      <c r="I181" s="77"/>
      <c r="J181" s="77"/>
      <c r="K181" s="77"/>
    </row>
    <row r="182" ht="18.75" customHeight="1">
      <c r="E182" s="123"/>
      <c r="G182" s="77"/>
      <c r="H182" s="122"/>
      <c r="I182" s="77"/>
      <c r="J182" s="77"/>
      <c r="K182" s="77"/>
    </row>
    <row r="183" ht="18.75" customHeight="1">
      <c r="E183" s="123"/>
      <c r="G183" s="77"/>
      <c r="H183" s="122"/>
      <c r="I183" s="77"/>
      <c r="J183" s="77"/>
      <c r="K183" s="77"/>
    </row>
    <row r="184" ht="18.75" customHeight="1">
      <c r="E184" s="123"/>
      <c r="G184" s="77"/>
      <c r="H184" s="122"/>
      <c r="I184" s="77"/>
      <c r="J184" s="77"/>
      <c r="K184" s="77"/>
    </row>
    <row r="185" ht="18.75" customHeight="1">
      <c r="E185" s="123"/>
      <c r="G185" s="77"/>
      <c r="H185" s="122"/>
      <c r="I185" s="77"/>
      <c r="J185" s="77"/>
      <c r="K185" s="77"/>
    </row>
    <row r="186" ht="18.75" customHeight="1">
      <c r="E186" s="123"/>
      <c r="G186" s="77"/>
      <c r="H186" s="122"/>
      <c r="I186" s="77"/>
      <c r="J186" s="77"/>
      <c r="K186" s="77"/>
    </row>
    <row r="187" ht="18.75" customHeight="1">
      <c r="E187" s="123"/>
      <c r="G187" s="77"/>
      <c r="H187" s="122"/>
      <c r="I187" s="77"/>
      <c r="J187" s="77"/>
      <c r="K187" s="77"/>
    </row>
    <row r="188" ht="18.75" customHeight="1">
      <c r="E188" s="123"/>
      <c r="G188" s="77"/>
      <c r="H188" s="122"/>
      <c r="I188" s="77"/>
      <c r="J188" s="77"/>
      <c r="K188" s="77"/>
    </row>
    <row r="189" ht="18.75" customHeight="1">
      <c r="E189" s="123"/>
      <c r="G189" s="77"/>
      <c r="H189" s="122"/>
      <c r="I189" s="77"/>
      <c r="J189" s="77"/>
      <c r="K189" s="77"/>
    </row>
    <row r="190" ht="18.75" customHeight="1">
      <c r="E190" s="123"/>
      <c r="G190" s="77"/>
      <c r="H190" s="122"/>
      <c r="I190" s="77"/>
      <c r="J190" s="77"/>
      <c r="K190" s="77"/>
    </row>
    <row r="191" ht="18.75" customHeight="1">
      <c r="E191" s="123"/>
      <c r="G191" s="77"/>
      <c r="H191" s="122"/>
      <c r="I191" s="77"/>
      <c r="J191" s="77"/>
      <c r="K191" s="77"/>
    </row>
    <row r="192" ht="18.75" customHeight="1">
      <c r="E192" s="123"/>
      <c r="G192" s="77"/>
      <c r="H192" s="122"/>
      <c r="I192" s="77"/>
      <c r="J192" s="77"/>
      <c r="K192" s="77"/>
    </row>
    <row r="193" ht="18.75" customHeight="1">
      <c r="E193" s="123"/>
      <c r="G193" s="77"/>
      <c r="H193" s="122"/>
      <c r="I193" s="77"/>
      <c r="J193" s="77"/>
      <c r="K193" s="77"/>
    </row>
    <row r="194" ht="18.75" customHeight="1">
      <c r="E194" s="123"/>
      <c r="G194" s="77"/>
      <c r="H194" s="122"/>
      <c r="I194" s="77"/>
      <c r="J194" s="77"/>
      <c r="K194" s="77"/>
    </row>
    <row r="195" ht="18.75" customHeight="1">
      <c r="E195" s="123"/>
      <c r="G195" s="77"/>
      <c r="H195" s="122"/>
      <c r="I195" s="77"/>
      <c r="J195" s="77"/>
      <c r="K195" s="77"/>
    </row>
    <row r="196" ht="18.75" customHeight="1">
      <c r="E196" s="123"/>
      <c r="G196" s="77"/>
      <c r="H196" s="122"/>
      <c r="I196" s="77"/>
      <c r="J196" s="77"/>
      <c r="K196" s="77"/>
    </row>
    <row r="197" ht="18.75" customHeight="1">
      <c r="E197" s="123"/>
      <c r="G197" s="77"/>
      <c r="H197" s="122"/>
      <c r="I197" s="77"/>
      <c r="J197" s="77"/>
      <c r="K197" s="77"/>
    </row>
    <row r="198" ht="18.75" customHeight="1">
      <c r="E198" s="123"/>
      <c r="G198" s="77"/>
      <c r="H198" s="122"/>
      <c r="I198" s="77"/>
      <c r="J198" s="77"/>
      <c r="K198" s="77"/>
    </row>
    <row r="199" ht="18.75" customHeight="1">
      <c r="E199" s="123"/>
      <c r="G199" s="77"/>
      <c r="H199" s="122"/>
      <c r="I199" s="77"/>
      <c r="J199" s="77"/>
      <c r="K199" s="77"/>
    </row>
    <row r="200" ht="18.75" customHeight="1">
      <c r="E200" s="123"/>
      <c r="G200" s="77"/>
      <c r="H200" s="122"/>
      <c r="I200" s="77"/>
      <c r="J200" s="77"/>
      <c r="K200" s="77"/>
    </row>
    <row r="201" ht="18.75" customHeight="1">
      <c r="E201" s="123"/>
      <c r="G201" s="77"/>
      <c r="H201" s="122"/>
      <c r="I201" s="77"/>
      <c r="J201" s="77"/>
      <c r="K201" s="77"/>
    </row>
    <row r="202" ht="18.75" customHeight="1">
      <c r="E202" s="123"/>
      <c r="H202" s="123"/>
    </row>
    <row r="203" ht="18.75" customHeight="1">
      <c r="E203" s="123"/>
      <c r="H203" s="123"/>
    </row>
    <row r="204" ht="18.75" customHeight="1">
      <c r="E204" s="123"/>
      <c r="H204" s="123"/>
    </row>
    <row r="205" ht="18.75" customHeight="1">
      <c r="E205" s="123"/>
      <c r="H205" s="123"/>
    </row>
    <row r="206" ht="18.75" customHeight="1">
      <c r="E206" s="123"/>
      <c r="H206" s="123"/>
    </row>
    <row r="207" ht="18.75" customHeight="1">
      <c r="E207" s="123"/>
      <c r="H207" s="123"/>
    </row>
    <row r="208" ht="18.75" customHeight="1">
      <c r="E208" s="123"/>
      <c r="H208" s="123"/>
    </row>
    <row r="209" ht="18.75" customHeight="1">
      <c r="E209" s="123"/>
      <c r="H209" s="123"/>
    </row>
    <row r="210" ht="18.75" customHeight="1">
      <c r="E210" s="123"/>
      <c r="H210" s="123"/>
    </row>
    <row r="211" ht="18.75" customHeight="1">
      <c r="E211" s="123"/>
      <c r="H211" s="123"/>
    </row>
    <row r="212" ht="18.75" customHeight="1">
      <c r="E212" s="123"/>
      <c r="H212" s="123"/>
    </row>
    <row r="213" ht="18.75" customHeight="1">
      <c r="E213" s="123"/>
      <c r="H213" s="123"/>
    </row>
    <row r="214" ht="18.75" customHeight="1">
      <c r="E214" s="123"/>
      <c r="H214" s="123"/>
    </row>
    <row r="215" ht="18.75" customHeight="1">
      <c r="E215" s="123"/>
      <c r="H215" s="123"/>
    </row>
    <row r="216" ht="18.75" customHeight="1">
      <c r="E216" s="123"/>
      <c r="H216" s="123"/>
    </row>
    <row r="217" ht="18.75" customHeight="1">
      <c r="E217" s="123"/>
      <c r="H217" s="123"/>
    </row>
    <row r="218" ht="18.75" customHeight="1">
      <c r="E218" s="123"/>
      <c r="H218" s="123"/>
    </row>
    <row r="219" ht="18.75" customHeight="1">
      <c r="E219" s="123"/>
      <c r="H219" s="123"/>
    </row>
    <row r="220" ht="18.75" customHeight="1">
      <c r="E220" s="123"/>
      <c r="H220" s="123"/>
    </row>
    <row r="221" ht="18.75" customHeight="1">
      <c r="E221" s="123"/>
      <c r="H221" s="123"/>
    </row>
    <row r="222" ht="18.75" customHeight="1">
      <c r="E222" s="123"/>
      <c r="H222" s="123"/>
    </row>
    <row r="223" ht="18.75" customHeight="1">
      <c r="E223" s="123"/>
      <c r="H223" s="123"/>
    </row>
    <row r="224" ht="18.75" customHeight="1">
      <c r="E224" s="123"/>
      <c r="H224" s="123"/>
    </row>
    <row r="225" ht="18.75" customHeight="1">
      <c r="E225" s="123"/>
      <c r="H225" s="123"/>
    </row>
    <row r="226" ht="18.75" customHeight="1">
      <c r="E226" s="123"/>
      <c r="H226" s="123"/>
    </row>
    <row r="227" ht="18.75" customHeight="1">
      <c r="E227" s="123"/>
      <c r="H227" s="123"/>
    </row>
    <row r="228" ht="18.75" customHeight="1">
      <c r="E228" s="123"/>
      <c r="H228" s="123"/>
    </row>
    <row r="229" ht="18.75" customHeight="1">
      <c r="E229" s="123"/>
      <c r="H229" s="123"/>
    </row>
    <row r="230" ht="18.75" customHeight="1">
      <c r="E230" s="123"/>
      <c r="H230" s="123"/>
    </row>
    <row r="231" ht="18.75" customHeight="1">
      <c r="E231" s="123"/>
      <c r="H231" s="123"/>
    </row>
    <row r="232" ht="18.75" customHeight="1">
      <c r="E232" s="123"/>
      <c r="H232" s="123"/>
    </row>
    <row r="233" ht="18.75" customHeight="1">
      <c r="E233" s="123"/>
      <c r="H233" s="123"/>
    </row>
    <row r="234" ht="18.75" customHeight="1">
      <c r="E234" s="123"/>
      <c r="H234" s="123"/>
    </row>
    <row r="235" ht="18.75" customHeight="1">
      <c r="E235" s="123"/>
      <c r="H235" s="123"/>
    </row>
    <row r="236" ht="18.75" customHeight="1">
      <c r="E236" s="123"/>
      <c r="H236" s="123"/>
    </row>
    <row r="237" ht="18.75" customHeight="1">
      <c r="E237" s="123"/>
      <c r="H237" s="123"/>
    </row>
    <row r="238" ht="18.75" customHeight="1">
      <c r="E238" s="123"/>
      <c r="H238" s="123"/>
    </row>
    <row r="239" ht="18.75" customHeight="1">
      <c r="E239" s="123"/>
      <c r="H239" s="123"/>
    </row>
    <row r="240" ht="18.75" customHeight="1">
      <c r="E240" s="123"/>
      <c r="H240" s="123"/>
    </row>
    <row r="241" ht="18.75" customHeight="1">
      <c r="E241" s="123"/>
      <c r="H241" s="123"/>
    </row>
    <row r="242" ht="18.75" customHeight="1">
      <c r="E242" s="123"/>
      <c r="H242" s="123"/>
    </row>
    <row r="243" ht="18.75" customHeight="1">
      <c r="E243" s="123"/>
      <c r="H243" s="123"/>
    </row>
    <row r="244" ht="18.75" customHeight="1">
      <c r="E244" s="123"/>
      <c r="H244" s="123"/>
    </row>
    <row r="245" ht="18.75" customHeight="1">
      <c r="E245" s="123"/>
      <c r="H245" s="123"/>
    </row>
    <row r="246" ht="18.75" customHeight="1">
      <c r="E246" s="123"/>
      <c r="H246" s="123"/>
    </row>
    <row r="247" ht="18.75" customHeight="1">
      <c r="E247" s="123"/>
      <c r="H247" s="123"/>
    </row>
    <row r="248" ht="18.75" customHeight="1">
      <c r="E248" s="123"/>
      <c r="H248" s="123"/>
    </row>
    <row r="249" ht="18.75" customHeight="1">
      <c r="E249" s="123"/>
      <c r="H249" s="123"/>
    </row>
    <row r="250" ht="18.75" customHeight="1">
      <c r="E250" s="123"/>
      <c r="H250" s="123"/>
    </row>
    <row r="251" ht="18.75" customHeight="1">
      <c r="E251" s="123"/>
      <c r="H251" s="123"/>
    </row>
    <row r="252" ht="18.75" customHeight="1">
      <c r="E252" s="123"/>
      <c r="H252" s="123"/>
    </row>
    <row r="253" ht="18.75" customHeight="1">
      <c r="E253" s="123"/>
      <c r="H253" s="123"/>
    </row>
    <row r="254" ht="18.75" customHeight="1">
      <c r="E254" s="123"/>
      <c r="H254" s="123"/>
    </row>
    <row r="255" ht="18.75" customHeight="1">
      <c r="E255" s="123"/>
      <c r="H255" s="123"/>
    </row>
    <row r="256" ht="18.75" customHeight="1">
      <c r="E256" s="123"/>
      <c r="H256" s="123"/>
    </row>
    <row r="257" ht="18.75" customHeight="1">
      <c r="E257" s="123"/>
      <c r="H257" s="123"/>
    </row>
    <row r="258" ht="18.75" customHeight="1">
      <c r="E258" s="123"/>
      <c r="H258" s="123"/>
    </row>
    <row r="259" ht="18.75" customHeight="1">
      <c r="E259" s="123"/>
      <c r="H259" s="123"/>
    </row>
    <row r="260" ht="18.75" customHeight="1">
      <c r="E260" s="123"/>
      <c r="H260" s="123"/>
    </row>
    <row r="261" ht="18.75" customHeight="1">
      <c r="E261" s="123"/>
      <c r="H261" s="123"/>
    </row>
    <row r="262" ht="18.75" customHeight="1">
      <c r="E262" s="123"/>
      <c r="H262" s="123"/>
    </row>
    <row r="263" ht="18.75" customHeight="1">
      <c r="E263" s="123"/>
      <c r="H263" s="123"/>
    </row>
    <row r="264" ht="18.75" customHeight="1">
      <c r="E264" s="123"/>
      <c r="H264" s="123"/>
    </row>
    <row r="265" ht="18.75" customHeight="1">
      <c r="E265" s="123"/>
      <c r="H265" s="123"/>
    </row>
    <row r="266" ht="18.75" customHeight="1">
      <c r="E266" s="123"/>
      <c r="H266" s="123"/>
    </row>
    <row r="267" ht="18.75" customHeight="1">
      <c r="E267" s="123"/>
      <c r="H267" s="123"/>
    </row>
    <row r="268" ht="18.75" customHeight="1">
      <c r="E268" s="123"/>
      <c r="H268" s="123"/>
    </row>
    <row r="269" ht="18.75" customHeight="1">
      <c r="E269" s="123"/>
      <c r="H269" s="123"/>
    </row>
    <row r="270" ht="18.75" customHeight="1">
      <c r="E270" s="123"/>
      <c r="H270" s="123"/>
    </row>
    <row r="271" ht="18.75" customHeight="1">
      <c r="E271" s="123"/>
      <c r="H271" s="123"/>
    </row>
    <row r="272" ht="18.75" customHeight="1">
      <c r="E272" s="123"/>
      <c r="H272" s="123"/>
    </row>
    <row r="273" ht="18.75" customHeight="1">
      <c r="E273" s="123"/>
      <c r="H273" s="123"/>
    </row>
    <row r="274" ht="18.75" customHeight="1">
      <c r="E274" s="123"/>
      <c r="H274" s="123"/>
    </row>
    <row r="275" ht="18.75" customHeight="1">
      <c r="E275" s="123"/>
      <c r="H275" s="123"/>
    </row>
    <row r="276" ht="18.75" customHeight="1">
      <c r="E276" s="123"/>
      <c r="H276" s="123"/>
    </row>
    <row r="277" ht="18.75" customHeight="1">
      <c r="E277" s="123"/>
      <c r="H277" s="123"/>
    </row>
    <row r="278" ht="18.75" customHeight="1">
      <c r="E278" s="123"/>
      <c r="H278" s="123"/>
    </row>
    <row r="279" ht="18.75" customHeight="1">
      <c r="E279" s="123"/>
      <c r="H279" s="123"/>
    </row>
    <row r="280" ht="18.75" customHeight="1">
      <c r="E280" s="123"/>
      <c r="H280" s="123"/>
    </row>
    <row r="281" ht="18.75" customHeight="1">
      <c r="E281" s="123"/>
      <c r="H281" s="123"/>
    </row>
    <row r="282" ht="18.75" customHeight="1">
      <c r="E282" s="123"/>
      <c r="H282" s="123"/>
    </row>
    <row r="283" ht="18.75" customHeight="1">
      <c r="E283" s="123"/>
      <c r="H283" s="123"/>
    </row>
    <row r="284" ht="18.75" customHeight="1">
      <c r="E284" s="123"/>
      <c r="H284" s="123"/>
    </row>
    <row r="285" ht="18.75" customHeight="1">
      <c r="E285" s="123"/>
      <c r="H285" s="123"/>
    </row>
    <row r="286" ht="18.75" customHeight="1">
      <c r="E286" s="123"/>
      <c r="H286" s="123"/>
    </row>
    <row r="287" ht="18.75" customHeight="1">
      <c r="E287" s="123"/>
      <c r="H287" s="123"/>
    </row>
    <row r="288" ht="18.75" customHeight="1">
      <c r="E288" s="123"/>
      <c r="H288" s="123"/>
    </row>
    <row r="289" ht="18.75" customHeight="1">
      <c r="E289" s="123"/>
      <c r="H289" s="123"/>
    </row>
    <row r="290" ht="18.75" customHeight="1">
      <c r="E290" s="123"/>
      <c r="H290" s="123"/>
    </row>
    <row r="291" ht="18.75" customHeight="1">
      <c r="E291" s="123"/>
      <c r="H291" s="123"/>
    </row>
    <row r="292" ht="18.75" customHeight="1">
      <c r="E292" s="123"/>
      <c r="H292" s="123"/>
    </row>
    <row r="293" ht="18.75" customHeight="1">
      <c r="E293" s="123"/>
      <c r="H293" s="123"/>
    </row>
    <row r="294" ht="18.75" customHeight="1">
      <c r="E294" s="123"/>
      <c r="H294" s="123"/>
    </row>
    <row r="295" ht="18.75" customHeight="1">
      <c r="E295" s="123"/>
      <c r="H295" s="123"/>
    </row>
    <row r="296" ht="18.75" customHeight="1">
      <c r="E296" s="123"/>
      <c r="H296" s="123"/>
    </row>
    <row r="297" ht="18.75" customHeight="1">
      <c r="E297" s="123"/>
      <c r="H297" s="123"/>
    </row>
    <row r="298" ht="18.75" customHeight="1">
      <c r="E298" s="123"/>
      <c r="H298" s="123"/>
    </row>
    <row r="299" ht="18.75" customHeight="1">
      <c r="E299" s="123"/>
      <c r="H299" s="123"/>
    </row>
    <row r="300" ht="18.75" customHeight="1">
      <c r="E300" s="123"/>
      <c r="H300" s="123"/>
    </row>
    <row r="301" ht="18.75" customHeight="1">
      <c r="E301" s="123"/>
      <c r="H301" s="123"/>
    </row>
    <row r="302" ht="18.75" customHeight="1">
      <c r="E302" s="123"/>
      <c r="H302" s="123"/>
    </row>
    <row r="303" ht="18.75" customHeight="1">
      <c r="E303" s="123"/>
      <c r="H303" s="123"/>
    </row>
    <row r="304" ht="18.75" customHeight="1">
      <c r="E304" s="123"/>
      <c r="H304" s="123"/>
    </row>
    <row r="305" ht="18.75" customHeight="1">
      <c r="E305" s="123"/>
      <c r="H305" s="123"/>
    </row>
    <row r="306" ht="18.75" customHeight="1">
      <c r="E306" s="123"/>
      <c r="H306" s="123"/>
    </row>
    <row r="307" ht="18.75" customHeight="1">
      <c r="E307" s="123"/>
      <c r="H307" s="123"/>
    </row>
    <row r="308" ht="18.75" customHeight="1">
      <c r="E308" s="123"/>
      <c r="H308" s="123"/>
    </row>
    <row r="309" ht="18.75" customHeight="1">
      <c r="E309" s="123"/>
      <c r="H309" s="123"/>
    </row>
    <row r="310" ht="18.75" customHeight="1">
      <c r="E310" s="123"/>
      <c r="H310" s="123"/>
    </row>
    <row r="311" ht="18.75" customHeight="1">
      <c r="E311" s="123"/>
      <c r="H311" s="123"/>
    </row>
    <row r="312" ht="18.75" customHeight="1">
      <c r="E312" s="123"/>
      <c r="H312" s="123"/>
    </row>
    <row r="313" ht="18.75" customHeight="1">
      <c r="E313" s="123"/>
      <c r="H313" s="123"/>
    </row>
    <row r="314" ht="18.75" customHeight="1">
      <c r="E314" s="123"/>
      <c r="H314" s="123"/>
    </row>
    <row r="315" ht="18.75" customHeight="1">
      <c r="E315" s="123"/>
      <c r="H315" s="123"/>
    </row>
    <row r="316" ht="18.75" customHeight="1">
      <c r="E316" s="123"/>
      <c r="H316" s="123"/>
    </row>
    <row r="317" ht="18.75" customHeight="1">
      <c r="E317" s="123"/>
      <c r="H317" s="123"/>
    </row>
    <row r="318" ht="18.75" customHeight="1">
      <c r="E318" s="123"/>
      <c r="H318" s="123"/>
    </row>
    <row r="319" ht="18.75" customHeight="1">
      <c r="E319" s="123"/>
      <c r="H319" s="123"/>
    </row>
    <row r="320" ht="18.75" customHeight="1">
      <c r="E320" s="123"/>
      <c r="H320" s="123"/>
    </row>
    <row r="321" ht="18.75" customHeight="1">
      <c r="E321" s="123"/>
      <c r="H321" s="123"/>
    </row>
    <row r="322" ht="18.75" customHeight="1">
      <c r="E322" s="123"/>
      <c r="H322" s="123"/>
    </row>
    <row r="323" ht="18.75" customHeight="1">
      <c r="E323" s="123"/>
      <c r="H323" s="123"/>
    </row>
    <row r="324" ht="18.75" customHeight="1">
      <c r="E324" s="123"/>
      <c r="H324" s="123"/>
    </row>
    <row r="325" ht="18.75" customHeight="1">
      <c r="E325" s="123"/>
      <c r="H325" s="123"/>
    </row>
    <row r="326" ht="18.75" customHeight="1">
      <c r="E326" s="123"/>
      <c r="H326" s="123"/>
    </row>
    <row r="327" ht="18.75" customHeight="1">
      <c r="E327" s="123"/>
      <c r="H327" s="123"/>
    </row>
    <row r="328" ht="18.75" customHeight="1">
      <c r="E328" s="123"/>
      <c r="H328" s="123"/>
    </row>
    <row r="329" ht="18.75" customHeight="1">
      <c r="E329" s="123"/>
      <c r="H329" s="123"/>
    </row>
    <row r="330" ht="18.75" customHeight="1">
      <c r="E330" s="123"/>
      <c r="H330" s="123"/>
    </row>
    <row r="331" ht="18.75" customHeight="1">
      <c r="E331" s="123"/>
      <c r="H331" s="123"/>
    </row>
    <row r="332" ht="18.75" customHeight="1">
      <c r="E332" s="123"/>
      <c r="H332" s="123"/>
    </row>
    <row r="333" ht="18.75" customHeight="1">
      <c r="E333" s="123"/>
      <c r="H333" s="123"/>
    </row>
    <row r="334" ht="18.75" customHeight="1">
      <c r="E334" s="123"/>
      <c r="H334" s="123"/>
    </row>
    <row r="335" ht="18.75" customHeight="1">
      <c r="E335" s="123"/>
      <c r="H335" s="123"/>
    </row>
    <row r="336" ht="18.75" customHeight="1">
      <c r="E336" s="123"/>
      <c r="H336" s="123"/>
    </row>
    <row r="337" ht="18.75" customHeight="1">
      <c r="E337" s="123"/>
      <c r="H337" s="123"/>
    </row>
    <row r="338" ht="18.75" customHeight="1">
      <c r="E338" s="123"/>
      <c r="H338" s="123"/>
    </row>
    <row r="339" ht="18.75" customHeight="1">
      <c r="E339" s="123"/>
      <c r="H339" s="123"/>
    </row>
    <row r="340" ht="18.75" customHeight="1">
      <c r="E340" s="123"/>
      <c r="H340" s="123"/>
    </row>
    <row r="341" ht="18.75" customHeight="1">
      <c r="E341" s="123"/>
      <c r="H341" s="123"/>
    </row>
    <row r="342" ht="18.75" customHeight="1">
      <c r="E342" s="123"/>
      <c r="H342" s="123"/>
    </row>
    <row r="343" ht="18.75" customHeight="1">
      <c r="E343" s="123"/>
      <c r="H343" s="123"/>
    </row>
    <row r="344" ht="18.75" customHeight="1">
      <c r="E344" s="123"/>
      <c r="H344" s="123"/>
    </row>
    <row r="345" ht="18.75" customHeight="1">
      <c r="E345" s="123"/>
      <c r="H345" s="123"/>
    </row>
    <row r="346" ht="18.75" customHeight="1">
      <c r="E346" s="123"/>
      <c r="H346" s="123"/>
    </row>
    <row r="347" ht="18.75" customHeight="1">
      <c r="E347" s="123"/>
      <c r="H347" s="123"/>
    </row>
    <row r="348" ht="18.75" customHeight="1">
      <c r="E348" s="123"/>
      <c r="H348" s="123"/>
    </row>
    <row r="349" ht="18.75" customHeight="1">
      <c r="E349" s="123"/>
      <c r="H349" s="123"/>
    </row>
    <row r="350" ht="18.75" customHeight="1">
      <c r="E350" s="123"/>
      <c r="H350" s="123"/>
    </row>
    <row r="351" ht="18.75" customHeight="1">
      <c r="E351" s="123"/>
      <c r="H351" s="123"/>
    </row>
    <row r="352" ht="18.75" customHeight="1">
      <c r="E352" s="123"/>
      <c r="H352" s="123"/>
    </row>
    <row r="353" ht="18.75" customHeight="1">
      <c r="E353" s="123"/>
      <c r="H353" s="123"/>
    </row>
    <row r="354" ht="18.75" customHeight="1">
      <c r="E354" s="123"/>
      <c r="H354" s="123"/>
    </row>
    <row r="355" ht="18.75" customHeight="1">
      <c r="E355" s="123"/>
      <c r="H355" s="123"/>
    </row>
    <row r="356" ht="18.75" customHeight="1">
      <c r="E356" s="123"/>
      <c r="H356" s="123"/>
    </row>
    <row r="357" ht="18.75" customHeight="1">
      <c r="E357" s="123"/>
      <c r="H357" s="123"/>
    </row>
    <row r="358" ht="18.75" customHeight="1">
      <c r="E358" s="123"/>
      <c r="H358" s="123"/>
    </row>
    <row r="359" ht="18.75" customHeight="1">
      <c r="E359" s="123"/>
      <c r="H359" s="123"/>
    </row>
    <row r="360" ht="18.75" customHeight="1">
      <c r="E360" s="123"/>
      <c r="H360" s="123"/>
    </row>
    <row r="361" ht="18.75" customHeight="1">
      <c r="E361" s="123"/>
      <c r="H361" s="123"/>
    </row>
    <row r="362" ht="18.75" customHeight="1">
      <c r="E362" s="123"/>
      <c r="H362" s="123"/>
    </row>
    <row r="363" ht="18.75" customHeight="1">
      <c r="E363" s="123"/>
      <c r="H363" s="123"/>
    </row>
    <row r="364" ht="18.75" customHeight="1">
      <c r="E364" s="123"/>
      <c r="H364" s="123"/>
    </row>
    <row r="365" ht="18.75" customHeight="1">
      <c r="E365" s="123"/>
      <c r="H365" s="123"/>
    </row>
    <row r="366" ht="18.75" customHeight="1">
      <c r="E366" s="123"/>
      <c r="H366" s="123"/>
    </row>
    <row r="367" ht="18.75" customHeight="1">
      <c r="E367" s="123"/>
      <c r="H367" s="123"/>
    </row>
    <row r="368" ht="18.75" customHeight="1">
      <c r="E368" s="123"/>
      <c r="H368" s="123"/>
    </row>
    <row r="369" ht="18.75" customHeight="1">
      <c r="E369" s="123"/>
      <c r="H369" s="123"/>
    </row>
    <row r="370" ht="18.75" customHeight="1">
      <c r="E370" s="123"/>
      <c r="H370" s="123"/>
    </row>
    <row r="371" ht="18.75" customHeight="1">
      <c r="E371" s="123"/>
      <c r="H371" s="123"/>
    </row>
    <row r="372" ht="18.75" customHeight="1">
      <c r="E372" s="123"/>
      <c r="H372" s="123"/>
    </row>
    <row r="373" ht="18.75" customHeight="1">
      <c r="E373" s="123"/>
      <c r="H373" s="123"/>
    </row>
    <row r="374" ht="18.75" customHeight="1">
      <c r="E374" s="123"/>
      <c r="H374" s="123"/>
    </row>
    <row r="375" ht="18.75" customHeight="1">
      <c r="E375" s="123"/>
      <c r="H375" s="123"/>
    </row>
    <row r="376" ht="18.75" customHeight="1">
      <c r="E376" s="123"/>
      <c r="H376" s="123"/>
    </row>
    <row r="377" ht="18.75" customHeight="1">
      <c r="E377" s="123"/>
      <c r="H377" s="123"/>
    </row>
    <row r="378" ht="18.75" customHeight="1">
      <c r="E378" s="123"/>
      <c r="H378" s="123"/>
    </row>
    <row r="379" ht="18.75" customHeight="1">
      <c r="E379" s="123"/>
      <c r="H379" s="123"/>
    </row>
    <row r="380" ht="18.75" customHeight="1">
      <c r="E380" s="123"/>
      <c r="H380" s="123"/>
    </row>
    <row r="381" ht="18.75" customHeight="1">
      <c r="E381" s="123"/>
      <c r="H381" s="123"/>
    </row>
    <row r="382" ht="18.75" customHeight="1">
      <c r="E382" s="123"/>
      <c r="H382" s="123"/>
    </row>
    <row r="383" ht="18.75" customHeight="1">
      <c r="E383" s="123"/>
      <c r="H383" s="123"/>
    </row>
    <row r="384" ht="18.75" customHeight="1">
      <c r="E384" s="123"/>
      <c r="H384" s="123"/>
    </row>
    <row r="385" ht="18.75" customHeight="1">
      <c r="E385" s="123"/>
      <c r="H385" s="123"/>
    </row>
    <row r="386" ht="18.75" customHeight="1">
      <c r="E386" s="123"/>
      <c r="H386" s="123"/>
    </row>
    <row r="387" ht="18.75" customHeight="1">
      <c r="E387" s="123"/>
      <c r="H387" s="123"/>
    </row>
    <row r="388" ht="18.75" customHeight="1">
      <c r="E388" s="123"/>
      <c r="H388" s="123"/>
    </row>
    <row r="389" ht="18.75" customHeight="1">
      <c r="E389" s="123"/>
      <c r="H389" s="123"/>
    </row>
    <row r="390" ht="18.75" customHeight="1">
      <c r="E390" s="123"/>
      <c r="H390" s="123"/>
    </row>
    <row r="391" ht="18.75" customHeight="1">
      <c r="E391" s="123"/>
      <c r="H391" s="123"/>
    </row>
    <row r="392" ht="18.75" customHeight="1">
      <c r="E392" s="123"/>
      <c r="H392" s="123"/>
    </row>
    <row r="393" ht="18.75" customHeight="1">
      <c r="E393" s="123"/>
      <c r="H393" s="123"/>
    </row>
    <row r="394" ht="18.75" customHeight="1">
      <c r="E394" s="123"/>
      <c r="H394" s="123"/>
    </row>
    <row r="395" ht="18.75" customHeight="1">
      <c r="E395" s="123"/>
      <c r="H395" s="123"/>
    </row>
    <row r="396" ht="18.75" customHeight="1">
      <c r="E396" s="123"/>
      <c r="H396" s="123"/>
    </row>
    <row r="397" ht="18.75" customHeight="1">
      <c r="E397" s="123"/>
      <c r="H397" s="123"/>
    </row>
    <row r="398" ht="18.75" customHeight="1">
      <c r="E398" s="123"/>
      <c r="H398" s="123"/>
    </row>
    <row r="399" ht="18.75" customHeight="1">
      <c r="E399" s="123"/>
      <c r="H399" s="123"/>
    </row>
    <row r="400" ht="18.75" customHeight="1">
      <c r="E400" s="123"/>
      <c r="H400" s="123"/>
    </row>
    <row r="401" ht="18.75" customHeight="1">
      <c r="E401" s="123"/>
      <c r="H401" s="123"/>
    </row>
    <row r="402" ht="18.75" customHeight="1">
      <c r="E402" s="123"/>
      <c r="H402" s="123"/>
    </row>
    <row r="403" ht="18.75" customHeight="1">
      <c r="E403" s="123"/>
      <c r="H403" s="123"/>
    </row>
    <row r="404" ht="18.75" customHeight="1">
      <c r="E404" s="123"/>
      <c r="H404" s="123"/>
    </row>
    <row r="405" ht="18.75" customHeight="1">
      <c r="E405" s="123"/>
      <c r="H405" s="123"/>
    </row>
    <row r="406" ht="18.75" customHeight="1">
      <c r="E406" s="123"/>
      <c r="H406" s="123"/>
    </row>
    <row r="407" ht="18.75" customHeight="1">
      <c r="E407" s="123"/>
      <c r="H407" s="123"/>
    </row>
    <row r="408" ht="18.75" customHeight="1">
      <c r="E408" s="123"/>
      <c r="H408" s="123"/>
    </row>
    <row r="409" ht="18.75" customHeight="1">
      <c r="E409" s="123"/>
      <c r="H409" s="123"/>
    </row>
    <row r="410" ht="18.75" customHeight="1">
      <c r="E410" s="123"/>
      <c r="H410" s="123"/>
    </row>
    <row r="411" ht="18.75" customHeight="1">
      <c r="E411" s="123"/>
      <c r="H411" s="123"/>
    </row>
    <row r="412" ht="18.75" customHeight="1">
      <c r="E412" s="123"/>
      <c r="H412" s="123"/>
    </row>
    <row r="413" ht="18.75" customHeight="1">
      <c r="E413" s="123"/>
      <c r="H413" s="123"/>
    </row>
    <row r="414" ht="18.75" customHeight="1">
      <c r="E414" s="123"/>
      <c r="H414" s="123"/>
    </row>
    <row r="415" ht="18.75" customHeight="1">
      <c r="E415" s="123"/>
      <c r="H415" s="123"/>
    </row>
    <row r="416" ht="18.75" customHeight="1">
      <c r="E416" s="123"/>
      <c r="H416" s="123"/>
    </row>
    <row r="417" ht="18.75" customHeight="1">
      <c r="E417" s="123"/>
      <c r="H417" s="123"/>
    </row>
    <row r="418" ht="18.75" customHeight="1">
      <c r="E418" s="123"/>
      <c r="H418" s="123"/>
    </row>
    <row r="419" ht="18.75" customHeight="1">
      <c r="E419" s="123"/>
      <c r="H419" s="123"/>
    </row>
    <row r="420" ht="18.75" customHeight="1">
      <c r="E420" s="123"/>
      <c r="H420" s="123"/>
    </row>
    <row r="421" ht="18.75" customHeight="1">
      <c r="E421" s="123"/>
      <c r="H421" s="123"/>
    </row>
    <row r="422" ht="18.75" customHeight="1">
      <c r="E422" s="123"/>
      <c r="H422" s="123"/>
    </row>
    <row r="423" ht="18.75" customHeight="1">
      <c r="E423" s="123"/>
      <c r="H423" s="123"/>
    </row>
    <row r="424" ht="18.75" customHeight="1">
      <c r="E424" s="123"/>
      <c r="H424" s="123"/>
    </row>
    <row r="425" ht="18.75" customHeight="1">
      <c r="E425" s="123"/>
      <c r="H425" s="123"/>
    </row>
    <row r="426" ht="18.75" customHeight="1">
      <c r="E426" s="123"/>
      <c r="H426" s="123"/>
    </row>
    <row r="427" ht="18.75" customHeight="1">
      <c r="E427" s="123"/>
      <c r="H427" s="123"/>
    </row>
    <row r="428" ht="18.75" customHeight="1">
      <c r="E428" s="123"/>
      <c r="H428" s="123"/>
    </row>
    <row r="429" ht="18.75" customHeight="1">
      <c r="E429" s="123"/>
      <c r="H429" s="123"/>
    </row>
    <row r="430" ht="18.75" customHeight="1">
      <c r="E430" s="123"/>
      <c r="H430" s="123"/>
    </row>
    <row r="431" ht="18.75" customHeight="1">
      <c r="E431" s="123"/>
      <c r="H431" s="123"/>
    </row>
    <row r="432" ht="18.75" customHeight="1">
      <c r="E432" s="123"/>
      <c r="H432" s="123"/>
    </row>
    <row r="433" ht="18.75" customHeight="1">
      <c r="E433" s="123"/>
      <c r="H433" s="123"/>
    </row>
    <row r="434" ht="18.75" customHeight="1">
      <c r="E434" s="123"/>
      <c r="H434" s="123"/>
    </row>
    <row r="435" ht="18.75" customHeight="1">
      <c r="E435" s="123"/>
      <c r="H435" s="123"/>
    </row>
    <row r="436" ht="18.75" customHeight="1">
      <c r="E436" s="123"/>
      <c r="H436" s="123"/>
    </row>
    <row r="437" ht="18.75" customHeight="1">
      <c r="E437" s="123"/>
      <c r="H437" s="123"/>
    </row>
    <row r="438" ht="18.75" customHeight="1">
      <c r="E438" s="123"/>
      <c r="H438" s="123"/>
    </row>
    <row r="439" ht="18.75" customHeight="1">
      <c r="E439" s="123"/>
      <c r="H439" s="123"/>
    </row>
    <row r="440" ht="18.75" customHeight="1">
      <c r="E440" s="123"/>
      <c r="H440" s="123"/>
    </row>
    <row r="441" ht="18.75" customHeight="1">
      <c r="E441" s="123"/>
      <c r="H441" s="123"/>
    </row>
    <row r="442" ht="18.75" customHeight="1">
      <c r="E442" s="123"/>
      <c r="H442" s="123"/>
    </row>
    <row r="443" ht="18.75" customHeight="1">
      <c r="E443" s="123"/>
      <c r="H443" s="123"/>
    </row>
    <row r="444" ht="18.75" customHeight="1">
      <c r="E444" s="123"/>
      <c r="H444" s="123"/>
    </row>
    <row r="445" ht="18.75" customHeight="1">
      <c r="E445" s="123"/>
      <c r="H445" s="123"/>
    </row>
    <row r="446" ht="18.75" customHeight="1">
      <c r="E446" s="123"/>
      <c r="H446" s="123"/>
    </row>
    <row r="447" ht="18.75" customHeight="1">
      <c r="E447" s="123"/>
      <c r="H447" s="123"/>
    </row>
    <row r="448" ht="18.75" customHeight="1">
      <c r="E448" s="123"/>
      <c r="H448" s="123"/>
    </row>
    <row r="449" ht="18.75" customHeight="1">
      <c r="E449" s="123"/>
      <c r="H449" s="123"/>
    </row>
    <row r="450" ht="18.75" customHeight="1">
      <c r="E450" s="123"/>
      <c r="H450" s="123"/>
    </row>
    <row r="451" ht="18.75" customHeight="1">
      <c r="E451" s="123"/>
      <c r="H451" s="123"/>
    </row>
    <row r="452" ht="18.75" customHeight="1">
      <c r="E452" s="123"/>
      <c r="H452" s="123"/>
    </row>
    <row r="453" ht="18.75" customHeight="1">
      <c r="E453" s="123"/>
      <c r="H453" s="123"/>
    </row>
    <row r="454" ht="18.75" customHeight="1">
      <c r="E454" s="123"/>
      <c r="H454" s="123"/>
    </row>
    <row r="455" ht="18.75" customHeight="1">
      <c r="E455" s="123"/>
      <c r="H455" s="123"/>
    </row>
    <row r="456" ht="18.75" customHeight="1">
      <c r="E456" s="123"/>
      <c r="H456" s="123"/>
    </row>
    <row r="457" ht="18.75" customHeight="1">
      <c r="E457" s="123"/>
      <c r="H457" s="123"/>
    </row>
    <row r="458" ht="18.75" customHeight="1">
      <c r="E458" s="123"/>
      <c r="H458" s="123"/>
    </row>
    <row r="459" ht="18.75" customHeight="1">
      <c r="E459" s="123"/>
      <c r="H459" s="123"/>
    </row>
    <row r="460" ht="18.75" customHeight="1">
      <c r="E460" s="123"/>
      <c r="H460" s="123"/>
    </row>
    <row r="461" ht="18.75" customHeight="1">
      <c r="E461" s="123"/>
      <c r="H461" s="123"/>
    </row>
    <row r="462" ht="18.75" customHeight="1">
      <c r="E462" s="123"/>
      <c r="H462" s="123"/>
    </row>
    <row r="463" ht="18.75" customHeight="1">
      <c r="E463" s="123"/>
      <c r="H463" s="123"/>
    </row>
    <row r="464" ht="18.75" customHeight="1">
      <c r="E464" s="123"/>
      <c r="H464" s="123"/>
    </row>
    <row r="465" ht="18.75" customHeight="1">
      <c r="E465" s="123"/>
      <c r="H465" s="123"/>
    </row>
    <row r="466" ht="18.75" customHeight="1">
      <c r="E466" s="123"/>
      <c r="H466" s="123"/>
    </row>
    <row r="467" ht="18.75" customHeight="1">
      <c r="E467" s="123"/>
      <c r="H467" s="123"/>
    </row>
    <row r="468" ht="18.75" customHeight="1">
      <c r="E468" s="123"/>
      <c r="H468" s="123"/>
    </row>
    <row r="469" ht="18.75" customHeight="1">
      <c r="E469" s="123"/>
      <c r="H469" s="123"/>
    </row>
    <row r="470" ht="18.75" customHeight="1">
      <c r="E470" s="123"/>
      <c r="H470" s="123"/>
    </row>
    <row r="471" ht="18.75" customHeight="1">
      <c r="E471" s="123"/>
      <c r="H471" s="123"/>
    </row>
    <row r="472" ht="18.75" customHeight="1">
      <c r="E472" s="123"/>
      <c r="H472" s="123"/>
    </row>
    <row r="473" ht="18.75" customHeight="1">
      <c r="E473" s="123"/>
      <c r="H473" s="123"/>
    </row>
    <row r="474" ht="18.75" customHeight="1">
      <c r="E474" s="123"/>
      <c r="H474" s="123"/>
    </row>
    <row r="475" ht="18.75" customHeight="1">
      <c r="E475" s="123"/>
      <c r="H475" s="123"/>
    </row>
    <row r="476" ht="18.75" customHeight="1">
      <c r="E476" s="123"/>
      <c r="H476" s="123"/>
    </row>
    <row r="477" ht="18.75" customHeight="1">
      <c r="E477" s="123"/>
      <c r="H477" s="123"/>
    </row>
    <row r="478" ht="18.75" customHeight="1">
      <c r="E478" s="123"/>
      <c r="H478" s="123"/>
    </row>
    <row r="479" ht="18.75" customHeight="1">
      <c r="E479" s="123"/>
      <c r="H479" s="123"/>
    </row>
    <row r="480" ht="18.75" customHeight="1">
      <c r="E480" s="123"/>
      <c r="H480" s="123"/>
    </row>
    <row r="481" ht="18.75" customHeight="1">
      <c r="E481" s="123"/>
      <c r="H481" s="123"/>
    </row>
    <row r="482" ht="18.75" customHeight="1">
      <c r="E482" s="123"/>
      <c r="H482" s="123"/>
    </row>
    <row r="483" ht="18.75" customHeight="1">
      <c r="E483" s="123"/>
      <c r="H483" s="123"/>
    </row>
    <row r="484" ht="18.75" customHeight="1">
      <c r="E484" s="123"/>
      <c r="H484" s="123"/>
    </row>
    <row r="485" ht="18.75" customHeight="1">
      <c r="E485" s="123"/>
      <c r="H485" s="123"/>
    </row>
    <row r="486" ht="18.75" customHeight="1">
      <c r="E486" s="123"/>
      <c r="H486" s="123"/>
    </row>
    <row r="487" ht="18.75" customHeight="1">
      <c r="E487" s="123"/>
      <c r="H487" s="123"/>
    </row>
    <row r="488" ht="18.75" customHeight="1">
      <c r="E488" s="123"/>
      <c r="H488" s="123"/>
    </row>
    <row r="489" ht="18.75" customHeight="1">
      <c r="E489" s="123"/>
      <c r="H489" s="123"/>
    </row>
    <row r="490" ht="18.75" customHeight="1">
      <c r="E490" s="123"/>
      <c r="H490" s="123"/>
    </row>
    <row r="491" ht="18.75" customHeight="1">
      <c r="E491" s="123"/>
      <c r="H491" s="123"/>
    </row>
    <row r="492" ht="18.75" customHeight="1">
      <c r="E492" s="123"/>
      <c r="H492" s="123"/>
    </row>
    <row r="493" ht="18.75" customHeight="1">
      <c r="E493" s="123"/>
      <c r="H493" s="123"/>
    </row>
    <row r="494" ht="18.75" customHeight="1">
      <c r="E494" s="123"/>
      <c r="H494" s="123"/>
    </row>
    <row r="495" ht="18.75" customHeight="1">
      <c r="E495" s="123"/>
      <c r="H495" s="123"/>
    </row>
    <row r="496" ht="18.75" customHeight="1">
      <c r="E496" s="123"/>
      <c r="H496" s="123"/>
    </row>
    <row r="497" ht="18.75" customHeight="1">
      <c r="E497" s="123"/>
      <c r="H497" s="123"/>
    </row>
    <row r="498" ht="18.75" customHeight="1">
      <c r="E498" s="123"/>
      <c r="H498" s="123"/>
    </row>
    <row r="499" ht="18.75" customHeight="1">
      <c r="E499" s="123"/>
      <c r="H499" s="123"/>
    </row>
    <row r="500" ht="18.75" customHeight="1">
      <c r="E500" s="123"/>
      <c r="H500" s="123"/>
    </row>
    <row r="501" ht="18.75" customHeight="1">
      <c r="E501" s="123"/>
      <c r="H501" s="123"/>
    </row>
    <row r="502" ht="18.75" customHeight="1">
      <c r="E502" s="123"/>
      <c r="H502" s="123"/>
    </row>
    <row r="503" ht="18.75" customHeight="1">
      <c r="E503" s="123"/>
      <c r="H503" s="123"/>
    </row>
    <row r="504" ht="18.75" customHeight="1">
      <c r="E504" s="123"/>
      <c r="H504" s="123"/>
    </row>
    <row r="505" ht="18.75" customHeight="1">
      <c r="E505" s="123"/>
      <c r="H505" s="123"/>
    </row>
    <row r="506" ht="18.75" customHeight="1">
      <c r="E506" s="123"/>
      <c r="H506" s="123"/>
    </row>
    <row r="507" ht="18.75" customHeight="1">
      <c r="E507" s="123"/>
      <c r="H507" s="123"/>
    </row>
    <row r="508" ht="18.75" customHeight="1">
      <c r="E508" s="123"/>
      <c r="H508" s="123"/>
    </row>
    <row r="509" ht="18.75" customHeight="1">
      <c r="E509" s="123"/>
      <c r="H509" s="123"/>
    </row>
    <row r="510" ht="18.75" customHeight="1">
      <c r="E510" s="123"/>
      <c r="H510" s="123"/>
    </row>
    <row r="511" ht="18.75" customHeight="1">
      <c r="E511" s="123"/>
      <c r="H511" s="123"/>
    </row>
    <row r="512" ht="18.75" customHeight="1">
      <c r="E512" s="123"/>
      <c r="H512" s="123"/>
    </row>
    <row r="513" ht="18.75" customHeight="1">
      <c r="E513" s="123"/>
      <c r="H513" s="123"/>
    </row>
    <row r="514" ht="18.75" customHeight="1">
      <c r="E514" s="123"/>
      <c r="H514" s="123"/>
    </row>
    <row r="515" ht="18.75" customHeight="1">
      <c r="E515" s="123"/>
      <c r="H515" s="123"/>
    </row>
    <row r="516" ht="18.75" customHeight="1">
      <c r="E516" s="123"/>
      <c r="H516" s="123"/>
    </row>
    <row r="517" ht="18.75" customHeight="1">
      <c r="E517" s="123"/>
      <c r="H517" s="123"/>
    </row>
    <row r="518" ht="18.75" customHeight="1">
      <c r="E518" s="123"/>
      <c r="H518" s="123"/>
    </row>
    <row r="519" ht="18.75" customHeight="1">
      <c r="E519" s="123"/>
      <c r="H519" s="123"/>
    </row>
    <row r="520" ht="18.75" customHeight="1">
      <c r="E520" s="123"/>
      <c r="H520" s="123"/>
    </row>
    <row r="521" ht="18.75" customHeight="1">
      <c r="E521" s="123"/>
      <c r="H521" s="123"/>
    </row>
    <row r="522" ht="18.75" customHeight="1">
      <c r="E522" s="123"/>
      <c r="H522" s="123"/>
    </row>
    <row r="523" ht="18.75" customHeight="1">
      <c r="E523" s="123"/>
      <c r="H523" s="123"/>
    </row>
    <row r="524" ht="18.75" customHeight="1">
      <c r="E524" s="123"/>
      <c r="H524" s="123"/>
    </row>
    <row r="525" ht="18.75" customHeight="1">
      <c r="E525" s="123"/>
      <c r="H525" s="123"/>
    </row>
    <row r="526" ht="18.75" customHeight="1">
      <c r="E526" s="123"/>
      <c r="H526" s="123"/>
    </row>
    <row r="527" ht="18.75" customHeight="1">
      <c r="E527" s="123"/>
      <c r="H527" s="123"/>
    </row>
    <row r="528" ht="18.75" customHeight="1">
      <c r="E528" s="123"/>
      <c r="H528" s="123"/>
    </row>
    <row r="529" ht="18.75" customHeight="1">
      <c r="E529" s="123"/>
      <c r="H529" s="123"/>
    </row>
    <row r="530" ht="18.75" customHeight="1">
      <c r="E530" s="123"/>
      <c r="H530" s="123"/>
    </row>
    <row r="531" ht="18.75" customHeight="1">
      <c r="E531" s="123"/>
      <c r="H531" s="123"/>
    </row>
    <row r="532" ht="18.75" customHeight="1">
      <c r="E532" s="123"/>
      <c r="H532" s="123"/>
    </row>
    <row r="533" ht="18.75" customHeight="1">
      <c r="E533" s="123"/>
      <c r="H533" s="123"/>
    </row>
    <row r="534" ht="18.75" customHeight="1">
      <c r="E534" s="123"/>
      <c r="H534" s="123"/>
    </row>
    <row r="535" ht="18.75" customHeight="1">
      <c r="E535" s="123"/>
      <c r="H535" s="123"/>
    </row>
    <row r="536" ht="18.75" customHeight="1">
      <c r="E536" s="123"/>
      <c r="H536" s="123"/>
    </row>
    <row r="537" ht="18.75" customHeight="1">
      <c r="E537" s="123"/>
      <c r="H537" s="123"/>
    </row>
    <row r="538" ht="18.75" customHeight="1">
      <c r="E538" s="123"/>
      <c r="H538" s="123"/>
    </row>
    <row r="539" ht="18.75" customHeight="1">
      <c r="E539" s="123"/>
      <c r="H539" s="123"/>
    </row>
    <row r="540" ht="18.75" customHeight="1">
      <c r="E540" s="123"/>
      <c r="H540" s="123"/>
    </row>
    <row r="541" ht="18.75" customHeight="1">
      <c r="E541" s="123"/>
      <c r="H541" s="123"/>
    </row>
    <row r="542" ht="18.75" customHeight="1">
      <c r="E542" s="123"/>
      <c r="H542" s="123"/>
    </row>
    <row r="543" ht="18.75" customHeight="1">
      <c r="E543" s="123"/>
      <c r="H543" s="123"/>
    </row>
    <row r="544" ht="18.75" customHeight="1">
      <c r="E544" s="123"/>
      <c r="H544" s="123"/>
    </row>
    <row r="545" ht="18.75" customHeight="1">
      <c r="E545" s="123"/>
      <c r="H545" s="123"/>
    </row>
    <row r="546" ht="18.75" customHeight="1">
      <c r="E546" s="123"/>
      <c r="H546" s="123"/>
    </row>
    <row r="547" ht="18.75" customHeight="1">
      <c r="E547" s="123"/>
      <c r="H547" s="123"/>
    </row>
    <row r="548" ht="18.75" customHeight="1">
      <c r="E548" s="123"/>
      <c r="H548" s="123"/>
    </row>
    <row r="549" ht="18.75" customHeight="1">
      <c r="E549" s="123"/>
      <c r="H549" s="123"/>
    </row>
    <row r="550" ht="18.75" customHeight="1">
      <c r="E550" s="123"/>
      <c r="H550" s="123"/>
    </row>
    <row r="551" ht="18.75" customHeight="1">
      <c r="E551" s="123"/>
      <c r="H551" s="123"/>
    </row>
    <row r="552" ht="18.75" customHeight="1">
      <c r="E552" s="123"/>
      <c r="H552" s="123"/>
    </row>
    <row r="553" ht="18.75" customHeight="1">
      <c r="E553" s="123"/>
      <c r="H553" s="123"/>
    </row>
    <row r="554" ht="18.75" customHeight="1">
      <c r="E554" s="123"/>
      <c r="H554" s="123"/>
    </row>
    <row r="555" ht="18.75" customHeight="1">
      <c r="E555" s="123"/>
      <c r="H555" s="123"/>
    </row>
    <row r="556" ht="18.75" customHeight="1">
      <c r="E556" s="123"/>
      <c r="H556" s="123"/>
    </row>
    <row r="557" ht="18.75" customHeight="1">
      <c r="E557" s="123"/>
      <c r="H557" s="123"/>
    </row>
    <row r="558" ht="18.75" customHeight="1">
      <c r="E558" s="123"/>
      <c r="H558" s="123"/>
    </row>
    <row r="559" ht="18.75" customHeight="1">
      <c r="E559" s="123"/>
      <c r="H559" s="123"/>
    </row>
    <row r="560" ht="18.75" customHeight="1">
      <c r="E560" s="123"/>
      <c r="H560" s="123"/>
    </row>
    <row r="561" ht="18.75" customHeight="1">
      <c r="E561" s="123"/>
      <c r="H561" s="123"/>
    </row>
    <row r="562" ht="18.75" customHeight="1">
      <c r="E562" s="123"/>
      <c r="H562" s="123"/>
    </row>
    <row r="563" ht="18.75" customHeight="1">
      <c r="E563" s="123"/>
      <c r="H563" s="123"/>
    </row>
    <row r="564" ht="18.75" customHeight="1">
      <c r="E564" s="123"/>
      <c r="H564" s="123"/>
    </row>
    <row r="565" ht="18.75" customHeight="1">
      <c r="E565" s="123"/>
      <c r="H565" s="123"/>
    </row>
    <row r="566" ht="18.75" customHeight="1">
      <c r="E566" s="123"/>
      <c r="H566" s="123"/>
    </row>
    <row r="567" ht="18.75" customHeight="1">
      <c r="E567" s="123"/>
      <c r="H567" s="123"/>
    </row>
    <row r="568" ht="18.75" customHeight="1">
      <c r="E568" s="123"/>
      <c r="H568" s="123"/>
    </row>
    <row r="569" ht="18.75" customHeight="1">
      <c r="E569" s="123"/>
      <c r="H569" s="123"/>
    </row>
    <row r="570" ht="18.75" customHeight="1">
      <c r="E570" s="123"/>
      <c r="H570" s="123"/>
    </row>
    <row r="571" ht="18.75" customHeight="1">
      <c r="E571" s="123"/>
      <c r="H571" s="123"/>
    </row>
    <row r="572" ht="18.75" customHeight="1">
      <c r="E572" s="123"/>
      <c r="H572" s="123"/>
    </row>
    <row r="573" ht="18.75" customHeight="1">
      <c r="E573" s="123"/>
      <c r="H573" s="123"/>
    </row>
    <row r="574" ht="18.75" customHeight="1">
      <c r="E574" s="123"/>
      <c r="H574" s="123"/>
    </row>
    <row r="575" ht="18.75" customHeight="1">
      <c r="E575" s="123"/>
      <c r="H575" s="123"/>
    </row>
    <row r="576" ht="18.75" customHeight="1">
      <c r="E576" s="123"/>
      <c r="H576" s="123"/>
    </row>
    <row r="577" ht="18.75" customHeight="1">
      <c r="E577" s="123"/>
      <c r="H577" s="123"/>
    </row>
    <row r="578" ht="18.75" customHeight="1">
      <c r="E578" s="123"/>
      <c r="H578" s="123"/>
    </row>
    <row r="579" ht="18.75" customHeight="1">
      <c r="E579" s="123"/>
      <c r="H579" s="123"/>
    </row>
    <row r="580" ht="18.75" customHeight="1">
      <c r="E580" s="123"/>
      <c r="H580" s="123"/>
    </row>
    <row r="581" ht="18.75" customHeight="1">
      <c r="E581" s="123"/>
      <c r="H581" s="123"/>
    </row>
    <row r="582" ht="18.75" customHeight="1">
      <c r="E582" s="123"/>
      <c r="H582" s="123"/>
    </row>
    <row r="583" ht="18.75" customHeight="1">
      <c r="E583" s="123"/>
      <c r="H583" s="123"/>
    </row>
    <row r="584" ht="18.75" customHeight="1">
      <c r="E584" s="123"/>
      <c r="H584" s="123"/>
    </row>
    <row r="585" ht="18.75" customHeight="1">
      <c r="E585" s="123"/>
      <c r="H585" s="123"/>
    </row>
    <row r="586" ht="18.75" customHeight="1">
      <c r="E586" s="123"/>
      <c r="H586" s="123"/>
    </row>
    <row r="587" ht="18.75" customHeight="1">
      <c r="E587" s="123"/>
      <c r="H587" s="123"/>
    </row>
    <row r="588" ht="18.75" customHeight="1">
      <c r="E588" s="123"/>
      <c r="H588" s="123"/>
    </row>
    <row r="589" ht="18.75" customHeight="1">
      <c r="E589" s="123"/>
      <c r="H589" s="123"/>
    </row>
    <row r="590" ht="18.75" customHeight="1">
      <c r="E590" s="123"/>
      <c r="H590" s="123"/>
    </row>
    <row r="591" ht="18.75" customHeight="1">
      <c r="E591" s="123"/>
      <c r="H591" s="123"/>
    </row>
    <row r="592" ht="18.75" customHeight="1">
      <c r="E592" s="123"/>
      <c r="H592" s="123"/>
    </row>
    <row r="593" ht="18.75" customHeight="1">
      <c r="E593" s="123"/>
      <c r="H593" s="123"/>
    </row>
    <row r="594" ht="18.75" customHeight="1">
      <c r="E594" s="123"/>
      <c r="H594" s="123"/>
    </row>
    <row r="595" ht="18.75" customHeight="1">
      <c r="E595" s="123"/>
      <c r="H595" s="123"/>
    </row>
    <row r="596" ht="18.75" customHeight="1">
      <c r="E596" s="123"/>
      <c r="H596" s="123"/>
    </row>
    <row r="597" ht="18.75" customHeight="1">
      <c r="E597" s="123"/>
      <c r="H597" s="123"/>
    </row>
    <row r="598" ht="18.75" customHeight="1">
      <c r="E598" s="123"/>
      <c r="H598" s="123"/>
    </row>
    <row r="599" ht="18.75" customHeight="1">
      <c r="E599" s="123"/>
      <c r="H599" s="123"/>
    </row>
    <row r="600" ht="18.75" customHeight="1">
      <c r="E600" s="123"/>
      <c r="H600" s="123"/>
    </row>
    <row r="601" ht="18.75" customHeight="1">
      <c r="E601" s="123"/>
      <c r="H601" s="123"/>
    </row>
    <row r="602" ht="18.75" customHeight="1">
      <c r="E602" s="123"/>
      <c r="H602" s="123"/>
    </row>
    <row r="603" ht="18.75" customHeight="1">
      <c r="E603" s="123"/>
      <c r="H603" s="123"/>
    </row>
    <row r="604" ht="18.75" customHeight="1">
      <c r="E604" s="123"/>
      <c r="H604" s="123"/>
    </row>
    <row r="605" ht="18.75" customHeight="1">
      <c r="E605" s="123"/>
      <c r="H605" s="123"/>
    </row>
    <row r="606" ht="18.75" customHeight="1">
      <c r="E606" s="123"/>
      <c r="H606" s="123"/>
    </row>
    <row r="607" ht="18.75" customHeight="1">
      <c r="E607" s="123"/>
      <c r="H607" s="123"/>
    </row>
    <row r="608" ht="18.75" customHeight="1">
      <c r="E608" s="123"/>
      <c r="H608" s="123"/>
    </row>
    <row r="609" ht="18.75" customHeight="1">
      <c r="E609" s="123"/>
      <c r="H609" s="123"/>
    </row>
    <row r="610" ht="18.75" customHeight="1">
      <c r="E610" s="123"/>
      <c r="H610" s="123"/>
    </row>
    <row r="611" ht="18.75" customHeight="1">
      <c r="E611" s="123"/>
      <c r="H611" s="123"/>
    </row>
    <row r="612" ht="18.75" customHeight="1">
      <c r="E612" s="123"/>
      <c r="H612" s="123"/>
    </row>
    <row r="613" ht="18.75" customHeight="1">
      <c r="E613" s="123"/>
      <c r="H613" s="123"/>
    </row>
    <row r="614" ht="18.75" customHeight="1">
      <c r="E614" s="123"/>
      <c r="H614" s="123"/>
    </row>
    <row r="615" ht="18.75" customHeight="1">
      <c r="E615" s="123"/>
      <c r="H615" s="123"/>
    </row>
    <row r="616" ht="18.75" customHeight="1">
      <c r="E616" s="123"/>
      <c r="H616" s="123"/>
    </row>
    <row r="617" ht="18.75" customHeight="1">
      <c r="E617" s="123"/>
      <c r="H617" s="123"/>
    </row>
    <row r="618" ht="18.75" customHeight="1">
      <c r="E618" s="123"/>
      <c r="H618" s="123"/>
    </row>
    <row r="619" ht="18.75" customHeight="1">
      <c r="E619" s="123"/>
      <c r="H619" s="123"/>
    </row>
    <row r="620" ht="18.75" customHeight="1">
      <c r="E620" s="123"/>
      <c r="H620" s="123"/>
    </row>
    <row r="621" ht="18.75" customHeight="1">
      <c r="E621" s="123"/>
      <c r="H621" s="123"/>
    </row>
    <row r="622" ht="18.75" customHeight="1">
      <c r="E622" s="123"/>
      <c r="H622" s="123"/>
    </row>
    <row r="623" ht="18.75" customHeight="1">
      <c r="E623" s="123"/>
      <c r="H623" s="123"/>
    </row>
    <row r="624" ht="18.75" customHeight="1">
      <c r="E624" s="123"/>
      <c r="H624" s="123"/>
    </row>
    <row r="625" ht="18.75" customHeight="1">
      <c r="E625" s="123"/>
      <c r="H625" s="123"/>
    </row>
    <row r="626" ht="18.75" customHeight="1">
      <c r="E626" s="123"/>
      <c r="H626" s="123"/>
    </row>
    <row r="627" ht="18.75" customHeight="1">
      <c r="E627" s="123"/>
      <c r="H627" s="123"/>
    </row>
    <row r="628" ht="18.75" customHeight="1">
      <c r="E628" s="123"/>
      <c r="H628" s="123"/>
    </row>
    <row r="629" ht="18.75" customHeight="1">
      <c r="E629" s="123"/>
      <c r="H629" s="123"/>
    </row>
    <row r="630" ht="18.75" customHeight="1">
      <c r="E630" s="123"/>
      <c r="H630" s="123"/>
    </row>
    <row r="631" ht="18.75" customHeight="1">
      <c r="E631" s="123"/>
      <c r="H631" s="123"/>
    </row>
    <row r="632" ht="18.75" customHeight="1">
      <c r="E632" s="123"/>
      <c r="H632" s="123"/>
    </row>
    <row r="633" ht="18.75" customHeight="1">
      <c r="E633" s="123"/>
      <c r="H633" s="123"/>
    </row>
    <row r="634" ht="18.75" customHeight="1">
      <c r="E634" s="123"/>
      <c r="H634" s="123"/>
    </row>
    <row r="635" ht="18.75" customHeight="1">
      <c r="E635" s="123"/>
      <c r="H635" s="123"/>
    </row>
    <row r="636" ht="18.75" customHeight="1">
      <c r="E636" s="123"/>
      <c r="H636" s="123"/>
    </row>
    <row r="637" ht="18.75" customHeight="1">
      <c r="E637" s="123"/>
      <c r="H637" s="123"/>
    </row>
    <row r="638" ht="18.75" customHeight="1">
      <c r="E638" s="123"/>
      <c r="H638" s="123"/>
    </row>
    <row r="639" ht="18.75" customHeight="1">
      <c r="E639" s="123"/>
      <c r="H639" s="123"/>
    </row>
    <row r="640" ht="18.75" customHeight="1">
      <c r="E640" s="123"/>
      <c r="H640" s="123"/>
    </row>
    <row r="641" ht="18.75" customHeight="1">
      <c r="E641" s="123"/>
      <c r="H641" s="123"/>
    </row>
    <row r="642" ht="18.75" customHeight="1">
      <c r="E642" s="123"/>
      <c r="H642" s="123"/>
    </row>
    <row r="643" ht="18.75" customHeight="1">
      <c r="E643" s="123"/>
      <c r="H643" s="123"/>
    </row>
    <row r="644" ht="18.75" customHeight="1">
      <c r="E644" s="123"/>
      <c r="H644" s="123"/>
    </row>
    <row r="645" ht="18.75" customHeight="1">
      <c r="E645" s="123"/>
      <c r="H645" s="123"/>
    </row>
    <row r="646" ht="18.75" customHeight="1">
      <c r="E646" s="123"/>
      <c r="H646" s="123"/>
    </row>
    <row r="647" ht="18.75" customHeight="1">
      <c r="E647" s="123"/>
      <c r="H647" s="123"/>
    </row>
    <row r="648" ht="18.75" customHeight="1">
      <c r="E648" s="123"/>
      <c r="H648" s="123"/>
    </row>
    <row r="649" ht="18.75" customHeight="1">
      <c r="E649" s="123"/>
      <c r="H649" s="123"/>
    </row>
    <row r="650" ht="18.75" customHeight="1">
      <c r="E650" s="123"/>
      <c r="H650" s="123"/>
    </row>
    <row r="651" ht="18.75" customHeight="1">
      <c r="E651" s="123"/>
      <c r="H651" s="123"/>
    </row>
    <row r="652" ht="18.75" customHeight="1">
      <c r="E652" s="123"/>
      <c r="H652" s="123"/>
    </row>
    <row r="653" ht="18.75" customHeight="1">
      <c r="E653" s="123"/>
      <c r="H653" s="123"/>
    </row>
    <row r="654" ht="18.75" customHeight="1">
      <c r="E654" s="123"/>
      <c r="H654" s="123"/>
    </row>
    <row r="655" ht="18.75" customHeight="1">
      <c r="E655" s="123"/>
      <c r="H655" s="123"/>
    </row>
    <row r="656" ht="18.75" customHeight="1">
      <c r="E656" s="123"/>
      <c r="H656" s="123"/>
    </row>
    <row r="657" ht="18.75" customHeight="1">
      <c r="E657" s="123"/>
      <c r="H657" s="123"/>
    </row>
    <row r="658" ht="18.75" customHeight="1">
      <c r="E658" s="123"/>
      <c r="H658" s="123"/>
    </row>
    <row r="659" ht="18.75" customHeight="1">
      <c r="E659" s="123"/>
      <c r="H659" s="123"/>
    </row>
    <row r="660" ht="18.75" customHeight="1">
      <c r="E660" s="123"/>
      <c r="H660" s="123"/>
    </row>
    <row r="661" ht="18.75" customHeight="1">
      <c r="E661" s="123"/>
      <c r="H661" s="123"/>
    </row>
    <row r="662" ht="18.75" customHeight="1">
      <c r="E662" s="123"/>
      <c r="H662" s="123"/>
    </row>
    <row r="663" ht="18.75" customHeight="1">
      <c r="E663" s="123"/>
      <c r="H663" s="123"/>
    </row>
    <row r="664" ht="18.75" customHeight="1">
      <c r="E664" s="123"/>
      <c r="H664" s="123"/>
    </row>
    <row r="665" ht="18.75" customHeight="1">
      <c r="E665" s="123"/>
      <c r="H665" s="123"/>
    </row>
    <row r="666" ht="18.75" customHeight="1">
      <c r="E666" s="123"/>
      <c r="H666" s="123"/>
    </row>
    <row r="667" ht="18.75" customHeight="1">
      <c r="E667" s="123"/>
      <c r="H667" s="123"/>
    </row>
    <row r="668" ht="18.75" customHeight="1">
      <c r="E668" s="123"/>
      <c r="H668" s="123"/>
    </row>
    <row r="669" ht="18.75" customHeight="1">
      <c r="E669" s="123"/>
      <c r="H669" s="123"/>
    </row>
    <row r="670" ht="18.75" customHeight="1">
      <c r="E670" s="123"/>
      <c r="H670" s="123"/>
    </row>
    <row r="671" ht="18.75" customHeight="1">
      <c r="E671" s="123"/>
      <c r="H671" s="123"/>
    </row>
    <row r="672" ht="18.75" customHeight="1">
      <c r="E672" s="123"/>
      <c r="H672" s="123"/>
    </row>
    <row r="673" ht="18.75" customHeight="1">
      <c r="E673" s="123"/>
      <c r="H673" s="123"/>
    </row>
    <row r="674" ht="18.75" customHeight="1">
      <c r="E674" s="123"/>
      <c r="H674" s="123"/>
    </row>
    <row r="675" ht="18.75" customHeight="1">
      <c r="E675" s="123"/>
      <c r="H675" s="123"/>
    </row>
    <row r="676" ht="18.75" customHeight="1">
      <c r="E676" s="123"/>
      <c r="H676" s="123"/>
    </row>
    <row r="677" ht="18.75" customHeight="1">
      <c r="E677" s="123"/>
      <c r="H677" s="123"/>
    </row>
    <row r="678" ht="18.75" customHeight="1">
      <c r="E678" s="123"/>
      <c r="H678" s="123"/>
    </row>
    <row r="679" ht="18.75" customHeight="1">
      <c r="E679" s="123"/>
      <c r="H679" s="123"/>
    </row>
    <row r="680" ht="18.75" customHeight="1">
      <c r="E680" s="123"/>
      <c r="H680" s="123"/>
    </row>
    <row r="681" ht="18.75" customHeight="1">
      <c r="E681" s="123"/>
      <c r="H681" s="123"/>
    </row>
    <row r="682" ht="18.75" customHeight="1">
      <c r="E682" s="123"/>
      <c r="H682" s="123"/>
    </row>
    <row r="683" ht="18.75" customHeight="1">
      <c r="E683" s="123"/>
      <c r="H683" s="123"/>
    </row>
    <row r="684" ht="18.75" customHeight="1">
      <c r="E684" s="123"/>
      <c r="H684" s="123"/>
    </row>
    <row r="685" ht="18.75" customHeight="1">
      <c r="E685" s="123"/>
      <c r="H685" s="123"/>
    </row>
    <row r="686" ht="18.75" customHeight="1">
      <c r="E686" s="123"/>
      <c r="H686" s="123"/>
    </row>
    <row r="687" ht="18.75" customHeight="1">
      <c r="E687" s="123"/>
      <c r="H687" s="123"/>
    </row>
    <row r="688" ht="18.75" customHeight="1">
      <c r="E688" s="123"/>
      <c r="H688" s="123"/>
    </row>
    <row r="689" ht="18.75" customHeight="1">
      <c r="E689" s="123"/>
      <c r="H689" s="123"/>
    </row>
    <row r="690" ht="18.75" customHeight="1">
      <c r="E690" s="123"/>
      <c r="H690" s="123"/>
    </row>
    <row r="691" ht="18.75" customHeight="1">
      <c r="E691" s="123"/>
      <c r="H691" s="123"/>
    </row>
    <row r="692" ht="18.75" customHeight="1">
      <c r="E692" s="123"/>
      <c r="H692" s="123"/>
    </row>
    <row r="693" ht="18.75" customHeight="1">
      <c r="E693" s="123"/>
      <c r="H693" s="123"/>
    </row>
    <row r="694" ht="18.75" customHeight="1">
      <c r="E694" s="123"/>
      <c r="H694" s="123"/>
    </row>
    <row r="695" ht="18.75" customHeight="1">
      <c r="E695" s="123"/>
      <c r="H695" s="123"/>
    </row>
    <row r="696" ht="18.75" customHeight="1">
      <c r="E696" s="123"/>
      <c r="H696" s="123"/>
    </row>
    <row r="697" ht="18.75" customHeight="1">
      <c r="E697" s="123"/>
      <c r="H697" s="123"/>
    </row>
    <row r="698" ht="18.75" customHeight="1">
      <c r="E698" s="123"/>
      <c r="H698" s="123"/>
    </row>
    <row r="699" ht="18.75" customHeight="1">
      <c r="E699" s="123"/>
      <c r="H699" s="123"/>
    </row>
    <row r="700" ht="18.75" customHeight="1">
      <c r="E700" s="123"/>
      <c r="H700" s="123"/>
    </row>
    <row r="701" ht="18.75" customHeight="1">
      <c r="E701" s="123"/>
      <c r="H701" s="123"/>
    </row>
    <row r="702" ht="18.75" customHeight="1">
      <c r="E702" s="123"/>
      <c r="H702" s="123"/>
    </row>
    <row r="703" ht="18.75" customHeight="1">
      <c r="E703" s="123"/>
      <c r="H703" s="123"/>
    </row>
    <row r="704" ht="18.75" customHeight="1">
      <c r="E704" s="123"/>
      <c r="H704" s="123"/>
    </row>
    <row r="705" ht="18.75" customHeight="1">
      <c r="E705" s="123"/>
      <c r="H705" s="123"/>
    </row>
    <row r="706" ht="18.75" customHeight="1">
      <c r="E706" s="123"/>
      <c r="H706" s="123"/>
    </row>
    <row r="707" ht="18.75" customHeight="1">
      <c r="E707" s="123"/>
      <c r="H707" s="123"/>
    </row>
    <row r="708" ht="18.75" customHeight="1">
      <c r="E708" s="123"/>
      <c r="H708" s="123"/>
    </row>
    <row r="709" ht="18.75" customHeight="1">
      <c r="E709" s="123"/>
      <c r="H709" s="123"/>
    </row>
    <row r="710" ht="18.75" customHeight="1">
      <c r="E710" s="123"/>
      <c r="H710" s="123"/>
    </row>
    <row r="711" ht="18.75" customHeight="1">
      <c r="E711" s="123"/>
      <c r="H711" s="123"/>
    </row>
    <row r="712" ht="18.75" customHeight="1">
      <c r="E712" s="123"/>
      <c r="H712" s="123"/>
    </row>
    <row r="713" ht="18.75" customHeight="1">
      <c r="E713" s="123"/>
      <c r="H713" s="123"/>
    </row>
    <row r="714" ht="18.75" customHeight="1">
      <c r="E714" s="123"/>
      <c r="H714" s="123"/>
    </row>
    <row r="715" ht="18.75" customHeight="1">
      <c r="E715" s="123"/>
      <c r="H715" s="123"/>
    </row>
    <row r="716" ht="18.75" customHeight="1">
      <c r="E716" s="123"/>
      <c r="H716" s="123"/>
    </row>
    <row r="717" ht="18.75" customHeight="1">
      <c r="E717" s="123"/>
      <c r="H717" s="123"/>
    </row>
    <row r="718" ht="18.75" customHeight="1">
      <c r="E718" s="123"/>
      <c r="H718" s="123"/>
    </row>
    <row r="719" ht="18.75" customHeight="1">
      <c r="E719" s="123"/>
      <c r="H719" s="123"/>
    </row>
    <row r="720" ht="18.75" customHeight="1">
      <c r="E720" s="123"/>
      <c r="H720" s="123"/>
    </row>
    <row r="721" ht="18.75" customHeight="1">
      <c r="E721" s="123"/>
      <c r="H721" s="123"/>
    </row>
    <row r="722" ht="18.75" customHeight="1">
      <c r="E722" s="123"/>
      <c r="H722" s="123"/>
    </row>
    <row r="723" ht="18.75" customHeight="1">
      <c r="E723" s="123"/>
      <c r="H723" s="123"/>
    </row>
    <row r="724" ht="18.75" customHeight="1">
      <c r="E724" s="123"/>
      <c r="H724" s="123"/>
    </row>
    <row r="725" ht="18.75" customHeight="1">
      <c r="E725" s="123"/>
      <c r="H725" s="123"/>
    </row>
    <row r="726" ht="18.75" customHeight="1">
      <c r="E726" s="123"/>
      <c r="H726" s="123"/>
    </row>
    <row r="727" ht="18.75" customHeight="1">
      <c r="E727" s="123"/>
      <c r="H727" s="123"/>
    </row>
    <row r="728" ht="18.75" customHeight="1">
      <c r="E728" s="123"/>
      <c r="H728" s="123"/>
    </row>
    <row r="729" ht="18.75" customHeight="1">
      <c r="E729" s="123"/>
      <c r="H729" s="123"/>
    </row>
    <row r="730" ht="18.75" customHeight="1">
      <c r="E730" s="123"/>
      <c r="H730" s="123"/>
    </row>
    <row r="731" ht="18.75" customHeight="1">
      <c r="E731" s="123"/>
      <c r="H731" s="123"/>
    </row>
    <row r="732" ht="18.75" customHeight="1">
      <c r="E732" s="123"/>
      <c r="H732" s="123"/>
    </row>
    <row r="733" ht="18.75" customHeight="1">
      <c r="E733" s="123"/>
      <c r="H733" s="123"/>
    </row>
    <row r="734" ht="18.75" customHeight="1">
      <c r="E734" s="123"/>
      <c r="H734" s="123"/>
    </row>
    <row r="735" ht="18.75" customHeight="1">
      <c r="E735" s="123"/>
      <c r="H735" s="123"/>
    </row>
    <row r="736" ht="18.75" customHeight="1">
      <c r="E736" s="123"/>
      <c r="H736" s="123"/>
    </row>
    <row r="737" ht="18.75" customHeight="1">
      <c r="E737" s="123"/>
      <c r="H737" s="123"/>
    </row>
    <row r="738" ht="18.75" customHeight="1">
      <c r="E738" s="123"/>
      <c r="H738" s="123"/>
    </row>
    <row r="739" ht="18.75" customHeight="1">
      <c r="E739" s="123"/>
      <c r="H739" s="123"/>
    </row>
    <row r="740" ht="18.75" customHeight="1">
      <c r="E740" s="123"/>
      <c r="H740" s="123"/>
    </row>
    <row r="741" ht="18.75" customHeight="1">
      <c r="E741" s="123"/>
      <c r="H741" s="123"/>
    </row>
    <row r="742" ht="18.75" customHeight="1">
      <c r="E742" s="123"/>
      <c r="H742" s="123"/>
    </row>
    <row r="743" ht="18.75" customHeight="1">
      <c r="E743" s="123"/>
      <c r="H743" s="123"/>
    </row>
    <row r="744" ht="18.75" customHeight="1">
      <c r="E744" s="123"/>
      <c r="H744" s="123"/>
    </row>
    <row r="745" ht="18.75" customHeight="1">
      <c r="E745" s="123"/>
      <c r="H745" s="123"/>
    </row>
    <row r="746" ht="18.75" customHeight="1">
      <c r="E746" s="123"/>
      <c r="H746" s="123"/>
    </row>
    <row r="747" ht="18.75" customHeight="1">
      <c r="E747" s="123"/>
      <c r="H747" s="123"/>
    </row>
    <row r="748" ht="18.75" customHeight="1">
      <c r="E748" s="123"/>
      <c r="H748" s="123"/>
    </row>
    <row r="749" ht="18.75" customHeight="1">
      <c r="E749" s="123"/>
      <c r="H749" s="123"/>
    </row>
    <row r="750" ht="18.75" customHeight="1">
      <c r="E750" s="123"/>
      <c r="H750" s="123"/>
    </row>
    <row r="751" ht="18.75" customHeight="1">
      <c r="E751" s="123"/>
      <c r="H751" s="123"/>
    </row>
    <row r="752" ht="18.75" customHeight="1">
      <c r="E752" s="123"/>
      <c r="H752" s="123"/>
    </row>
    <row r="753" ht="18.75" customHeight="1">
      <c r="E753" s="123"/>
      <c r="H753" s="123"/>
    </row>
    <row r="754" ht="18.75" customHeight="1">
      <c r="E754" s="123"/>
      <c r="H754" s="123"/>
    </row>
    <row r="755" ht="18.75" customHeight="1">
      <c r="E755" s="123"/>
      <c r="H755" s="123"/>
    </row>
    <row r="756" ht="18.75" customHeight="1">
      <c r="E756" s="123"/>
      <c r="H756" s="123"/>
    </row>
    <row r="757" ht="18.75" customHeight="1">
      <c r="E757" s="123"/>
      <c r="H757" s="123"/>
    </row>
    <row r="758" ht="18.75" customHeight="1">
      <c r="E758" s="123"/>
      <c r="H758" s="123"/>
    </row>
    <row r="759" ht="18.75" customHeight="1">
      <c r="E759" s="123"/>
      <c r="H759" s="123"/>
    </row>
    <row r="760" ht="18.75" customHeight="1">
      <c r="E760" s="123"/>
      <c r="H760" s="123"/>
    </row>
    <row r="761" ht="18.75" customHeight="1">
      <c r="E761" s="123"/>
      <c r="H761" s="123"/>
    </row>
    <row r="762" ht="18.75" customHeight="1">
      <c r="E762" s="123"/>
      <c r="H762" s="123"/>
    </row>
    <row r="763" ht="18.75" customHeight="1">
      <c r="E763" s="123"/>
      <c r="H763" s="123"/>
    </row>
    <row r="764" ht="18.75" customHeight="1">
      <c r="E764" s="123"/>
      <c r="H764" s="123"/>
    </row>
    <row r="765" ht="18.75" customHeight="1">
      <c r="E765" s="123"/>
      <c r="H765" s="123"/>
    </row>
    <row r="766" ht="18.75" customHeight="1">
      <c r="E766" s="123"/>
      <c r="H766" s="123"/>
    </row>
    <row r="767" ht="18.75" customHeight="1">
      <c r="E767" s="123"/>
      <c r="H767" s="123"/>
    </row>
    <row r="768" ht="18.75" customHeight="1">
      <c r="E768" s="123"/>
      <c r="H768" s="123"/>
    </row>
    <row r="769" ht="18.75" customHeight="1">
      <c r="E769" s="123"/>
      <c r="H769" s="123"/>
    </row>
    <row r="770" ht="18.75" customHeight="1">
      <c r="E770" s="123"/>
      <c r="H770" s="123"/>
    </row>
    <row r="771" ht="18.75" customHeight="1">
      <c r="E771" s="123"/>
      <c r="H771" s="123"/>
    </row>
    <row r="772" ht="18.75" customHeight="1">
      <c r="E772" s="123"/>
      <c r="H772" s="123"/>
    </row>
    <row r="773" ht="18.75" customHeight="1">
      <c r="E773" s="123"/>
      <c r="H773" s="123"/>
    </row>
    <row r="774" ht="18.75" customHeight="1">
      <c r="E774" s="123"/>
      <c r="H774" s="123"/>
    </row>
    <row r="775" ht="18.75" customHeight="1">
      <c r="E775" s="123"/>
      <c r="H775" s="123"/>
    </row>
    <row r="776" ht="18.75" customHeight="1">
      <c r="E776" s="123"/>
      <c r="H776" s="123"/>
    </row>
    <row r="777" ht="18.75" customHeight="1">
      <c r="E777" s="123"/>
      <c r="H777" s="123"/>
    </row>
    <row r="778" ht="18.75" customHeight="1">
      <c r="E778" s="123"/>
      <c r="H778" s="123"/>
    </row>
    <row r="779" ht="18.75" customHeight="1">
      <c r="E779" s="123"/>
      <c r="H779" s="123"/>
    </row>
    <row r="780" ht="18.75" customHeight="1">
      <c r="E780" s="123"/>
      <c r="H780" s="123"/>
    </row>
    <row r="781" ht="18.75" customHeight="1">
      <c r="E781" s="123"/>
      <c r="H781" s="123"/>
    </row>
    <row r="782" ht="18.75" customHeight="1">
      <c r="E782" s="123"/>
      <c r="H782" s="123"/>
    </row>
    <row r="783" ht="18.75" customHeight="1">
      <c r="E783" s="123"/>
      <c r="H783" s="123"/>
    </row>
    <row r="784" ht="18.75" customHeight="1">
      <c r="E784" s="123"/>
      <c r="H784" s="123"/>
    </row>
    <row r="785" ht="18.75" customHeight="1">
      <c r="E785" s="123"/>
      <c r="H785" s="123"/>
    </row>
    <row r="786" ht="18.75" customHeight="1">
      <c r="E786" s="123"/>
      <c r="H786" s="123"/>
    </row>
    <row r="787" ht="18.75" customHeight="1">
      <c r="E787" s="123"/>
      <c r="H787" s="123"/>
    </row>
    <row r="788" ht="18.75" customHeight="1">
      <c r="E788" s="123"/>
      <c r="H788" s="123"/>
    </row>
    <row r="789" ht="18.75" customHeight="1">
      <c r="E789" s="123"/>
      <c r="H789" s="123"/>
    </row>
    <row r="790" ht="18.75" customHeight="1">
      <c r="E790" s="123"/>
      <c r="H790" s="123"/>
    </row>
    <row r="791" ht="18.75" customHeight="1">
      <c r="E791" s="123"/>
      <c r="H791" s="123"/>
    </row>
    <row r="792" ht="18.75" customHeight="1">
      <c r="E792" s="123"/>
      <c r="H792" s="123"/>
    </row>
    <row r="793" ht="18.75" customHeight="1">
      <c r="E793" s="123"/>
      <c r="H793" s="123"/>
    </row>
    <row r="794" ht="18.75" customHeight="1">
      <c r="E794" s="123"/>
      <c r="H794" s="123"/>
    </row>
    <row r="795" ht="18.75" customHeight="1">
      <c r="E795" s="123"/>
      <c r="H795" s="123"/>
    </row>
    <row r="796" ht="18.75" customHeight="1">
      <c r="E796" s="123"/>
      <c r="H796" s="123"/>
    </row>
    <row r="797" ht="18.75" customHeight="1">
      <c r="E797" s="123"/>
      <c r="H797" s="123"/>
    </row>
    <row r="798" ht="18.75" customHeight="1">
      <c r="E798" s="123"/>
      <c r="H798" s="123"/>
    </row>
    <row r="799" ht="18.75" customHeight="1">
      <c r="E799" s="123"/>
      <c r="H799" s="123"/>
    </row>
    <row r="800" ht="18.75" customHeight="1">
      <c r="E800" s="123"/>
      <c r="H800" s="123"/>
    </row>
    <row r="801" ht="18.75" customHeight="1">
      <c r="E801" s="123"/>
      <c r="H801" s="123"/>
    </row>
    <row r="802" ht="18.75" customHeight="1">
      <c r="E802" s="123"/>
      <c r="H802" s="123"/>
    </row>
    <row r="803" ht="18.75" customHeight="1">
      <c r="E803" s="123"/>
      <c r="H803" s="123"/>
    </row>
    <row r="804" ht="18.75" customHeight="1">
      <c r="E804" s="123"/>
      <c r="H804" s="123"/>
    </row>
    <row r="805" ht="18.75" customHeight="1">
      <c r="E805" s="123"/>
      <c r="H805" s="123"/>
    </row>
    <row r="806" ht="18.75" customHeight="1">
      <c r="E806" s="123"/>
      <c r="H806" s="123"/>
    </row>
    <row r="807" ht="18.75" customHeight="1">
      <c r="E807" s="123"/>
      <c r="H807" s="123"/>
    </row>
    <row r="808" ht="18.75" customHeight="1">
      <c r="E808" s="123"/>
      <c r="H808" s="123"/>
    </row>
    <row r="809" ht="18.75" customHeight="1">
      <c r="E809" s="123"/>
      <c r="H809" s="123"/>
    </row>
    <row r="810" ht="18.75" customHeight="1">
      <c r="E810" s="123"/>
      <c r="H810" s="123"/>
    </row>
    <row r="811" ht="18.75" customHeight="1">
      <c r="E811" s="123"/>
      <c r="H811" s="123"/>
    </row>
    <row r="812" ht="18.75" customHeight="1">
      <c r="E812" s="123"/>
      <c r="H812" s="123"/>
    </row>
    <row r="813" ht="18.75" customHeight="1">
      <c r="E813" s="123"/>
      <c r="H813" s="123"/>
    </row>
    <row r="814" ht="18.75" customHeight="1">
      <c r="E814" s="123"/>
      <c r="H814" s="123"/>
    </row>
    <row r="815" ht="18.75" customHeight="1">
      <c r="E815" s="123"/>
      <c r="H815" s="123"/>
    </row>
    <row r="816" ht="18.75" customHeight="1">
      <c r="E816" s="123"/>
      <c r="H816" s="123"/>
    </row>
    <row r="817" ht="18.75" customHeight="1">
      <c r="E817" s="123"/>
      <c r="H817" s="123"/>
    </row>
    <row r="818" ht="18.75" customHeight="1">
      <c r="E818" s="123"/>
      <c r="H818" s="123"/>
    </row>
    <row r="819" ht="18.75" customHeight="1">
      <c r="E819" s="123"/>
      <c r="H819" s="123"/>
    </row>
    <row r="820" ht="18.75" customHeight="1">
      <c r="E820" s="123"/>
      <c r="H820" s="123"/>
    </row>
    <row r="821" ht="18.75" customHeight="1">
      <c r="E821" s="123"/>
      <c r="H821" s="123"/>
    </row>
    <row r="822" ht="18.75" customHeight="1">
      <c r="E822" s="123"/>
      <c r="H822" s="123"/>
    </row>
    <row r="823" ht="18.75" customHeight="1">
      <c r="E823" s="123"/>
      <c r="H823" s="123"/>
    </row>
    <row r="824" ht="18.75" customHeight="1">
      <c r="E824" s="123"/>
      <c r="H824" s="123"/>
    </row>
    <row r="825" ht="18.75" customHeight="1">
      <c r="E825" s="123"/>
      <c r="H825" s="123"/>
    </row>
    <row r="826" ht="18.75" customHeight="1">
      <c r="E826" s="123"/>
      <c r="H826" s="123"/>
    </row>
    <row r="827" ht="18.75" customHeight="1">
      <c r="E827" s="123"/>
      <c r="H827" s="123"/>
    </row>
    <row r="828" ht="18.75" customHeight="1">
      <c r="E828" s="123"/>
      <c r="H828" s="123"/>
    </row>
    <row r="829" ht="18.75" customHeight="1">
      <c r="E829" s="123"/>
      <c r="H829" s="123"/>
    </row>
    <row r="830" ht="18.75" customHeight="1">
      <c r="E830" s="123"/>
      <c r="H830" s="123"/>
    </row>
    <row r="831" ht="18.75" customHeight="1">
      <c r="E831" s="123"/>
      <c r="H831" s="123"/>
    </row>
    <row r="832" ht="18.75" customHeight="1">
      <c r="E832" s="123"/>
      <c r="H832" s="123"/>
    </row>
    <row r="833" ht="18.75" customHeight="1">
      <c r="E833" s="123"/>
      <c r="H833" s="123"/>
    </row>
    <row r="834" ht="18.75" customHeight="1">
      <c r="E834" s="123"/>
      <c r="H834" s="123"/>
    </row>
    <row r="835" ht="18.75" customHeight="1">
      <c r="E835" s="123"/>
      <c r="H835" s="123"/>
    </row>
    <row r="836" ht="18.75" customHeight="1">
      <c r="E836" s="123"/>
      <c r="H836" s="123"/>
    </row>
    <row r="837" ht="18.75" customHeight="1">
      <c r="E837" s="123"/>
      <c r="H837" s="123"/>
    </row>
    <row r="838" ht="18.75" customHeight="1">
      <c r="E838" s="123"/>
      <c r="H838" s="123"/>
    </row>
    <row r="839" ht="18.75" customHeight="1">
      <c r="E839" s="123"/>
      <c r="H839" s="123"/>
    </row>
    <row r="840" ht="18.75" customHeight="1">
      <c r="E840" s="123"/>
      <c r="H840" s="123"/>
    </row>
    <row r="841" ht="18.75" customHeight="1">
      <c r="E841" s="123"/>
      <c r="H841" s="123"/>
    </row>
    <row r="842" ht="18.75" customHeight="1">
      <c r="E842" s="123"/>
      <c r="H842" s="123"/>
    </row>
    <row r="843" ht="18.75" customHeight="1">
      <c r="E843" s="123"/>
      <c r="H843" s="123"/>
    </row>
    <row r="844" ht="18.75" customHeight="1">
      <c r="E844" s="123"/>
      <c r="H844" s="123"/>
    </row>
    <row r="845" ht="18.75" customHeight="1">
      <c r="E845" s="123"/>
      <c r="H845" s="123"/>
    </row>
    <row r="846" ht="18.75" customHeight="1">
      <c r="E846" s="123"/>
      <c r="H846" s="123"/>
    </row>
    <row r="847" ht="18.75" customHeight="1">
      <c r="E847" s="123"/>
      <c r="H847" s="123"/>
    </row>
    <row r="848" ht="18.75" customHeight="1">
      <c r="E848" s="123"/>
      <c r="H848" s="123"/>
    </row>
    <row r="849" ht="18.75" customHeight="1">
      <c r="E849" s="123"/>
      <c r="H849" s="123"/>
    </row>
    <row r="850" ht="18.75" customHeight="1">
      <c r="E850" s="123"/>
      <c r="H850" s="123"/>
    </row>
    <row r="851" ht="18.75" customHeight="1">
      <c r="E851" s="123"/>
      <c r="H851" s="123"/>
    </row>
    <row r="852" ht="18.75" customHeight="1">
      <c r="E852" s="123"/>
      <c r="H852" s="123"/>
    </row>
    <row r="853" ht="18.75" customHeight="1">
      <c r="E853" s="123"/>
      <c r="H853" s="123"/>
    </row>
    <row r="854" ht="18.75" customHeight="1">
      <c r="E854" s="123"/>
      <c r="H854" s="123"/>
    </row>
    <row r="855" ht="18.75" customHeight="1">
      <c r="E855" s="123"/>
      <c r="H855" s="123"/>
    </row>
    <row r="856" ht="18.75" customHeight="1">
      <c r="E856" s="123"/>
      <c r="H856" s="123"/>
    </row>
    <row r="857" ht="18.75" customHeight="1">
      <c r="E857" s="123"/>
      <c r="H857" s="123"/>
    </row>
    <row r="858" ht="18.75" customHeight="1">
      <c r="E858" s="123"/>
      <c r="H858" s="123"/>
    </row>
    <row r="859" ht="18.75" customHeight="1">
      <c r="E859" s="123"/>
      <c r="H859" s="123"/>
    </row>
    <row r="860" ht="18.75" customHeight="1">
      <c r="E860" s="123"/>
      <c r="H860" s="123"/>
    </row>
    <row r="861" ht="18.75" customHeight="1">
      <c r="E861" s="123"/>
      <c r="H861" s="123"/>
    </row>
    <row r="862" ht="18.75" customHeight="1">
      <c r="E862" s="123"/>
      <c r="H862" s="123"/>
    </row>
    <row r="863" ht="18.75" customHeight="1">
      <c r="E863" s="123"/>
      <c r="H863" s="123"/>
    </row>
    <row r="864" ht="18.75" customHeight="1">
      <c r="E864" s="123"/>
      <c r="H864" s="123"/>
    </row>
    <row r="865" ht="18.75" customHeight="1">
      <c r="E865" s="123"/>
      <c r="H865" s="123"/>
    </row>
    <row r="866" ht="18.75" customHeight="1">
      <c r="E866" s="123"/>
      <c r="H866" s="123"/>
    </row>
    <row r="867" ht="18.75" customHeight="1">
      <c r="E867" s="123"/>
      <c r="H867" s="123"/>
    </row>
    <row r="868" ht="18.75" customHeight="1">
      <c r="E868" s="123"/>
      <c r="H868" s="123"/>
    </row>
    <row r="869" ht="18.75" customHeight="1">
      <c r="E869" s="123"/>
      <c r="H869" s="123"/>
    </row>
    <row r="870" ht="18.75" customHeight="1">
      <c r="E870" s="123"/>
      <c r="H870" s="123"/>
    </row>
    <row r="871" ht="18.75" customHeight="1">
      <c r="E871" s="123"/>
      <c r="H871" s="123"/>
    </row>
    <row r="872" ht="18.75" customHeight="1">
      <c r="E872" s="123"/>
      <c r="H872" s="123"/>
    </row>
    <row r="873" ht="18.75" customHeight="1">
      <c r="E873" s="123"/>
      <c r="H873" s="123"/>
    </row>
    <row r="874" ht="18.75" customHeight="1">
      <c r="E874" s="123"/>
      <c r="H874" s="123"/>
    </row>
    <row r="875" ht="18.75" customHeight="1">
      <c r="E875" s="123"/>
      <c r="H875" s="123"/>
    </row>
    <row r="876" ht="18.75" customHeight="1">
      <c r="E876" s="123"/>
      <c r="H876" s="123"/>
    </row>
    <row r="877" ht="18.75" customHeight="1">
      <c r="E877" s="123"/>
      <c r="H877" s="123"/>
    </row>
    <row r="878" ht="18.75" customHeight="1">
      <c r="E878" s="123"/>
      <c r="H878" s="123"/>
    </row>
    <row r="879" ht="18.75" customHeight="1">
      <c r="E879" s="123"/>
      <c r="H879" s="123"/>
    </row>
    <row r="880" ht="18.75" customHeight="1">
      <c r="E880" s="123"/>
      <c r="H880" s="123"/>
    </row>
    <row r="881" ht="18.75" customHeight="1">
      <c r="E881" s="123"/>
      <c r="H881" s="123"/>
    </row>
    <row r="882" ht="18.75" customHeight="1">
      <c r="E882" s="123"/>
      <c r="H882" s="123"/>
    </row>
    <row r="883" ht="18.75" customHeight="1">
      <c r="E883" s="123"/>
      <c r="H883" s="123"/>
    </row>
    <row r="884" ht="18.75" customHeight="1">
      <c r="E884" s="123"/>
      <c r="H884" s="123"/>
    </row>
    <row r="885" ht="18.75" customHeight="1">
      <c r="E885" s="123"/>
      <c r="H885" s="123"/>
    </row>
    <row r="886" ht="18.75" customHeight="1">
      <c r="E886" s="123"/>
      <c r="H886" s="123"/>
    </row>
    <row r="887" ht="18.75" customHeight="1">
      <c r="E887" s="123"/>
      <c r="H887" s="123"/>
    </row>
    <row r="888" ht="18.75" customHeight="1">
      <c r="E888" s="123"/>
      <c r="H888" s="123"/>
    </row>
    <row r="889" ht="18.75" customHeight="1">
      <c r="E889" s="123"/>
      <c r="H889" s="123"/>
    </row>
    <row r="890" ht="18.75" customHeight="1">
      <c r="E890" s="123"/>
      <c r="H890" s="123"/>
    </row>
    <row r="891" ht="18.75" customHeight="1">
      <c r="E891" s="123"/>
      <c r="H891" s="123"/>
    </row>
    <row r="892" ht="18.75" customHeight="1">
      <c r="E892" s="123"/>
      <c r="H892" s="123"/>
    </row>
    <row r="893" ht="18.75" customHeight="1">
      <c r="E893" s="123"/>
      <c r="H893" s="123"/>
    </row>
    <row r="894" ht="18.75" customHeight="1">
      <c r="E894" s="123"/>
      <c r="H894" s="123"/>
    </row>
    <row r="895" ht="18.75" customHeight="1">
      <c r="E895" s="123"/>
      <c r="H895" s="123"/>
    </row>
    <row r="896" ht="18.75" customHeight="1">
      <c r="E896" s="123"/>
      <c r="H896" s="123"/>
    </row>
    <row r="897" ht="18.75" customHeight="1">
      <c r="E897" s="123"/>
      <c r="H897" s="123"/>
    </row>
    <row r="898" ht="18.75" customHeight="1">
      <c r="E898" s="123"/>
      <c r="H898" s="123"/>
    </row>
    <row r="899" ht="18.75" customHeight="1">
      <c r="E899" s="123"/>
      <c r="H899" s="123"/>
    </row>
    <row r="900" ht="18.75" customHeight="1">
      <c r="E900" s="123"/>
      <c r="H900" s="123"/>
    </row>
    <row r="901" ht="18.75" customHeight="1">
      <c r="H901" s="123"/>
    </row>
    <row r="902" ht="18.75" customHeight="1">
      <c r="H902" s="123"/>
    </row>
    <row r="903" ht="18.75" customHeight="1">
      <c r="H903" s="123"/>
    </row>
    <row r="904" ht="18.75" customHeight="1">
      <c r="H904" s="123"/>
    </row>
    <row r="905" ht="18.75" customHeight="1">
      <c r="H905" s="123"/>
    </row>
    <row r="906" ht="18.75" customHeight="1">
      <c r="H906" s="123"/>
    </row>
    <row r="907" ht="18.75" customHeight="1">
      <c r="H907" s="123"/>
    </row>
    <row r="908" ht="18.75" customHeight="1">
      <c r="H908" s="123"/>
    </row>
    <row r="909" ht="18.75" customHeight="1">
      <c r="H909" s="123"/>
    </row>
    <row r="910" ht="18.75" customHeight="1">
      <c r="H910" s="123"/>
    </row>
    <row r="911" ht="18.75" customHeight="1">
      <c r="H911" s="123"/>
    </row>
    <row r="912" ht="18.75" customHeight="1">
      <c r="H912" s="123"/>
    </row>
    <row r="913" ht="18.75" customHeight="1">
      <c r="H913" s="123"/>
    </row>
    <row r="914" ht="18.75" customHeight="1">
      <c r="H914" s="123"/>
    </row>
    <row r="915" ht="18.75" customHeight="1">
      <c r="H915" s="123"/>
    </row>
    <row r="916" ht="18.75" customHeight="1">
      <c r="H916" s="123"/>
    </row>
    <row r="917" ht="18.75" customHeight="1">
      <c r="H917" s="123"/>
    </row>
    <row r="918" ht="18.75" customHeight="1">
      <c r="H918" s="123"/>
    </row>
    <row r="919" ht="18.75" customHeight="1">
      <c r="H919" s="123"/>
    </row>
    <row r="920" ht="18.75" customHeight="1">
      <c r="H920" s="123"/>
    </row>
    <row r="921" ht="18.75" customHeight="1">
      <c r="H921" s="123"/>
    </row>
    <row r="922" ht="18.75" customHeight="1">
      <c r="H922" s="123"/>
    </row>
    <row r="923" ht="18.75" customHeight="1">
      <c r="H923" s="123"/>
    </row>
    <row r="924" ht="18.75" customHeight="1">
      <c r="H924" s="123"/>
    </row>
    <row r="925" ht="18.75" customHeight="1">
      <c r="H925" s="123"/>
    </row>
    <row r="926" ht="18.75" customHeight="1">
      <c r="H926" s="123"/>
    </row>
    <row r="927" ht="18.75" customHeight="1">
      <c r="H927" s="123"/>
    </row>
    <row r="928" ht="18.75" customHeight="1">
      <c r="H928" s="123"/>
    </row>
    <row r="929" ht="18.75" customHeight="1">
      <c r="H929" s="123"/>
    </row>
    <row r="930" ht="18.75" customHeight="1">
      <c r="H930" s="123"/>
    </row>
    <row r="931" ht="18.75" customHeight="1">
      <c r="H931" s="123"/>
    </row>
    <row r="932" ht="18.75" customHeight="1">
      <c r="H932" s="123"/>
    </row>
    <row r="933" ht="18.75" customHeight="1">
      <c r="H933" s="123"/>
    </row>
    <row r="934" ht="18.75" customHeight="1">
      <c r="H934" s="123"/>
    </row>
    <row r="935" ht="18.75" customHeight="1">
      <c r="H935" s="123"/>
    </row>
    <row r="936" ht="18.75" customHeight="1">
      <c r="H936" s="123"/>
    </row>
    <row r="937" ht="18.75" customHeight="1">
      <c r="H937" s="123"/>
    </row>
    <row r="938" ht="18.75" customHeight="1">
      <c r="H938" s="123"/>
    </row>
    <row r="939" ht="18.75" customHeight="1">
      <c r="H939" s="123"/>
    </row>
    <row r="940" ht="18.75" customHeight="1">
      <c r="H940" s="123"/>
    </row>
    <row r="941" ht="18.75" customHeight="1">
      <c r="H941" s="123"/>
    </row>
    <row r="942" ht="18.75" customHeight="1">
      <c r="H942" s="123"/>
    </row>
    <row r="943" ht="18.75" customHeight="1">
      <c r="H943" s="123"/>
    </row>
    <row r="944" ht="18.75" customHeight="1">
      <c r="H944" s="123"/>
    </row>
    <row r="945" ht="18.75" customHeight="1">
      <c r="H945" s="123"/>
    </row>
    <row r="946" ht="18.75" customHeight="1">
      <c r="H946" s="123"/>
    </row>
    <row r="947" ht="18.75" customHeight="1">
      <c r="H947" s="123"/>
    </row>
    <row r="948" ht="18.75" customHeight="1">
      <c r="H948" s="123"/>
    </row>
    <row r="949" ht="18.75" customHeight="1">
      <c r="H949" s="123"/>
    </row>
    <row r="950" ht="18.75" customHeight="1">
      <c r="H950" s="123"/>
    </row>
    <row r="951" ht="18.75" customHeight="1">
      <c r="H951" s="123"/>
    </row>
    <row r="952" ht="18.75" customHeight="1">
      <c r="H952" s="123"/>
    </row>
    <row r="953" ht="18.75" customHeight="1">
      <c r="H953" s="123"/>
    </row>
    <row r="954" ht="18.75" customHeight="1">
      <c r="H954" s="123"/>
    </row>
    <row r="955" ht="18.75" customHeight="1">
      <c r="H955" s="123"/>
    </row>
    <row r="956" ht="18.75" customHeight="1">
      <c r="H956" s="123"/>
    </row>
    <row r="957" ht="18.75" customHeight="1">
      <c r="H957" s="123"/>
    </row>
    <row r="958" ht="18.75" customHeight="1">
      <c r="H958" s="123"/>
    </row>
    <row r="959" ht="18.75" customHeight="1">
      <c r="H959" s="123"/>
    </row>
    <row r="960" ht="18.75" customHeight="1">
      <c r="H960" s="123"/>
    </row>
    <row r="961" ht="18.75" customHeight="1">
      <c r="H961" s="123"/>
    </row>
    <row r="962" ht="18.75" customHeight="1">
      <c r="H962" s="123"/>
    </row>
    <row r="963" ht="18.75" customHeight="1">
      <c r="H963" s="123"/>
    </row>
    <row r="964" ht="18.75" customHeight="1">
      <c r="H964" s="123"/>
    </row>
    <row r="965" ht="18.75" customHeight="1">
      <c r="H965" s="123"/>
    </row>
    <row r="966" ht="18.75" customHeight="1">
      <c r="H966" s="123"/>
    </row>
    <row r="967" ht="18.75" customHeight="1">
      <c r="H967" s="123"/>
    </row>
    <row r="968" ht="18.75" customHeight="1">
      <c r="H968" s="123"/>
    </row>
    <row r="969" ht="18.75" customHeight="1">
      <c r="H969" s="123"/>
    </row>
    <row r="970" ht="18.75" customHeight="1">
      <c r="H970" s="123"/>
    </row>
    <row r="971" ht="18.75" customHeight="1">
      <c r="H971" s="123"/>
    </row>
    <row r="972" ht="18.75" customHeight="1">
      <c r="H972" s="123"/>
    </row>
    <row r="973" ht="18.75" customHeight="1">
      <c r="H973" s="123"/>
    </row>
    <row r="974" ht="18.75" customHeight="1">
      <c r="H974" s="123"/>
    </row>
    <row r="975" ht="18.75" customHeight="1">
      <c r="H975" s="123"/>
    </row>
    <row r="976" ht="18.75" customHeight="1">
      <c r="H976" s="123"/>
    </row>
    <row r="977" ht="18.75" customHeight="1">
      <c r="H977" s="123"/>
    </row>
    <row r="978" ht="18.75" customHeight="1">
      <c r="H978" s="123"/>
    </row>
    <row r="979" ht="18.75" customHeight="1">
      <c r="H979" s="123"/>
    </row>
    <row r="980" ht="18.75" customHeight="1">
      <c r="H980" s="123"/>
    </row>
    <row r="981" ht="18.75" customHeight="1">
      <c r="H981" s="123"/>
    </row>
    <row r="982" ht="18.75" customHeight="1">
      <c r="H982" s="123"/>
    </row>
    <row r="983" ht="18.75" customHeight="1">
      <c r="H983" s="123"/>
    </row>
    <row r="984" ht="18.75" customHeight="1">
      <c r="H984" s="123"/>
    </row>
    <row r="985" ht="18.75" customHeight="1">
      <c r="H985" s="123"/>
    </row>
    <row r="986" ht="18.75" customHeight="1">
      <c r="H986" s="123"/>
    </row>
    <row r="987" ht="18.75" customHeight="1">
      <c r="H987" s="123"/>
    </row>
    <row r="988" ht="18.75" customHeight="1">
      <c r="H988" s="123"/>
    </row>
    <row r="989" ht="18.75" customHeight="1">
      <c r="H989" s="123"/>
    </row>
    <row r="990" ht="18.75" customHeight="1">
      <c r="H990" s="123"/>
    </row>
    <row r="991" ht="18.75" customHeight="1">
      <c r="H991" s="123"/>
    </row>
    <row r="992" ht="18.75" customHeight="1">
      <c r="H992" s="123"/>
    </row>
    <row r="993" ht="18.75" customHeight="1">
      <c r="H993" s="123"/>
    </row>
    <row r="994" ht="18.75" customHeight="1">
      <c r="H994" s="123"/>
    </row>
    <row r="995" ht="18.75" customHeight="1">
      <c r="H995" s="123"/>
    </row>
    <row r="996" ht="18.75" customHeight="1">
      <c r="H996" s="123"/>
    </row>
    <row r="997" ht="18.75" customHeight="1">
      <c r="H997" s="123"/>
    </row>
    <row r="998" ht="18.75" customHeight="1">
      <c r="H998" s="123"/>
    </row>
    <row r="999" ht="18.75" customHeight="1">
      <c r="H999" s="123"/>
    </row>
    <row r="1000" ht="18.75" customHeight="1">
      <c r="H1000" s="123"/>
    </row>
    <row r="1001" ht="18.75" customHeight="1">
      <c r="H1001" s="123"/>
    </row>
  </sheetData>
  <mergeCells count="19">
    <mergeCell ref="A1:F1"/>
    <mergeCell ref="H1:J1"/>
    <mergeCell ref="A2:F2"/>
    <mergeCell ref="A3:A6"/>
    <mergeCell ref="B3:B6"/>
    <mergeCell ref="E3:E6"/>
    <mergeCell ref="F3:F6"/>
    <mergeCell ref="L5:P5"/>
    <mergeCell ref="L16:L21"/>
    <mergeCell ref="L23:L25"/>
    <mergeCell ref="L26:M26"/>
    <mergeCell ref="H45:K45"/>
    <mergeCell ref="C3:D3"/>
    <mergeCell ref="C4:C5"/>
    <mergeCell ref="D4:D5"/>
    <mergeCell ref="L7:L14"/>
    <mergeCell ref="L15:M15"/>
    <mergeCell ref="L22:M22"/>
    <mergeCell ref="H23:J23"/>
  </mergeCells>
  <dataValidations>
    <dataValidation type="list" allowBlank="1" showErrorMessage="1" sqref="E8:E100">
      <formula1>"1,1,1,2,1,3,2,1,2,2,2,3,2,4,2,5,2,6,2,7,2,8,2,9,2,11,2,12"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6.0"/>
    <col customWidth="1" min="2" max="2" width="15.0"/>
    <col customWidth="1" min="3" max="4" width="17.0"/>
    <col customWidth="1" min="5" max="5" width="13.0"/>
    <col customWidth="1" min="6" max="6" width="32.86"/>
    <col customWidth="1" min="7" max="7" width="7.0"/>
    <col customWidth="1" min="8" max="8" width="14.0"/>
    <col customWidth="1" min="9" max="9" width="46.0"/>
    <col customWidth="1" min="10" max="10" width="16.0"/>
    <col customWidth="1" min="11" max="11" width="7.29"/>
    <col customWidth="1" min="12" max="12" width="15.0"/>
    <col customWidth="1" min="13" max="13" width="15.14"/>
    <col customWidth="1" min="14" max="15" width="15.86"/>
    <col customWidth="1" min="16" max="16" width="47.14"/>
    <col customWidth="1" min="17" max="17" width="14.29"/>
    <col customWidth="1" min="18" max="25" width="14.0"/>
  </cols>
  <sheetData>
    <row r="1" ht="18.75" customHeight="1">
      <c r="A1" s="11" t="s">
        <v>22</v>
      </c>
      <c r="F1" s="12"/>
      <c r="G1" s="13"/>
      <c r="H1" s="103" t="s">
        <v>23</v>
      </c>
      <c r="I1" s="15"/>
      <c r="J1" s="16"/>
      <c r="K1" s="13"/>
      <c r="O1" s="124"/>
    </row>
    <row r="2" ht="18.75" customHeight="1">
      <c r="A2" s="17" t="s">
        <v>316</v>
      </c>
      <c r="G2" s="13"/>
      <c r="H2" s="104" t="s">
        <v>25</v>
      </c>
      <c r="I2" s="19" t="s">
        <v>26</v>
      </c>
      <c r="J2" s="20" t="s">
        <v>27</v>
      </c>
      <c r="K2" s="13"/>
      <c r="O2" s="124"/>
    </row>
    <row r="3" ht="18.75" customHeight="1">
      <c r="A3" s="21" t="s">
        <v>28</v>
      </c>
      <c r="B3" s="21" t="s">
        <v>29</v>
      </c>
      <c r="C3" s="23" t="s">
        <v>30</v>
      </c>
      <c r="D3" s="24"/>
      <c r="E3" s="105" t="s">
        <v>25</v>
      </c>
      <c r="F3" s="21" t="s">
        <v>26</v>
      </c>
      <c r="G3" s="13"/>
      <c r="H3" s="106" t="s">
        <v>216</v>
      </c>
      <c r="I3" s="27" t="s">
        <v>31</v>
      </c>
      <c r="J3" s="28">
        <f>SUM(J4:J6)</f>
        <v>0</v>
      </c>
      <c r="K3" s="13"/>
      <c r="O3" s="124"/>
    </row>
    <row r="4" ht="18.75" customHeight="1">
      <c r="A4" s="29"/>
      <c r="B4" s="29"/>
      <c r="C4" s="21" t="s">
        <v>32</v>
      </c>
      <c r="D4" s="21" t="s">
        <v>33</v>
      </c>
      <c r="E4" s="30"/>
      <c r="F4" s="29"/>
      <c r="G4" s="13"/>
      <c r="H4" s="107" t="s">
        <v>217</v>
      </c>
      <c r="I4" s="32" t="s">
        <v>34</v>
      </c>
      <c r="J4" s="28">
        <f>SUMIF($E$8:$E$47,1.1,$C$8:$C$47)</f>
        <v>0</v>
      </c>
      <c r="K4" s="13"/>
      <c r="O4" s="124"/>
    </row>
    <row r="5" ht="18.75" customHeight="1">
      <c r="A5" s="29"/>
      <c r="B5" s="29"/>
      <c r="C5" s="33"/>
      <c r="D5" s="33"/>
      <c r="E5" s="30"/>
      <c r="F5" s="29"/>
      <c r="G5" s="13"/>
      <c r="H5" s="107" t="s">
        <v>218</v>
      </c>
      <c r="I5" s="32" t="s">
        <v>35</v>
      </c>
      <c r="J5" s="28">
        <f>SUMIF($E$8:$E$47,1.2,$C$8:$C$47)</f>
        <v>0</v>
      </c>
      <c r="K5" s="13"/>
      <c r="L5" s="125" t="s">
        <v>259</v>
      </c>
    </row>
    <row r="6" ht="18.75" customHeight="1">
      <c r="A6" s="33"/>
      <c r="B6" s="33"/>
      <c r="C6" s="34"/>
      <c r="D6" s="34"/>
      <c r="E6" s="35"/>
      <c r="F6" s="33"/>
      <c r="G6" s="13"/>
      <c r="H6" s="107" t="s">
        <v>219</v>
      </c>
      <c r="I6" s="32" t="s">
        <v>36</v>
      </c>
      <c r="J6" s="28">
        <f>SUMIF($E$8:$E$47,1.3,$C$8:$C$47)</f>
        <v>0</v>
      </c>
      <c r="K6" s="13"/>
      <c r="L6" s="126" t="s">
        <v>260</v>
      </c>
      <c r="M6" s="127" t="s">
        <v>261</v>
      </c>
      <c r="N6" s="127" t="s">
        <v>262</v>
      </c>
      <c r="O6" s="127" t="s">
        <v>263</v>
      </c>
      <c r="P6" s="126" t="s">
        <v>264</v>
      </c>
    </row>
    <row r="7" ht="21.75" customHeight="1">
      <c r="A7" s="36"/>
      <c r="B7" s="17" t="s">
        <v>265</v>
      </c>
      <c r="C7" s="42">
        <f t="shared" ref="C7:D7" si="1">SUM(C8:C47)</f>
        <v>0</v>
      </c>
      <c r="D7" s="42">
        <f t="shared" si="1"/>
        <v>0</v>
      </c>
      <c r="E7" s="39"/>
      <c r="F7" s="40"/>
      <c r="G7" s="40"/>
      <c r="H7" s="128" t="s">
        <v>221</v>
      </c>
      <c r="I7" s="49" t="s">
        <v>40</v>
      </c>
      <c r="J7" s="28">
        <f>SUM(J8:J19)</f>
        <v>0</v>
      </c>
      <c r="K7" s="40"/>
      <c r="L7" s="129" t="s">
        <v>317</v>
      </c>
      <c r="M7" s="130">
        <v>46021.0</v>
      </c>
      <c r="N7" s="138"/>
      <c r="O7" s="138">
        <f>5600000*3</f>
        <v>16800000</v>
      </c>
      <c r="P7" s="133" t="s">
        <v>300</v>
      </c>
    </row>
    <row r="8" ht="18.75" customHeight="1">
      <c r="A8" s="134">
        <v>1.0</v>
      </c>
      <c r="B8" s="108"/>
      <c r="C8" s="101"/>
      <c r="D8" s="135"/>
      <c r="E8" s="110"/>
      <c r="F8" s="136"/>
      <c r="G8" s="13"/>
      <c r="H8" s="110" t="s">
        <v>223</v>
      </c>
      <c r="I8" s="54" t="s">
        <v>42</v>
      </c>
      <c r="J8" s="55">
        <f>SUMIF($E$8:$E$47,2.1,$D$8:$D$47)</f>
        <v>0</v>
      </c>
      <c r="K8" s="13"/>
      <c r="L8" s="137"/>
      <c r="M8" s="130">
        <v>46021.0</v>
      </c>
      <c r="N8" s="138">
        <v>5.757E7</v>
      </c>
      <c r="O8" s="138"/>
      <c r="P8" s="133" t="s">
        <v>308</v>
      </c>
    </row>
    <row r="9" ht="18.75" customHeight="1">
      <c r="A9" s="139">
        <v>2.0</v>
      </c>
      <c r="B9" s="108"/>
      <c r="C9" s="93"/>
      <c r="D9" s="112"/>
      <c r="E9" s="113"/>
      <c r="F9" s="66"/>
      <c r="G9" s="52"/>
      <c r="H9" s="113" t="s">
        <v>224</v>
      </c>
      <c r="I9" s="54" t="s">
        <v>45</v>
      </c>
      <c r="J9" s="28">
        <f>SUMIF($E$8:$E$47,2.2,$D$8:$D$47)</f>
        <v>0</v>
      </c>
      <c r="K9" s="13"/>
      <c r="L9" s="137"/>
      <c r="M9" s="130">
        <v>46021.0</v>
      </c>
      <c r="N9" s="138">
        <v>1.5E7</v>
      </c>
      <c r="O9" s="138"/>
      <c r="P9" s="133" t="s">
        <v>305</v>
      </c>
    </row>
    <row r="10" ht="18.75" customHeight="1">
      <c r="A10" s="134">
        <v>3.0</v>
      </c>
      <c r="B10" s="108"/>
      <c r="C10" s="60"/>
      <c r="D10" s="59"/>
      <c r="E10" s="113"/>
      <c r="F10" s="66"/>
      <c r="G10" s="52"/>
      <c r="H10" s="113" t="s">
        <v>227</v>
      </c>
      <c r="I10" s="54" t="s">
        <v>48</v>
      </c>
      <c r="J10" s="28">
        <f>SUMIF($E$8:$E$47,2.3,$D$8:$D$47)</f>
        <v>0</v>
      </c>
      <c r="K10" s="13"/>
      <c r="L10" s="137"/>
      <c r="M10" s="130">
        <v>46021.0</v>
      </c>
      <c r="N10" s="138"/>
      <c r="O10" s="138">
        <v>1833381.0</v>
      </c>
      <c r="P10" s="133" t="s">
        <v>318</v>
      </c>
    </row>
    <row r="11" ht="18.75" customHeight="1">
      <c r="A11" s="139">
        <v>4.0</v>
      </c>
      <c r="B11" s="108"/>
      <c r="C11" s="60"/>
      <c r="D11" s="59"/>
      <c r="E11" s="113"/>
      <c r="F11" s="66"/>
      <c r="G11" s="52"/>
      <c r="H11" s="113" t="s">
        <v>229</v>
      </c>
      <c r="I11" s="54" t="s">
        <v>51</v>
      </c>
      <c r="J11" s="28">
        <f>SUMIF($E$8:$E$47,2.4,$D$8:$D$47)</f>
        <v>0</v>
      </c>
      <c r="K11" s="13"/>
      <c r="L11" s="137"/>
      <c r="M11" s="130">
        <v>46021.0</v>
      </c>
      <c r="N11" s="138">
        <v>3.2628448E7</v>
      </c>
      <c r="O11" s="138"/>
      <c r="P11" s="133" t="s">
        <v>319</v>
      </c>
    </row>
    <row r="12" ht="18.75" customHeight="1">
      <c r="A12" s="134">
        <v>5.0</v>
      </c>
      <c r="B12" s="108"/>
      <c r="C12" s="60"/>
      <c r="D12" s="59"/>
      <c r="E12" s="113"/>
      <c r="F12" s="66"/>
      <c r="G12" s="52"/>
      <c r="H12" s="113" t="s">
        <v>231</v>
      </c>
      <c r="I12" s="54" t="s">
        <v>53</v>
      </c>
      <c r="J12" s="28">
        <f>SUMIF($E$8:$E$47,2.5,$D$8:$D$47)</f>
        <v>0</v>
      </c>
      <c r="K12" s="13"/>
      <c r="L12" s="137"/>
      <c r="M12" s="130">
        <v>46021.0</v>
      </c>
      <c r="N12" s="138">
        <v>4872122.0</v>
      </c>
      <c r="O12" s="138"/>
      <c r="P12" s="133" t="s">
        <v>320</v>
      </c>
    </row>
    <row r="13" ht="18.75" customHeight="1">
      <c r="A13" s="139"/>
      <c r="B13" s="108"/>
      <c r="C13" s="60"/>
      <c r="D13" s="59"/>
      <c r="E13" s="113"/>
      <c r="F13" s="66"/>
      <c r="G13" s="52"/>
      <c r="H13" s="113"/>
      <c r="I13" s="54"/>
      <c r="J13" s="28"/>
      <c r="K13" s="13"/>
      <c r="L13" s="137"/>
      <c r="M13" s="130">
        <v>46020.0</v>
      </c>
      <c r="N13" s="138"/>
      <c r="O13" s="138">
        <v>1.0575E8</v>
      </c>
      <c r="P13" s="133" t="s">
        <v>299</v>
      </c>
    </row>
    <row r="14" ht="18.75" customHeight="1">
      <c r="A14" s="139">
        <v>6.0</v>
      </c>
      <c r="B14" s="108"/>
      <c r="C14" s="60"/>
      <c r="D14" s="59"/>
      <c r="E14" s="113"/>
      <c r="F14" s="66"/>
      <c r="G14" s="52"/>
      <c r="H14" s="113" t="s">
        <v>233</v>
      </c>
      <c r="I14" s="54" t="s">
        <v>55</v>
      </c>
      <c r="J14" s="28">
        <f>SUMIF($E$8:$E$47,2.6,$D$8:$D$47)</f>
        <v>0</v>
      </c>
      <c r="K14" s="13"/>
      <c r="L14" s="137"/>
      <c r="M14" s="130">
        <v>46022.0</v>
      </c>
      <c r="N14" s="138"/>
      <c r="O14" s="138">
        <v>1.5998122E7</v>
      </c>
      <c r="P14" s="133" t="s">
        <v>321</v>
      </c>
    </row>
    <row r="15" ht="18.75" customHeight="1">
      <c r="A15" s="134">
        <v>7.0</v>
      </c>
      <c r="B15" s="108"/>
      <c r="C15" s="59"/>
      <c r="D15" s="59"/>
      <c r="E15" s="113"/>
      <c r="F15" s="66"/>
      <c r="G15" s="52"/>
      <c r="H15" s="113" t="s">
        <v>235</v>
      </c>
      <c r="I15" s="54" t="s">
        <v>57</v>
      </c>
      <c r="J15" s="28">
        <f>SUMIF($E$8:$E$47,2.7,$D$8:$D$47)</f>
        <v>0</v>
      </c>
      <c r="K15" s="13"/>
      <c r="L15" s="141" t="s">
        <v>272</v>
      </c>
      <c r="M15" s="142"/>
      <c r="N15" s="143">
        <f t="shared" ref="N15:O15" si="2">SUM(N7:N14)</f>
        <v>110070570</v>
      </c>
      <c r="O15" s="143">
        <f t="shared" si="2"/>
        <v>140381503</v>
      </c>
      <c r="P15" s="144"/>
    </row>
    <row r="16" ht="18.75" customHeight="1">
      <c r="A16" s="139">
        <v>8.0</v>
      </c>
      <c r="B16" s="108"/>
      <c r="C16" s="59"/>
      <c r="D16" s="59"/>
      <c r="E16" s="113"/>
      <c r="F16" s="66"/>
      <c r="G16" s="52"/>
      <c r="H16" s="113" t="s">
        <v>236</v>
      </c>
      <c r="I16" s="54" t="s">
        <v>59</v>
      </c>
      <c r="J16" s="28">
        <f>SUMIF($E$8:$E$47,2.8,$D$8:$D$47)</f>
        <v>0</v>
      </c>
      <c r="K16" s="13"/>
      <c r="L16" s="129" t="s">
        <v>322</v>
      </c>
      <c r="M16" s="130">
        <v>46027.0</v>
      </c>
      <c r="N16" s="138"/>
      <c r="O16" s="138">
        <v>1.102E7</v>
      </c>
      <c r="P16" s="133" t="s">
        <v>323</v>
      </c>
    </row>
    <row r="17" ht="18.75" customHeight="1">
      <c r="A17" s="134">
        <v>9.0</v>
      </c>
      <c r="B17" s="108"/>
      <c r="C17" s="59"/>
      <c r="D17" s="59"/>
      <c r="E17" s="114"/>
      <c r="F17" s="66"/>
      <c r="G17" s="52"/>
      <c r="H17" s="113" t="s">
        <v>238</v>
      </c>
      <c r="I17" s="54" t="s">
        <v>62</v>
      </c>
      <c r="J17" s="28">
        <f>SUMIF($E$8:$E$47,2.9,$D$8:$D$47)</f>
        <v>0</v>
      </c>
      <c r="K17" s="13"/>
      <c r="L17" s="137"/>
      <c r="M17" s="130">
        <v>46027.0</v>
      </c>
      <c r="N17" s="138"/>
      <c r="O17" s="138">
        <v>1.26E7</v>
      </c>
      <c r="P17" s="133" t="s">
        <v>324</v>
      </c>
    </row>
    <row r="18" ht="18.75" customHeight="1">
      <c r="A18" s="139">
        <v>10.0</v>
      </c>
      <c r="B18" s="108"/>
      <c r="C18" s="101"/>
      <c r="D18" s="135"/>
      <c r="E18" s="110"/>
      <c r="F18" s="136"/>
      <c r="G18" s="52"/>
      <c r="H18" s="113" t="s">
        <v>240</v>
      </c>
      <c r="I18" s="54" t="s">
        <v>64</v>
      </c>
      <c r="J18" s="28">
        <f>SUMIF($E$8:$E$47,2.11,$D$8:$D$47)</f>
        <v>0</v>
      </c>
      <c r="K18" s="13"/>
      <c r="L18" s="137"/>
      <c r="M18" s="130">
        <v>46027.0</v>
      </c>
      <c r="N18" s="138"/>
      <c r="O18" s="138">
        <v>5.7E7</v>
      </c>
      <c r="P18" s="133" t="s">
        <v>325</v>
      </c>
    </row>
    <row r="19" ht="18.75" customHeight="1">
      <c r="A19" s="134">
        <v>11.0</v>
      </c>
      <c r="B19" s="108"/>
      <c r="C19" s="60"/>
      <c r="D19" s="135"/>
      <c r="E19" s="110"/>
      <c r="F19" s="136"/>
      <c r="G19" s="52"/>
      <c r="H19" s="113" t="s">
        <v>241</v>
      </c>
      <c r="I19" s="54" t="s">
        <v>67</v>
      </c>
      <c r="J19" s="28">
        <f>SUMIF($E$8:$E$47,2.12,$D$8:$D$47)</f>
        <v>0</v>
      </c>
      <c r="K19" s="13"/>
      <c r="L19" s="137"/>
      <c r="M19" s="130">
        <v>46027.0</v>
      </c>
      <c r="N19" s="138"/>
      <c r="O19" s="138">
        <v>1.5998122E7</v>
      </c>
      <c r="P19" s="133" t="s">
        <v>321</v>
      </c>
    </row>
    <row r="20" ht="18.75" customHeight="1">
      <c r="A20" s="139"/>
      <c r="B20" s="108"/>
      <c r="C20" s="60"/>
      <c r="D20" s="135"/>
      <c r="E20" s="110"/>
      <c r="F20" s="145"/>
      <c r="G20" s="52"/>
      <c r="H20" s="115"/>
      <c r="I20" s="64"/>
      <c r="J20" s="65"/>
      <c r="K20" s="13"/>
      <c r="L20" s="137"/>
      <c r="M20" s="130">
        <v>46027.0</v>
      </c>
      <c r="N20" s="138">
        <v>5.757E7</v>
      </c>
      <c r="O20" s="138"/>
      <c r="P20" s="133" t="s">
        <v>308</v>
      </c>
    </row>
    <row r="21" ht="18.75" customHeight="1">
      <c r="A21" s="139"/>
      <c r="B21" s="108"/>
      <c r="C21" s="60"/>
      <c r="D21" s="135"/>
      <c r="E21" s="110"/>
      <c r="F21" s="145"/>
      <c r="G21" s="52"/>
      <c r="H21" s="115"/>
      <c r="I21" s="64"/>
      <c r="J21" s="65"/>
      <c r="K21" s="13"/>
      <c r="L21" s="137"/>
      <c r="M21" s="130">
        <v>46027.0</v>
      </c>
      <c r="N21" s="138">
        <v>2.5E7</v>
      </c>
      <c r="O21" s="138"/>
      <c r="P21" s="133" t="s">
        <v>305</v>
      </c>
    </row>
    <row r="22" ht="18.75" customHeight="1">
      <c r="A22" s="139"/>
      <c r="B22" s="108"/>
      <c r="C22" s="60"/>
      <c r="D22" s="135"/>
      <c r="E22" s="110"/>
      <c r="F22" s="145"/>
      <c r="G22" s="52"/>
      <c r="H22" s="115"/>
      <c r="I22" s="64"/>
      <c r="J22" s="65"/>
      <c r="K22" s="13"/>
      <c r="L22" s="137"/>
      <c r="M22" s="130">
        <v>46031.0</v>
      </c>
      <c r="N22" s="138">
        <v>3.2628448E7</v>
      </c>
      <c r="O22" s="138"/>
      <c r="P22" s="133" t="s">
        <v>319</v>
      </c>
    </row>
    <row r="23" ht="18.75" customHeight="1">
      <c r="A23" s="139"/>
      <c r="B23" s="108"/>
      <c r="C23" s="60"/>
      <c r="D23" s="135"/>
      <c r="E23" s="110"/>
      <c r="F23" s="145"/>
      <c r="G23" s="52"/>
      <c r="H23" s="115"/>
      <c r="I23" s="64"/>
      <c r="J23" s="65"/>
      <c r="K23" s="13"/>
      <c r="L23" s="137"/>
      <c r="M23" s="130">
        <v>46027.0</v>
      </c>
      <c r="N23" s="138"/>
      <c r="O23" s="138"/>
      <c r="P23" s="133" t="s">
        <v>326</v>
      </c>
    </row>
    <row r="24" ht="18.75" customHeight="1">
      <c r="A24" s="139"/>
      <c r="B24" s="108"/>
      <c r="C24" s="60"/>
      <c r="D24" s="135"/>
      <c r="E24" s="110"/>
      <c r="F24" s="145"/>
      <c r="G24" s="52"/>
      <c r="H24" s="115"/>
      <c r="I24" s="64"/>
      <c r="J24" s="65"/>
      <c r="K24" s="13"/>
      <c r="L24" s="137"/>
      <c r="M24" s="130">
        <v>46027.0</v>
      </c>
      <c r="N24" s="138"/>
      <c r="O24" s="138">
        <v>1.0575E8</v>
      </c>
      <c r="P24" s="133" t="s">
        <v>327</v>
      </c>
    </row>
    <row r="25" ht="18.75" customHeight="1">
      <c r="A25" s="139">
        <v>12.0</v>
      </c>
      <c r="B25" s="108"/>
      <c r="C25" s="60"/>
      <c r="D25" s="135"/>
      <c r="E25" s="110"/>
      <c r="F25" s="145"/>
      <c r="G25" s="52"/>
      <c r="H25" s="146" t="s">
        <v>242</v>
      </c>
      <c r="I25" s="64" t="s">
        <v>70</v>
      </c>
      <c r="J25" s="65">
        <f>J3-J7</f>
        <v>0</v>
      </c>
      <c r="K25" s="13"/>
      <c r="L25" s="141" t="s">
        <v>272</v>
      </c>
      <c r="M25" s="142"/>
      <c r="N25" s="143">
        <f t="shared" ref="N25:O25" si="3">SUM(N16:N24)</f>
        <v>115198448</v>
      </c>
      <c r="O25" s="143">
        <f t="shared" si="3"/>
        <v>202368122</v>
      </c>
      <c r="P25" s="144"/>
    </row>
    <row r="26" ht="18.75" customHeight="1">
      <c r="A26" s="134">
        <v>13.0</v>
      </c>
      <c r="B26" s="108"/>
      <c r="C26" s="60"/>
      <c r="D26" s="59"/>
      <c r="E26" s="110"/>
      <c r="F26" s="111"/>
      <c r="G26" s="13"/>
      <c r="K26" s="13"/>
      <c r="L26" s="129" t="s">
        <v>328</v>
      </c>
      <c r="M26" s="130">
        <v>46034.0</v>
      </c>
      <c r="N26" s="131"/>
      <c r="O26" s="138">
        <v>2420213.0</v>
      </c>
      <c r="P26" s="133" t="s">
        <v>329</v>
      </c>
    </row>
    <row r="27" ht="18.75" customHeight="1">
      <c r="A27" s="139">
        <v>14.0</v>
      </c>
      <c r="B27" s="108"/>
      <c r="C27" s="60"/>
      <c r="D27" s="59"/>
      <c r="E27" s="110"/>
      <c r="F27" s="147"/>
      <c r="G27" s="13"/>
      <c r="H27" s="103" t="s">
        <v>73</v>
      </c>
      <c r="I27" s="15"/>
      <c r="J27" s="16"/>
      <c r="K27" s="13"/>
      <c r="L27" s="137"/>
      <c r="M27" s="130">
        <v>46034.0</v>
      </c>
      <c r="N27" s="138"/>
      <c r="O27" s="138">
        <v>9.325E7</v>
      </c>
      <c r="P27" s="133" t="s">
        <v>307</v>
      </c>
    </row>
    <row r="28" ht="18.75" customHeight="1">
      <c r="A28" s="134">
        <v>15.0</v>
      </c>
      <c r="B28" s="108"/>
      <c r="C28" s="60"/>
      <c r="D28" s="59"/>
      <c r="E28" s="110"/>
      <c r="F28" s="136"/>
      <c r="G28" s="13"/>
      <c r="H28" s="117"/>
      <c r="I28" s="64" t="s">
        <v>26</v>
      </c>
      <c r="J28" s="53" t="s">
        <v>27</v>
      </c>
      <c r="K28" s="13"/>
      <c r="L28" s="137"/>
      <c r="M28" s="130">
        <v>46038.0</v>
      </c>
      <c r="N28" s="138"/>
      <c r="O28" s="138">
        <v>1.15E7</v>
      </c>
      <c r="P28" s="133" t="s">
        <v>330</v>
      </c>
    </row>
    <row r="29" ht="18.75" customHeight="1">
      <c r="A29" s="139">
        <v>16.0</v>
      </c>
      <c r="B29" s="108"/>
      <c r="C29" s="59"/>
      <c r="D29" s="59"/>
      <c r="E29" s="110"/>
      <c r="F29" s="136"/>
      <c r="G29" s="13"/>
      <c r="H29" s="118" t="s">
        <v>76</v>
      </c>
      <c r="I29" s="64" t="s">
        <v>77</v>
      </c>
      <c r="J29" s="67">
        <v>0.0</v>
      </c>
      <c r="K29" s="13"/>
      <c r="L29" s="137"/>
      <c r="M29" s="130">
        <v>46034.0</v>
      </c>
      <c r="N29" s="138">
        <v>5.757E7</v>
      </c>
      <c r="O29" s="138"/>
      <c r="P29" s="133" t="s">
        <v>308</v>
      </c>
    </row>
    <row r="30" ht="18.75" customHeight="1">
      <c r="A30" s="134">
        <v>17.0</v>
      </c>
      <c r="B30" s="108"/>
      <c r="C30" s="59"/>
      <c r="D30" s="59"/>
      <c r="E30" s="110"/>
      <c r="F30" s="136"/>
      <c r="G30" s="13"/>
      <c r="H30" s="118" t="s">
        <v>78</v>
      </c>
      <c r="I30" s="64" t="s">
        <v>79</v>
      </c>
      <c r="J30" s="69">
        <f>SUM(J31:J33)</f>
        <v>0</v>
      </c>
      <c r="K30" s="13"/>
      <c r="L30" s="137"/>
      <c r="M30" s="130">
        <v>46034.0</v>
      </c>
      <c r="N30" s="138">
        <v>3.2628448E7</v>
      </c>
      <c r="O30" s="138"/>
      <c r="P30" s="133" t="s">
        <v>319</v>
      </c>
    </row>
    <row r="31" ht="18.75" customHeight="1">
      <c r="A31" s="139">
        <v>18.0</v>
      </c>
      <c r="B31" s="108"/>
      <c r="C31" s="59"/>
      <c r="D31" s="135"/>
      <c r="E31" s="110"/>
      <c r="F31" s="136"/>
      <c r="G31" s="52"/>
      <c r="H31" s="117"/>
      <c r="I31" s="54" t="s">
        <v>80</v>
      </c>
      <c r="J31" s="69">
        <f>J3</f>
        <v>0</v>
      </c>
      <c r="K31" s="13"/>
      <c r="L31" s="141" t="s">
        <v>272</v>
      </c>
      <c r="M31" s="142"/>
      <c r="N31" s="143">
        <f t="shared" ref="N31:O31" si="4">SUM(N26:N30)</f>
        <v>90198448</v>
      </c>
      <c r="O31" s="143">
        <f t="shared" si="4"/>
        <v>107170213</v>
      </c>
      <c r="P31" s="144"/>
    </row>
    <row r="32" ht="18.75" customHeight="1">
      <c r="A32" s="134">
        <v>19.0</v>
      </c>
      <c r="B32" s="108"/>
      <c r="C32" s="59"/>
      <c r="D32" s="135"/>
      <c r="E32" s="110"/>
      <c r="F32" s="136"/>
      <c r="G32" s="52"/>
      <c r="H32" s="117"/>
      <c r="I32" s="54" t="s">
        <v>81</v>
      </c>
      <c r="J32" s="64"/>
      <c r="K32" s="13"/>
      <c r="L32" s="129" t="s">
        <v>331</v>
      </c>
      <c r="M32" s="130">
        <v>46041.0</v>
      </c>
      <c r="N32" s="131"/>
      <c r="O32" s="138">
        <v>2420213.0</v>
      </c>
      <c r="P32" s="133" t="s">
        <v>329</v>
      </c>
    </row>
    <row r="33" ht="18.75" customHeight="1">
      <c r="A33" s="139">
        <v>20.0</v>
      </c>
      <c r="B33" s="108"/>
      <c r="C33" s="59"/>
      <c r="D33" s="59"/>
      <c r="E33" s="110"/>
      <c r="F33" s="136"/>
      <c r="G33" s="52"/>
      <c r="H33" s="117"/>
      <c r="I33" s="54" t="s">
        <v>82</v>
      </c>
      <c r="J33" s="64"/>
      <c r="K33" s="13"/>
      <c r="L33" s="137"/>
      <c r="M33" s="130">
        <v>46041.0</v>
      </c>
      <c r="N33" s="138"/>
      <c r="O33" s="138">
        <v>9.95E7</v>
      </c>
      <c r="P33" s="133" t="s">
        <v>307</v>
      </c>
    </row>
    <row r="34" ht="18.75" customHeight="1">
      <c r="A34" s="134">
        <v>21.0</v>
      </c>
      <c r="B34" s="108"/>
      <c r="C34" s="59"/>
      <c r="D34" s="59"/>
      <c r="E34" s="110"/>
      <c r="F34" s="136"/>
      <c r="G34" s="52"/>
      <c r="H34" s="118" t="s">
        <v>83</v>
      </c>
      <c r="I34" s="64" t="s">
        <v>84</v>
      </c>
      <c r="J34" s="69">
        <f>SUM(J35:J46)</f>
        <v>0</v>
      </c>
      <c r="K34" s="13"/>
      <c r="L34" s="137"/>
      <c r="M34" s="130">
        <v>46041.0</v>
      </c>
      <c r="N34" s="138"/>
      <c r="O34" s="138">
        <v>1.15E7</v>
      </c>
      <c r="P34" s="133" t="s">
        <v>330</v>
      </c>
    </row>
    <row r="35" ht="18.75" customHeight="1">
      <c r="A35" s="139">
        <v>22.0</v>
      </c>
      <c r="B35" s="108"/>
      <c r="C35" s="59"/>
      <c r="D35" s="135"/>
      <c r="E35" s="110"/>
      <c r="F35" s="136"/>
      <c r="G35" s="52"/>
      <c r="H35" s="113" t="s">
        <v>223</v>
      </c>
      <c r="I35" s="54" t="s">
        <v>42</v>
      </c>
      <c r="J35" s="69">
        <f>J8</f>
        <v>0</v>
      </c>
      <c r="K35" s="13"/>
      <c r="L35" s="137"/>
      <c r="M35" s="130">
        <v>46041.0</v>
      </c>
      <c r="N35" s="138">
        <v>5.757E7</v>
      </c>
      <c r="O35" s="138"/>
      <c r="P35" s="133" t="s">
        <v>308</v>
      </c>
    </row>
    <row r="36" ht="18.75" customHeight="1">
      <c r="A36" s="134">
        <v>23.0</v>
      </c>
      <c r="B36" s="108"/>
      <c r="C36" s="60"/>
      <c r="D36" s="59"/>
      <c r="E36" s="110"/>
      <c r="F36" s="136"/>
      <c r="G36" s="52"/>
      <c r="H36" s="107" t="s">
        <v>219</v>
      </c>
      <c r="I36" s="54" t="s">
        <v>85</v>
      </c>
      <c r="J36" s="67"/>
      <c r="K36" s="13"/>
      <c r="L36" s="137"/>
      <c r="M36" s="130">
        <v>46041.0</v>
      </c>
      <c r="N36" s="138">
        <v>3.2628448E7</v>
      </c>
      <c r="O36" s="138"/>
      <c r="P36" s="133" t="s">
        <v>319</v>
      </c>
    </row>
    <row r="37" ht="18.75" customHeight="1">
      <c r="A37" s="139">
        <v>24.0</v>
      </c>
      <c r="B37" s="108"/>
      <c r="C37" s="60"/>
      <c r="D37" s="59"/>
      <c r="E37" s="110"/>
      <c r="F37" s="136"/>
      <c r="G37" s="52"/>
      <c r="H37" s="113" t="s">
        <v>224</v>
      </c>
      <c r="I37" s="54" t="s">
        <v>45</v>
      </c>
      <c r="J37" s="69">
        <f t="shared" ref="J37:J40" si="6">J9</f>
        <v>0</v>
      </c>
      <c r="K37" s="13"/>
      <c r="L37" s="141" t="s">
        <v>272</v>
      </c>
      <c r="M37" s="142"/>
      <c r="N37" s="143">
        <f t="shared" ref="N37:O37" si="5">SUM(N32:N36)</f>
        <v>90198448</v>
      </c>
      <c r="O37" s="143">
        <f t="shared" si="5"/>
        <v>113420213</v>
      </c>
      <c r="P37" s="144"/>
    </row>
    <row r="38" ht="18.75" customHeight="1">
      <c r="A38" s="134">
        <v>25.0</v>
      </c>
      <c r="B38" s="108"/>
      <c r="C38" s="60"/>
      <c r="D38" s="135"/>
      <c r="E38" s="110"/>
      <c r="F38" s="136"/>
      <c r="G38" s="52"/>
      <c r="H38" s="113" t="s">
        <v>227</v>
      </c>
      <c r="I38" s="54" t="s">
        <v>48</v>
      </c>
      <c r="J38" s="69">
        <f t="shared" si="6"/>
        <v>0</v>
      </c>
      <c r="K38" s="13"/>
      <c r="L38" s="129" t="s">
        <v>332</v>
      </c>
      <c r="M38" s="130">
        <v>46048.0</v>
      </c>
      <c r="N38" s="138"/>
      <c r="O38" s="138">
        <v>9.6166667E7</v>
      </c>
      <c r="P38" s="133" t="s">
        <v>307</v>
      </c>
    </row>
    <row r="39" ht="18.75" customHeight="1">
      <c r="A39" s="139">
        <v>26.0</v>
      </c>
      <c r="B39" s="108"/>
      <c r="C39" s="60"/>
      <c r="D39" s="135"/>
      <c r="E39" s="110"/>
      <c r="F39" s="136"/>
      <c r="G39" s="52"/>
      <c r="H39" s="113" t="s">
        <v>229</v>
      </c>
      <c r="I39" s="54" t="s">
        <v>51</v>
      </c>
      <c r="J39" s="69">
        <f t="shared" si="6"/>
        <v>0</v>
      </c>
      <c r="K39" s="13"/>
      <c r="L39" s="137"/>
      <c r="M39" s="130">
        <v>46048.0</v>
      </c>
      <c r="N39" s="138"/>
      <c r="O39" s="138">
        <v>1.15E7</v>
      </c>
      <c r="P39" s="133" t="s">
        <v>330</v>
      </c>
    </row>
    <row r="40" ht="18.75" customHeight="1">
      <c r="A40" s="134">
        <v>27.0</v>
      </c>
      <c r="B40" s="108"/>
      <c r="C40" s="60"/>
      <c r="D40" s="135"/>
      <c r="E40" s="110"/>
      <c r="F40" s="136"/>
      <c r="G40" s="52"/>
      <c r="H40" s="113" t="s">
        <v>231</v>
      </c>
      <c r="I40" s="54" t="s">
        <v>53</v>
      </c>
      <c r="J40" s="69">
        <f t="shared" si="6"/>
        <v>0</v>
      </c>
      <c r="K40" s="13"/>
      <c r="L40" s="137"/>
      <c r="M40" s="130">
        <v>46048.0</v>
      </c>
      <c r="N40" s="138">
        <v>3.2628448E7</v>
      </c>
      <c r="O40" s="138"/>
      <c r="P40" s="133" t="s">
        <v>319</v>
      </c>
    </row>
    <row r="41" ht="18.75" customHeight="1">
      <c r="A41" s="50"/>
      <c r="B41" s="97"/>
      <c r="C41" s="60"/>
      <c r="D41" s="59"/>
      <c r="E41" s="114"/>
      <c r="F41" s="61"/>
      <c r="G41" s="52"/>
      <c r="H41" s="113" t="s">
        <v>233</v>
      </c>
      <c r="I41" s="54" t="s">
        <v>55</v>
      </c>
      <c r="J41" s="69">
        <f t="shared" ref="J41:J46" si="7">J14</f>
        <v>0</v>
      </c>
      <c r="K41" s="13"/>
      <c r="L41" s="137"/>
      <c r="M41" s="130">
        <v>46052.0</v>
      </c>
      <c r="N41" s="138"/>
      <c r="O41" s="138">
        <f>6000000*32%*3</f>
        <v>5760000</v>
      </c>
      <c r="P41" s="133" t="s">
        <v>62</v>
      </c>
    </row>
    <row r="42" ht="18.75" customHeight="1">
      <c r="A42" s="50"/>
      <c r="B42" s="97"/>
      <c r="C42" s="60"/>
      <c r="D42" s="59"/>
      <c r="E42" s="114"/>
      <c r="F42" s="61"/>
      <c r="G42" s="52"/>
      <c r="H42" s="113" t="s">
        <v>235</v>
      </c>
      <c r="I42" s="54" t="s">
        <v>57</v>
      </c>
      <c r="J42" s="69">
        <f t="shared" si="7"/>
        <v>0</v>
      </c>
      <c r="K42" s="13"/>
      <c r="L42" s="137"/>
      <c r="M42" s="130">
        <v>46053.0</v>
      </c>
      <c r="N42" s="138"/>
      <c r="O42" s="138">
        <v>3.0294859E7</v>
      </c>
      <c r="P42" s="133" t="s">
        <v>333</v>
      </c>
    </row>
    <row r="43" ht="18.75" customHeight="1">
      <c r="A43" s="50"/>
      <c r="B43" s="97"/>
      <c r="C43" s="60"/>
      <c r="D43" s="59"/>
      <c r="E43" s="114"/>
      <c r="F43" s="61"/>
      <c r="G43" s="52"/>
      <c r="H43" s="113" t="s">
        <v>236</v>
      </c>
      <c r="I43" s="54" t="s">
        <v>59</v>
      </c>
      <c r="J43" s="69">
        <f t="shared" si="7"/>
        <v>0</v>
      </c>
      <c r="K43" s="13"/>
      <c r="L43" s="141" t="s">
        <v>272</v>
      </c>
      <c r="M43" s="142"/>
      <c r="N43" s="143">
        <f>SUM(N38:N41)</f>
        <v>32628448</v>
      </c>
      <c r="O43" s="143">
        <f>SUM(O38:O42)</f>
        <v>143721526</v>
      </c>
      <c r="P43" s="144"/>
    </row>
    <row r="44" ht="18.75" customHeight="1">
      <c r="A44" s="50"/>
      <c r="B44" s="97"/>
      <c r="C44" s="60"/>
      <c r="D44" s="59"/>
      <c r="E44" s="114"/>
      <c r="F44" s="61"/>
      <c r="G44" s="52"/>
      <c r="H44" s="113" t="s">
        <v>238</v>
      </c>
      <c r="I44" s="54" t="s">
        <v>62</v>
      </c>
      <c r="J44" s="69">
        <f t="shared" si="7"/>
        <v>0</v>
      </c>
      <c r="K44" s="13"/>
    </row>
    <row r="45" ht="18.75" customHeight="1">
      <c r="A45" s="50"/>
      <c r="B45" s="97"/>
      <c r="C45" s="60"/>
      <c r="D45" s="59"/>
      <c r="E45" s="114"/>
      <c r="F45" s="61"/>
      <c r="G45" s="52"/>
      <c r="H45" s="113" t="s">
        <v>240</v>
      </c>
      <c r="I45" s="54" t="s">
        <v>64</v>
      </c>
      <c r="J45" s="69">
        <f t="shared" si="7"/>
        <v>0</v>
      </c>
      <c r="K45" s="13"/>
    </row>
    <row r="46" ht="18.75" customHeight="1">
      <c r="A46" s="50"/>
      <c r="B46" s="97"/>
      <c r="C46" s="60"/>
      <c r="D46" s="59"/>
      <c r="E46" s="114"/>
      <c r="F46" s="61"/>
      <c r="G46" s="52"/>
      <c r="H46" s="113" t="s">
        <v>241</v>
      </c>
      <c r="I46" s="54" t="s">
        <v>86</v>
      </c>
      <c r="J46" s="69">
        <f t="shared" si="7"/>
        <v>0</v>
      </c>
      <c r="K46" s="13"/>
    </row>
    <row r="47" ht="18.75" customHeight="1">
      <c r="A47" s="50"/>
      <c r="B47" s="76"/>
      <c r="C47" s="60"/>
      <c r="D47" s="60"/>
      <c r="E47" s="120"/>
      <c r="F47" s="54"/>
      <c r="G47" s="52"/>
      <c r="H47" s="118" t="s">
        <v>87</v>
      </c>
      <c r="I47" s="64" t="s">
        <v>5</v>
      </c>
      <c r="J47" s="28">
        <f>J29+J30-J34</f>
        <v>0</v>
      </c>
      <c r="K47" s="13"/>
    </row>
    <row r="48" ht="18.75" customHeight="1">
      <c r="A48" s="77"/>
      <c r="B48" s="87"/>
      <c r="C48" s="77"/>
      <c r="D48" s="77"/>
      <c r="E48" s="122"/>
      <c r="F48" s="77"/>
      <c r="G48" s="13"/>
      <c r="K48" s="13"/>
    </row>
    <row r="49" ht="18.75" customHeight="1">
      <c r="A49" s="77"/>
      <c r="B49" s="87"/>
      <c r="C49" s="77"/>
      <c r="D49" s="77"/>
      <c r="E49" s="122"/>
      <c r="F49" s="77"/>
      <c r="G49" s="13"/>
      <c r="H49" s="119" t="s">
        <v>88</v>
      </c>
      <c r="I49" s="71"/>
      <c r="J49" s="71"/>
      <c r="K49" s="24"/>
    </row>
    <row r="50" ht="18.75" customHeight="1">
      <c r="A50" s="77"/>
      <c r="B50" s="87"/>
      <c r="C50" s="77"/>
      <c r="D50" s="77"/>
      <c r="E50" s="122"/>
      <c r="F50" s="77"/>
      <c r="G50" s="52"/>
      <c r="H50" s="118" t="s">
        <v>25</v>
      </c>
      <c r="I50" s="64" t="s">
        <v>26</v>
      </c>
      <c r="J50" s="53" t="s">
        <v>27</v>
      </c>
      <c r="K50" s="72" t="s">
        <v>89</v>
      </c>
    </row>
    <row r="51" ht="18.75" customHeight="1">
      <c r="A51" s="77"/>
      <c r="B51" s="87"/>
      <c r="C51" s="77"/>
      <c r="D51" s="77"/>
      <c r="E51" s="122"/>
      <c r="F51" s="77"/>
      <c r="G51" s="52"/>
      <c r="H51" s="118" t="s">
        <v>76</v>
      </c>
      <c r="I51" s="64" t="s">
        <v>77</v>
      </c>
      <c r="J51" s="69">
        <f>J47</f>
        <v>0</v>
      </c>
      <c r="K51" s="73"/>
    </row>
    <row r="52" ht="18.75" customHeight="1">
      <c r="A52" s="77"/>
      <c r="B52" s="87"/>
      <c r="C52" s="77"/>
      <c r="D52" s="77"/>
      <c r="E52" s="122"/>
      <c r="F52" s="77"/>
      <c r="G52" s="52"/>
      <c r="H52" s="118" t="s">
        <v>78</v>
      </c>
      <c r="I52" s="64" t="s">
        <v>79</v>
      </c>
      <c r="J52" s="69">
        <f>SUM(J53:J59)</f>
        <v>0</v>
      </c>
      <c r="K52" s="73"/>
    </row>
    <row r="53" ht="18.75" customHeight="1">
      <c r="A53" s="77"/>
      <c r="B53" s="87"/>
      <c r="C53" s="77"/>
      <c r="D53" s="77"/>
      <c r="E53" s="122"/>
      <c r="F53" s="77"/>
      <c r="G53" s="52"/>
      <c r="H53" s="117"/>
      <c r="I53" s="66"/>
      <c r="J53" s="121"/>
      <c r="K53" s="73"/>
    </row>
    <row r="54" ht="18.75" customHeight="1">
      <c r="A54" s="77"/>
      <c r="B54" s="87"/>
      <c r="C54" s="77"/>
      <c r="D54" s="77"/>
      <c r="E54" s="122"/>
      <c r="F54" s="77"/>
      <c r="G54" s="52"/>
      <c r="H54" s="117"/>
      <c r="I54" s="66"/>
      <c r="J54" s="121"/>
      <c r="K54" s="73"/>
    </row>
    <row r="55" ht="18.75" customHeight="1">
      <c r="A55" s="77"/>
      <c r="B55" s="87"/>
      <c r="C55" s="77"/>
      <c r="D55" s="77"/>
      <c r="E55" s="122"/>
      <c r="F55" s="77"/>
      <c r="G55" s="52"/>
      <c r="H55" s="117"/>
      <c r="I55" s="66"/>
      <c r="J55" s="121"/>
      <c r="K55" s="73"/>
    </row>
    <row r="56" ht="18.75" customHeight="1">
      <c r="A56" s="77"/>
      <c r="B56" s="87"/>
      <c r="C56" s="77"/>
      <c r="D56" s="77"/>
      <c r="E56" s="122"/>
      <c r="F56" s="77"/>
      <c r="G56" s="52"/>
      <c r="H56" s="117"/>
      <c r="I56" s="54"/>
      <c r="J56" s="74"/>
      <c r="K56" s="73"/>
    </row>
    <row r="57" ht="18.75" customHeight="1">
      <c r="A57" s="77"/>
      <c r="B57" s="87"/>
      <c r="C57" s="77"/>
      <c r="D57" s="77"/>
      <c r="E57" s="122"/>
      <c r="F57" s="77"/>
      <c r="G57" s="52"/>
      <c r="H57" s="117"/>
      <c r="I57" s="54"/>
      <c r="J57" s="64"/>
      <c r="K57" s="73"/>
    </row>
    <row r="58" ht="18.75" customHeight="1">
      <c r="A58" s="77"/>
      <c r="B58" s="87"/>
      <c r="C58" s="77"/>
      <c r="D58" s="77"/>
      <c r="E58" s="122"/>
      <c r="F58" s="77"/>
      <c r="G58" s="52"/>
      <c r="H58" s="117"/>
      <c r="I58" s="54"/>
      <c r="J58" s="64"/>
      <c r="K58" s="73"/>
    </row>
    <row r="59" ht="18.75" customHeight="1">
      <c r="A59" s="77"/>
      <c r="B59" s="87"/>
      <c r="C59" s="77"/>
      <c r="D59" s="77"/>
      <c r="E59" s="122"/>
      <c r="F59" s="77"/>
      <c r="G59" s="52"/>
      <c r="H59" s="117"/>
      <c r="I59" s="54"/>
      <c r="J59" s="64"/>
      <c r="K59" s="73"/>
    </row>
    <row r="60" ht="18.75" customHeight="1">
      <c r="A60" s="77"/>
      <c r="B60" s="87"/>
      <c r="C60" s="77"/>
      <c r="D60" s="77"/>
      <c r="E60" s="122"/>
      <c r="F60" s="77"/>
      <c r="G60" s="52"/>
      <c r="H60" s="118" t="s">
        <v>83</v>
      </c>
      <c r="I60" s="64" t="s">
        <v>84</v>
      </c>
      <c r="J60" s="74">
        <f>SUM(J61:J70)</f>
        <v>0</v>
      </c>
      <c r="K60" s="73"/>
    </row>
    <row r="61" ht="18.75" customHeight="1">
      <c r="A61" s="77"/>
      <c r="B61" s="87"/>
      <c r="C61" s="77"/>
      <c r="D61" s="77"/>
      <c r="E61" s="122"/>
      <c r="F61" s="77"/>
      <c r="G61" s="52"/>
      <c r="H61" s="117"/>
      <c r="I61" s="66"/>
      <c r="J61" s="74"/>
      <c r="K61" s="97"/>
    </row>
    <row r="62" ht="18.75" customHeight="1">
      <c r="A62" s="77"/>
      <c r="B62" s="87"/>
      <c r="C62" s="77"/>
      <c r="D62" s="77"/>
      <c r="E62" s="122"/>
      <c r="F62" s="77"/>
      <c r="G62" s="52"/>
      <c r="H62" s="117"/>
      <c r="I62" s="66"/>
      <c r="J62" s="121"/>
      <c r="K62" s="97"/>
    </row>
    <row r="63" ht="18.75" customHeight="1">
      <c r="A63" s="77"/>
      <c r="B63" s="87"/>
      <c r="C63" s="77"/>
      <c r="D63" s="77"/>
      <c r="E63" s="122"/>
      <c r="F63" s="77"/>
      <c r="G63" s="52"/>
      <c r="H63" s="117"/>
      <c r="I63" s="66"/>
      <c r="J63" s="74"/>
      <c r="K63" s="76"/>
    </row>
    <row r="64" ht="18.75" customHeight="1">
      <c r="A64" s="77"/>
      <c r="B64" s="87"/>
      <c r="C64" s="77"/>
      <c r="D64" s="77"/>
      <c r="E64" s="122"/>
      <c r="F64" s="77"/>
      <c r="G64" s="52"/>
      <c r="H64" s="117"/>
      <c r="I64" s="66"/>
      <c r="J64" s="121"/>
      <c r="K64" s="97"/>
    </row>
    <row r="65" ht="18.75" customHeight="1">
      <c r="A65" s="77"/>
      <c r="B65" s="87"/>
      <c r="C65" s="77"/>
      <c r="D65" s="77"/>
      <c r="E65" s="122"/>
      <c r="F65" s="77"/>
      <c r="G65" s="52"/>
      <c r="H65" s="117"/>
      <c r="I65" s="66"/>
      <c r="J65" s="121"/>
      <c r="K65" s="97"/>
    </row>
    <row r="66" ht="18.75" customHeight="1">
      <c r="A66" s="77"/>
      <c r="B66" s="87"/>
      <c r="C66" s="77"/>
      <c r="D66" s="77"/>
      <c r="E66" s="122"/>
      <c r="F66" s="77"/>
      <c r="G66" s="52"/>
      <c r="H66" s="117"/>
      <c r="I66" s="66"/>
      <c r="J66" s="74"/>
      <c r="K66" s="73"/>
    </row>
    <row r="67" ht="18.75" customHeight="1">
      <c r="A67" s="77"/>
      <c r="B67" s="87"/>
      <c r="C67" s="77"/>
      <c r="D67" s="77"/>
      <c r="E67" s="122"/>
      <c r="F67" s="77"/>
      <c r="G67" s="52"/>
      <c r="H67" s="117"/>
      <c r="I67" s="54"/>
      <c r="J67" s="74"/>
      <c r="K67" s="73"/>
    </row>
    <row r="68" ht="18.75" customHeight="1">
      <c r="A68" s="77"/>
      <c r="B68" s="87"/>
      <c r="C68" s="77"/>
      <c r="D68" s="77"/>
      <c r="E68" s="122"/>
      <c r="F68" s="77"/>
      <c r="G68" s="52"/>
      <c r="H68" s="117"/>
      <c r="I68" s="54"/>
      <c r="J68" s="74"/>
      <c r="K68" s="73"/>
    </row>
    <row r="69" ht="18.75" customHeight="1">
      <c r="A69" s="77"/>
      <c r="B69" s="87"/>
      <c r="C69" s="77"/>
      <c r="D69" s="77"/>
      <c r="E69" s="122"/>
      <c r="F69" s="77"/>
      <c r="G69" s="52"/>
      <c r="H69" s="117"/>
      <c r="I69" s="54"/>
      <c r="J69" s="74"/>
      <c r="K69" s="73"/>
    </row>
    <row r="70" ht="18.75" customHeight="1">
      <c r="A70" s="77"/>
      <c r="B70" s="87"/>
      <c r="C70" s="77"/>
      <c r="D70" s="77"/>
      <c r="E70" s="122"/>
      <c r="F70" s="77"/>
      <c r="G70" s="52"/>
      <c r="H70" s="117"/>
      <c r="I70" s="54"/>
      <c r="J70" s="74"/>
      <c r="K70" s="73"/>
    </row>
    <row r="71" ht="18.75" customHeight="1">
      <c r="A71" s="77"/>
      <c r="B71" s="87"/>
      <c r="C71" s="77"/>
      <c r="D71" s="77"/>
      <c r="E71" s="122"/>
      <c r="F71" s="77"/>
      <c r="G71" s="52"/>
      <c r="H71" s="118" t="s">
        <v>87</v>
      </c>
      <c r="I71" s="64" t="s">
        <v>5</v>
      </c>
      <c r="J71" s="28">
        <f>J51+J52-J60</f>
        <v>0</v>
      </c>
      <c r="K71" s="73"/>
    </row>
    <row r="72" ht="18.75" customHeight="1">
      <c r="A72" s="77"/>
      <c r="B72" s="87"/>
      <c r="C72" s="77"/>
      <c r="D72" s="77"/>
      <c r="E72" s="122"/>
      <c r="F72" s="77"/>
      <c r="G72" s="77"/>
      <c r="H72" s="122"/>
      <c r="I72" s="77"/>
      <c r="J72" s="77"/>
      <c r="K72" s="77"/>
    </row>
    <row r="73" ht="18.75" customHeight="1">
      <c r="A73" s="77"/>
      <c r="B73" s="87"/>
      <c r="C73" s="77"/>
      <c r="D73" s="77"/>
      <c r="E73" s="122"/>
      <c r="F73" s="77"/>
      <c r="G73" s="77"/>
      <c r="H73" s="122"/>
      <c r="I73" s="77"/>
      <c r="J73" s="77"/>
      <c r="K73" s="77"/>
    </row>
    <row r="74" ht="18.75" customHeight="1">
      <c r="A74" s="77"/>
      <c r="B74" s="87"/>
      <c r="C74" s="77"/>
      <c r="D74" s="77"/>
      <c r="E74" s="122"/>
      <c r="F74" s="77"/>
      <c r="G74" s="77"/>
      <c r="H74" s="122"/>
      <c r="I74" s="77"/>
      <c r="J74" s="77"/>
      <c r="K74" s="77"/>
    </row>
    <row r="75" ht="18.75" customHeight="1">
      <c r="A75" s="77"/>
      <c r="B75" s="87"/>
      <c r="C75" s="77"/>
      <c r="D75" s="77"/>
      <c r="E75" s="122"/>
      <c r="F75" s="77"/>
      <c r="G75" s="77"/>
      <c r="H75" s="122"/>
      <c r="I75" s="77"/>
      <c r="J75" s="77"/>
      <c r="K75" s="77"/>
    </row>
    <row r="76" ht="18.75" customHeight="1">
      <c r="A76" s="77"/>
      <c r="B76" s="87"/>
      <c r="C76" s="77"/>
      <c r="D76" s="77"/>
      <c r="E76" s="122"/>
      <c r="F76" s="77"/>
      <c r="G76" s="77"/>
      <c r="H76" s="122"/>
      <c r="I76" s="77"/>
      <c r="J76" s="77"/>
      <c r="K76" s="77"/>
    </row>
    <row r="77" ht="18.75" customHeight="1">
      <c r="A77" s="77"/>
      <c r="B77" s="87"/>
      <c r="C77" s="77"/>
      <c r="D77" s="77"/>
      <c r="E77" s="122"/>
      <c r="F77" s="77"/>
      <c r="G77" s="77"/>
      <c r="H77" s="122"/>
      <c r="I77" s="77"/>
      <c r="J77" s="77"/>
      <c r="K77" s="77"/>
    </row>
    <row r="78" ht="18.75" customHeight="1">
      <c r="A78" s="77"/>
      <c r="B78" s="87"/>
      <c r="C78" s="77"/>
      <c r="D78" s="77"/>
      <c r="E78" s="122"/>
      <c r="F78" s="77"/>
      <c r="G78" s="77"/>
      <c r="H78" s="122"/>
      <c r="I78" s="77"/>
      <c r="J78" s="77"/>
      <c r="K78" s="77"/>
    </row>
    <row r="79" ht="18.75" customHeight="1">
      <c r="A79" s="77"/>
      <c r="B79" s="87"/>
      <c r="C79" s="77"/>
      <c r="D79" s="77"/>
      <c r="E79" s="122"/>
      <c r="F79" s="77"/>
      <c r="G79" s="77"/>
      <c r="H79" s="122"/>
      <c r="I79" s="77"/>
      <c r="J79" s="77"/>
      <c r="K79" s="77"/>
    </row>
    <row r="80" ht="18.75" customHeight="1">
      <c r="A80" s="77"/>
      <c r="B80" s="87"/>
      <c r="C80" s="77"/>
      <c r="D80" s="77"/>
      <c r="E80" s="122"/>
      <c r="F80" s="77"/>
      <c r="G80" s="77"/>
      <c r="H80" s="122"/>
      <c r="I80" s="77"/>
      <c r="J80" s="77"/>
      <c r="K80" s="77"/>
    </row>
    <row r="81" ht="18.75" customHeight="1">
      <c r="A81" s="77"/>
      <c r="B81" s="87"/>
      <c r="C81" s="77"/>
      <c r="D81" s="77"/>
      <c r="E81" s="122"/>
      <c r="F81" s="77"/>
      <c r="G81" s="77"/>
      <c r="H81" s="122"/>
      <c r="I81" s="77"/>
      <c r="J81" s="77"/>
      <c r="K81" s="77"/>
    </row>
    <row r="82" ht="18.75" customHeight="1">
      <c r="A82" s="77"/>
      <c r="B82" s="87"/>
      <c r="C82" s="77"/>
      <c r="D82" s="77"/>
      <c r="E82" s="122"/>
      <c r="F82" s="77"/>
      <c r="G82" s="77"/>
      <c r="H82" s="122"/>
      <c r="I82" s="77"/>
      <c r="J82" s="77"/>
      <c r="K82" s="77"/>
    </row>
    <row r="83" ht="18.75" customHeight="1">
      <c r="A83" s="77"/>
      <c r="B83" s="87"/>
      <c r="C83" s="77"/>
      <c r="D83" s="77"/>
      <c r="E83" s="122"/>
      <c r="F83" s="77"/>
      <c r="G83" s="77"/>
      <c r="H83" s="122"/>
      <c r="I83" s="77"/>
      <c r="J83" s="77"/>
      <c r="K83" s="77"/>
    </row>
    <row r="84" ht="18.75" customHeight="1">
      <c r="A84" s="77"/>
      <c r="B84" s="87"/>
      <c r="C84" s="77"/>
      <c r="D84" s="77"/>
      <c r="E84" s="122"/>
      <c r="F84" s="77"/>
      <c r="G84" s="77"/>
      <c r="H84" s="122"/>
      <c r="I84" s="77"/>
      <c r="J84" s="77"/>
      <c r="K84" s="77"/>
    </row>
    <row r="85" ht="18.75" customHeight="1">
      <c r="A85" s="77"/>
      <c r="B85" s="87"/>
      <c r="C85" s="77"/>
      <c r="D85" s="77"/>
      <c r="E85" s="122"/>
      <c r="F85" s="77"/>
      <c r="G85" s="77"/>
      <c r="H85" s="122"/>
      <c r="I85" s="77"/>
      <c r="J85" s="77"/>
      <c r="K85" s="77"/>
    </row>
    <row r="86" ht="18.75" customHeight="1">
      <c r="A86" s="77"/>
      <c r="B86" s="87"/>
      <c r="C86" s="77"/>
      <c r="D86" s="77"/>
      <c r="E86" s="122"/>
      <c r="F86" s="77"/>
      <c r="G86" s="77"/>
      <c r="H86" s="122"/>
      <c r="I86" s="77"/>
      <c r="J86" s="77"/>
      <c r="K86" s="77"/>
    </row>
    <row r="87" ht="18.75" customHeight="1">
      <c r="A87" s="77"/>
      <c r="B87" s="87"/>
      <c r="C87" s="77"/>
      <c r="D87" s="77"/>
      <c r="E87" s="122"/>
      <c r="F87" s="77"/>
      <c r="G87" s="77"/>
      <c r="H87" s="122"/>
      <c r="I87" s="77"/>
      <c r="J87" s="77"/>
      <c r="K87" s="77"/>
    </row>
    <row r="88" ht="18.75" customHeight="1">
      <c r="A88" s="77"/>
      <c r="B88" s="87"/>
      <c r="C88" s="77"/>
      <c r="D88" s="77"/>
      <c r="E88" s="122"/>
      <c r="F88" s="77"/>
      <c r="G88" s="77"/>
      <c r="H88" s="122"/>
      <c r="I88" s="77"/>
      <c r="J88" s="77"/>
      <c r="K88" s="77"/>
    </row>
    <row r="89" ht="18.75" customHeight="1">
      <c r="A89" s="77"/>
      <c r="B89" s="87"/>
      <c r="C89" s="77"/>
      <c r="D89" s="77"/>
      <c r="E89" s="122"/>
      <c r="F89" s="77"/>
      <c r="G89" s="77"/>
      <c r="H89" s="122"/>
      <c r="I89" s="77"/>
      <c r="J89" s="77"/>
      <c r="K89" s="77"/>
    </row>
    <row r="90" ht="18.75" customHeight="1">
      <c r="A90" s="77"/>
      <c r="B90" s="87"/>
      <c r="C90" s="77"/>
      <c r="D90" s="77"/>
      <c r="E90" s="122"/>
      <c r="F90" s="77"/>
      <c r="G90" s="77"/>
      <c r="H90" s="122"/>
      <c r="I90" s="77"/>
      <c r="J90" s="77"/>
      <c r="K90" s="77"/>
    </row>
    <row r="91" ht="18.75" customHeight="1">
      <c r="A91" s="77"/>
      <c r="B91" s="87"/>
      <c r="C91" s="77"/>
      <c r="D91" s="77"/>
      <c r="E91" s="122"/>
      <c r="F91" s="77"/>
      <c r="G91" s="77"/>
      <c r="H91" s="122"/>
      <c r="I91" s="77"/>
      <c r="J91" s="77"/>
      <c r="K91" s="77"/>
    </row>
    <row r="92" ht="18.75" customHeight="1">
      <c r="A92" s="77"/>
      <c r="B92" s="87"/>
      <c r="C92" s="77"/>
      <c r="D92" s="77"/>
      <c r="E92" s="122"/>
      <c r="F92" s="77"/>
      <c r="G92" s="77"/>
      <c r="H92" s="122"/>
      <c r="I92" s="77"/>
      <c r="J92" s="77"/>
      <c r="K92" s="77"/>
    </row>
    <row r="93" ht="18.75" customHeight="1">
      <c r="A93" s="77"/>
      <c r="B93" s="87"/>
      <c r="C93" s="77"/>
      <c r="D93" s="77"/>
      <c r="E93" s="122"/>
      <c r="F93" s="77"/>
      <c r="G93" s="77"/>
      <c r="H93" s="122"/>
      <c r="I93" s="77"/>
      <c r="J93" s="77"/>
      <c r="K93" s="77"/>
    </row>
    <row r="94" ht="18.75" customHeight="1">
      <c r="A94" s="77"/>
      <c r="B94" s="87"/>
      <c r="C94" s="77"/>
      <c r="D94" s="77"/>
      <c r="E94" s="122"/>
      <c r="F94" s="77"/>
      <c r="G94" s="77"/>
      <c r="H94" s="122"/>
      <c r="I94" s="77"/>
      <c r="J94" s="77"/>
      <c r="K94" s="77"/>
    </row>
    <row r="95" ht="18.75" customHeight="1">
      <c r="A95" s="77"/>
      <c r="B95" s="87"/>
      <c r="C95" s="77"/>
      <c r="D95" s="77"/>
      <c r="E95" s="122"/>
      <c r="F95" s="77"/>
      <c r="G95" s="77"/>
      <c r="H95" s="122"/>
      <c r="I95" s="77"/>
      <c r="J95" s="77"/>
      <c r="K95" s="77"/>
    </row>
    <row r="96" ht="18.75" customHeight="1">
      <c r="A96" s="77"/>
      <c r="B96" s="87"/>
      <c r="C96" s="77"/>
      <c r="D96" s="77"/>
      <c r="E96" s="122"/>
      <c r="F96" s="77"/>
      <c r="G96" s="77"/>
      <c r="H96" s="122"/>
      <c r="I96" s="77"/>
      <c r="J96" s="77"/>
      <c r="K96" s="77"/>
    </row>
    <row r="97" ht="18.75" customHeight="1">
      <c r="A97" s="77"/>
      <c r="B97" s="87"/>
      <c r="C97" s="77"/>
      <c r="D97" s="77"/>
      <c r="E97" s="122"/>
      <c r="F97" s="77"/>
      <c r="G97" s="77"/>
      <c r="H97" s="122"/>
      <c r="I97" s="77"/>
      <c r="J97" s="77"/>
      <c r="K97" s="77"/>
    </row>
    <row r="98" ht="18.75" customHeight="1">
      <c r="A98" s="77"/>
      <c r="B98" s="87"/>
      <c r="C98" s="77"/>
      <c r="D98" s="77"/>
      <c r="E98" s="122"/>
      <c r="F98" s="77"/>
      <c r="G98" s="77"/>
      <c r="H98" s="122"/>
      <c r="I98" s="77"/>
      <c r="J98" s="77"/>
      <c r="K98" s="77"/>
    </row>
    <row r="99" ht="18.75" customHeight="1">
      <c r="A99" s="77"/>
      <c r="B99" s="87"/>
      <c r="C99" s="77"/>
      <c r="D99" s="77"/>
      <c r="E99" s="122"/>
      <c r="F99" s="77"/>
      <c r="G99" s="77"/>
      <c r="H99" s="122"/>
      <c r="I99" s="77"/>
      <c r="J99" s="77"/>
      <c r="K99" s="77"/>
    </row>
    <row r="100" ht="18.75" customHeight="1">
      <c r="A100" s="77"/>
      <c r="B100" s="87"/>
      <c r="C100" s="77"/>
      <c r="D100" s="77"/>
      <c r="E100" s="122"/>
      <c r="F100" s="77"/>
      <c r="G100" s="77"/>
      <c r="H100" s="122"/>
      <c r="I100" s="77"/>
      <c r="J100" s="77"/>
      <c r="K100" s="77"/>
    </row>
    <row r="101" ht="18.75" customHeight="1">
      <c r="A101" s="77"/>
      <c r="B101" s="87"/>
      <c r="C101" s="77"/>
      <c r="D101" s="77"/>
      <c r="E101" s="122"/>
      <c r="F101" s="77"/>
      <c r="G101" s="77"/>
      <c r="H101" s="122"/>
      <c r="I101" s="77"/>
      <c r="J101" s="77"/>
      <c r="K101" s="77"/>
    </row>
    <row r="102" ht="18.75" customHeight="1">
      <c r="A102" s="77"/>
      <c r="B102" s="87"/>
      <c r="C102" s="77"/>
      <c r="D102" s="77"/>
      <c r="E102" s="122"/>
      <c r="F102" s="77"/>
      <c r="G102" s="77"/>
      <c r="H102" s="122"/>
      <c r="I102" s="77"/>
      <c r="J102" s="77"/>
      <c r="K102" s="77"/>
    </row>
    <row r="103" ht="18.75" customHeight="1">
      <c r="A103" s="77"/>
      <c r="B103" s="87"/>
      <c r="C103" s="77"/>
      <c r="D103" s="77"/>
      <c r="E103" s="122"/>
      <c r="F103" s="77"/>
      <c r="G103" s="77"/>
      <c r="H103" s="122"/>
      <c r="I103" s="77"/>
      <c r="J103" s="77"/>
      <c r="K103" s="77"/>
    </row>
    <row r="104" ht="18.75" customHeight="1">
      <c r="A104" s="77"/>
      <c r="B104" s="87"/>
      <c r="C104" s="77"/>
      <c r="D104" s="77"/>
      <c r="E104" s="122"/>
      <c r="F104" s="77"/>
      <c r="G104" s="77"/>
      <c r="H104" s="122"/>
      <c r="I104" s="77"/>
      <c r="J104" s="77"/>
      <c r="K104" s="77"/>
    </row>
    <row r="105" ht="18.75" customHeight="1">
      <c r="E105" s="123"/>
      <c r="G105" s="77"/>
      <c r="H105" s="122"/>
      <c r="I105" s="77"/>
      <c r="J105" s="77"/>
      <c r="K105" s="77"/>
    </row>
    <row r="106" ht="18.75" customHeight="1">
      <c r="E106" s="123"/>
      <c r="G106" s="77"/>
      <c r="H106" s="122"/>
      <c r="I106" s="77"/>
      <c r="J106" s="77"/>
      <c r="K106" s="77"/>
    </row>
    <row r="107" ht="18.75" customHeight="1">
      <c r="E107" s="123"/>
      <c r="G107" s="77"/>
      <c r="H107" s="122"/>
      <c r="I107" s="77"/>
      <c r="J107" s="77"/>
      <c r="K107" s="77"/>
    </row>
    <row r="108" ht="18.75" customHeight="1">
      <c r="E108" s="123"/>
      <c r="G108" s="77"/>
      <c r="H108" s="122"/>
      <c r="I108" s="77"/>
      <c r="J108" s="77"/>
      <c r="K108" s="77"/>
    </row>
    <row r="109" ht="18.75" customHeight="1">
      <c r="E109" s="123"/>
      <c r="G109" s="77"/>
      <c r="H109" s="122"/>
      <c r="I109" s="77"/>
      <c r="J109" s="77"/>
      <c r="K109" s="77"/>
    </row>
    <row r="110" ht="18.75" customHeight="1">
      <c r="E110" s="123"/>
      <c r="G110" s="77"/>
      <c r="H110" s="122"/>
      <c r="I110" s="77"/>
      <c r="J110" s="77"/>
      <c r="K110" s="77"/>
    </row>
    <row r="111" ht="18.75" customHeight="1">
      <c r="E111" s="123"/>
      <c r="G111" s="77"/>
      <c r="H111" s="122"/>
      <c r="I111" s="77"/>
      <c r="J111" s="77"/>
      <c r="K111" s="77"/>
    </row>
    <row r="112" ht="18.75" customHeight="1">
      <c r="E112" s="123"/>
      <c r="G112" s="77"/>
      <c r="H112" s="122"/>
      <c r="I112" s="77"/>
      <c r="J112" s="77"/>
      <c r="K112" s="77"/>
    </row>
    <row r="113" ht="18.75" customHeight="1">
      <c r="E113" s="123"/>
      <c r="G113" s="77"/>
      <c r="H113" s="122"/>
      <c r="I113" s="77"/>
      <c r="J113" s="77"/>
      <c r="K113" s="77"/>
    </row>
    <row r="114" ht="18.75" customHeight="1">
      <c r="E114" s="123"/>
      <c r="G114" s="77"/>
      <c r="H114" s="122"/>
      <c r="I114" s="77"/>
      <c r="J114" s="77"/>
      <c r="K114" s="77"/>
    </row>
    <row r="115" ht="18.75" customHeight="1">
      <c r="E115" s="123"/>
      <c r="G115" s="77"/>
      <c r="H115" s="122"/>
      <c r="I115" s="77"/>
      <c r="J115" s="77"/>
      <c r="K115" s="77"/>
    </row>
    <row r="116" ht="18.75" customHeight="1">
      <c r="E116" s="123"/>
      <c r="G116" s="77"/>
      <c r="H116" s="122"/>
      <c r="I116" s="77"/>
      <c r="J116" s="77"/>
      <c r="K116" s="77"/>
    </row>
    <row r="117" ht="18.75" customHeight="1">
      <c r="E117" s="123"/>
      <c r="G117" s="77"/>
      <c r="H117" s="122"/>
      <c r="I117" s="77"/>
      <c r="J117" s="77"/>
      <c r="K117" s="77"/>
    </row>
    <row r="118" ht="18.75" customHeight="1">
      <c r="E118" s="123"/>
      <c r="G118" s="77"/>
      <c r="H118" s="122"/>
      <c r="I118" s="77"/>
      <c r="J118" s="77"/>
      <c r="K118" s="77"/>
    </row>
    <row r="119" ht="18.75" customHeight="1">
      <c r="E119" s="123"/>
      <c r="G119" s="77"/>
      <c r="H119" s="122"/>
      <c r="I119" s="77"/>
      <c r="J119" s="77"/>
      <c r="K119" s="77"/>
    </row>
    <row r="120" ht="18.75" customHeight="1">
      <c r="E120" s="123"/>
      <c r="G120" s="77"/>
      <c r="H120" s="122"/>
      <c r="I120" s="77"/>
      <c r="J120" s="77"/>
      <c r="K120" s="77"/>
    </row>
    <row r="121" ht="18.75" customHeight="1">
      <c r="E121" s="123"/>
      <c r="G121" s="77"/>
      <c r="H121" s="122"/>
      <c r="I121" s="77"/>
      <c r="J121" s="77"/>
      <c r="K121" s="77"/>
    </row>
    <row r="122" ht="18.75" customHeight="1">
      <c r="E122" s="123"/>
      <c r="G122" s="77"/>
      <c r="H122" s="122"/>
      <c r="I122" s="77"/>
      <c r="J122" s="77"/>
      <c r="K122" s="77"/>
    </row>
    <row r="123" ht="18.75" customHeight="1">
      <c r="E123" s="123"/>
      <c r="G123" s="77"/>
      <c r="H123" s="122"/>
      <c r="I123" s="77"/>
      <c r="J123" s="77"/>
      <c r="K123" s="77"/>
    </row>
    <row r="124" ht="18.75" customHeight="1">
      <c r="E124" s="123"/>
      <c r="G124" s="77"/>
      <c r="H124" s="122"/>
      <c r="I124" s="77"/>
      <c r="J124" s="77"/>
      <c r="K124" s="77"/>
    </row>
    <row r="125" ht="18.75" customHeight="1">
      <c r="E125" s="123"/>
      <c r="G125" s="77"/>
      <c r="H125" s="122"/>
      <c r="I125" s="77"/>
      <c r="J125" s="77"/>
      <c r="K125" s="77"/>
    </row>
    <row r="126" ht="18.75" customHeight="1">
      <c r="E126" s="123"/>
      <c r="G126" s="77"/>
      <c r="H126" s="122"/>
      <c r="I126" s="77"/>
      <c r="J126" s="77"/>
      <c r="K126" s="77"/>
    </row>
    <row r="127" ht="18.75" customHeight="1">
      <c r="E127" s="123"/>
      <c r="G127" s="77"/>
      <c r="H127" s="122"/>
      <c r="I127" s="77"/>
      <c r="J127" s="77"/>
      <c r="K127" s="77"/>
    </row>
    <row r="128" ht="18.75" customHeight="1">
      <c r="E128" s="123"/>
      <c r="G128" s="77"/>
      <c r="H128" s="122"/>
      <c r="I128" s="77"/>
      <c r="J128" s="77"/>
      <c r="K128" s="77"/>
    </row>
    <row r="129" ht="18.75" customHeight="1">
      <c r="E129" s="123"/>
      <c r="G129" s="77"/>
      <c r="H129" s="122"/>
      <c r="I129" s="77"/>
      <c r="J129" s="77"/>
      <c r="K129" s="77"/>
    </row>
    <row r="130" ht="18.75" customHeight="1">
      <c r="E130" s="123"/>
      <c r="G130" s="77"/>
      <c r="H130" s="122"/>
      <c r="I130" s="77"/>
      <c r="J130" s="77"/>
      <c r="K130" s="77"/>
    </row>
    <row r="131" ht="18.75" customHeight="1">
      <c r="E131" s="123"/>
      <c r="G131" s="77"/>
      <c r="H131" s="122"/>
      <c r="I131" s="77"/>
      <c r="J131" s="77"/>
      <c r="K131" s="77"/>
    </row>
    <row r="132" ht="18.75" customHeight="1">
      <c r="E132" s="123"/>
      <c r="G132" s="77"/>
      <c r="H132" s="122"/>
      <c r="I132" s="77"/>
      <c r="J132" s="77"/>
      <c r="K132" s="77"/>
    </row>
    <row r="133" ht="18.75" customHeight="1">
      <c r="E133" s="123"/>
      <c r="G133" s="77"/>
      <c r="H133" s="122"/>
      <c r="I133" s="77"/>
      <c r="J133" s="77"/>
      <c r="K133" s="77"/>
    </row>
    <row r="134" ht="18.75" customHeight="1">
      <c r="E134" s="123"/>
      <c r="G134" s="77"/>
      <c r="H134" s="122"/>
      <c r="I134" s="77"/>
      <c r="J134" s="77"/>
      <c r="K134" s="77"/>
    </row>
    <row r="135" ht="18.75" customHeight="1">
      <c r="E135" s="123"/>
      <c r="G135" s="77"/>
      <c r="H135" s="122"/>
      <c r="I135" s="77"/>
      <c r="J135" s="77"/>
      <c r="K135" s="77"/>
    </row>
    <row r="136" ht="18.75" customHeight="1">
      <c r="E136" s="123"/>
      <c r="G136" s="77"/>
      <c r="H136" s="122"/>
      <c r="I136" s="77"/>
      <c r="J136" s="77"/>
      <c r="K136" s="77"/>
    </row>
    <row r="137" ht="18.75" customHeight="1">
      <c r="E137" s="123"/>
      <c r="G137" s="77"/>
      <c r="H137" s="122"/>
      <c r="I137" s="77"/>
      <c r="J137" s="77"/>
      <c r="K137" s="77"/>
    </row>
    <row r="138" ht="18.75" customHeight="1">
      <c r="E138" s="123"/>
      <c r="G138" s="77"/>
      <c r="H138" s="122"/>
      <c r="I138" s="77"/>
      <c r="J138" s="77"/>
      <c r="K138" s="77"/>
    </row>
    <row r="139" ht="18.75" customHeight="1">
      <c r="E139" s="123"/>
      <c r="G139" s="77"/>
      <c r="H139" s="122"/>
      <c r="I139" s="77"/>
      <c r="J139" s="77"/>
      <c r="K139" s="77"/>
    </row>
    <row r="140" ht="18.75" customHeight="1">
      <c r="E140" s="123"/>
      <c r="G140" s="77"/>
      <c r="H140" s="122"/>
      <c r="I140" s="77"/>
      <c r="J140" s="77"/>
      <c r="K140" s="77"/>
    </row>
    <row r="141" ht="18.75" customHeight="1">
      <c r="E141" s="123"/>
      <c r="G141" s="77"/>
      <c r="H141" s="122"/>
      <c r="I141" s="77"/>
      <c r="J141" s="77"/>
      <c r="K141" s="77"/>
    </row>
    <row r="142" ht="18.75" customHeight="1">
      <c r="E142" s="123"/>
      <c r="G142" s="77"/>
      <c r="H142" s="122"/>
      <c r="I142" s="77"/>
      <c r="J142" s="77"/>
      <c r="K142" s="77"/>
    </row>
    <row r="143" ht="18.75" customHeight="1">
      <c r="E143" s="123"/>
      <c r="G143" s="77"/>
      <c r="H143" s="122"/>
      <c r="I143" s="77"/>
      <c r="J143" s="77"/>
      <c r="K143" s="77"/>
    </row>
    <row r="144" ht="18.75" customHeight="1">
      <c r="E144" s="123"/>
      <c r="G144" s="77"/>
      <c r="H144" s="122"/>
      <c r="I144" s="77"/>
      <c r="J144" s="77"/>
      <c r="K144" s="77"/>
    </row>
    <row r="145" ht="18.75" customHeight="1">
      <c r="E145" s="123"/>
      <c r="G145" s="77"/>
      <c r="H145" s="122"/>
      <c r="I145" s="77"/>
      <c r="J145" s="77"/>
      <c r="K145" s="77"/>
    </row>
    <row r="146" ht="18.75" customHeight="1">
      <c r="E146" s="123"/>
      <c r="G146" s="77"/>
      <c r="H146" s="122"/>
      <c r="I146" s="77"/>
      <c r="J146" s="77"/>
      <c r="K146" s="77"/>
    </row>
    <row r="147" ht="18.75" customHeight="1">
      <c r="E147" s="123"/>
      <c r="G147" s="77"/>
      <c r="H147" s="122"/>
      <c r="I147" s="77"/>
      <c r="J147" s="77"/>
      <c r="K147" s="77"/>
    </row>
    <row r="148" ht="18.75" customHeight="1">
      <c r="E148" s="123"/>
      <c r="G148" s="77"/>
      <c r="H148" s="122"/>
      <c r="I148" s="77"/>
      <c r="J148" s="77"/>
      <c r="K148" s="77"/>
    </row>
    <row r="149" ht="18.75" customHeight="1">
      <c r="E149" s="123"/>
      <c r="G149" s="77"/>
      <c r="H149" s="122"/>
      <c r="I149" s="77"/>
      <c r="J149" s="77"/>
      <c r="K149" s="77"/>
    </row>
    <row r="150" ht="18.75" customHeight="1">
      <c r="E150" s="123"/>
      <c r="G150" s="77"/>
      <c r="H150" s="122"/>
      <c r="I150" s="77"/>
      <c r="J150" s="77"/>
      <c r="K150" s="77"/>
    </row>
    <row r="151" ht="18.75" customHeight="1">
      <c r="E151" s="123"/>
      <c r="G151" s="77"/>
      <c r="H151" s="122"/>
      <c r="I151" s="77"/>
      <c r="J151" s="77"/>
      <c r="K151" s="77"/>
    </row>
    <row r="152" ht="18.75" customHeight="1">
      <c r="E152" s="123"/>
      <c r="G152" s="77"/>
      <c r="H152" s="122"/>
      <c r="I152" s="77"/>
      <c r="J152" s="77"/>
      <c r="K152" s="77"/>
    </row>
    <row r="153" ht="18.75" customHeight="1">
      <c r="E153" s="123"/>
      <c r="G153" s="77"/>
      <c r="H153" s="122"/>
      <c r="I153" s="77"/>
      <c r="J153" s="77"/>
      <c r="K153" s="77"/>
    </row>
    <row r="154" ht="18.75" customHeight="1">
      <c r="E154" s="123"/>
      <c r="G154" s="77"/>
      <c r="H154" s="122"/>
      <c r="I154" s="77"/>
      <c r="J154" s="77"/>
      <c r="K154" s="77"/>
    </row>
    <row r="155" ht="18.75" customHeight="1">
      <c r="E155" s="123"/>
      <c r="G155" s="77"/>
      <c r="H155" s="122"/>
      <c r="I155" s="77"/>
      <c r="J155" s="77"/>
      <c r="K155" s="77"/>
    </row>
    <row r="156" ht="18.75" customHeight="1">
      <c r="E156" s="123"/>
      <c r="G156" s="77"/>
      <c r="H156" s="122"/>
      <c r="I156" s="77"/>
      <c r="J156" s="77"/>
      <c r="K156" s="77"/>
    </row>
    <row r="157" ht="18.75" customHeight="1">
      <c r="E157" s="123"/>
      <c r="G157" s="77"/>
      <c r="H157" s="122"/>
      <c r="I157" s="77"/>
      <c r="J157" s="77"/>
      <c r="K157" s="77"/>
    </row>
    <row r="158" ht="18.75" customHeight="1">
      <c r="E158" s="123"/>
      <c r="G158" s="77"/>
      <c r="H158" s="122"/>
      <c r="I158" s="77"/>
      <c r="J158" s="77"/>
      <c r="K158" s="77"/>
    </row>
    <row r="159" ht="18.75" customHeight="1">
      <c r="E159" s="123"/>
      <c r="G159" s="77"/>
      <c r="H159" s="122"/>
      <c r="I159" s="77"/>
      <c r="J159" s="77"/>
      <c r="K159" s="77"/>
    </row>
    <row r="160" ht="18.75" customHeight="1">
      <c r="E160" s="123"/>
      <c r="G160" s="77"/>
      <c r="H160" s="122"/>
      <c r="I160" s="77"/>
      <c r="J160" s="77"/>
      <c r="K160" s="77"/>
    </row>
    <row r="161" ht="18.75" customHeight="1">
      <c r="E161" s="123"/>
      <c r="G161" s="77"/>
      <c r="H161" s="122"/>
      <c r="I161" s="77"/>
      <c r="J161" s="77"/>
      <c r="K161" s="77"/>
    </row>
    <row r="162" ht="18.75" customHeight="1">
      <c r="E162" s="123"/>
      <c r="G162" s="77"/>
      <c r="H162" s="122"/>
      <c r="I162" s="77"/>
      <c r="J162" s="77"/>
      <c r="K162" s="77"/>
    </row>
    <row r="163" ht="18.75" customHeight="1">
      <c r="E163" s="123"/>
      <c r="G163" s="77"/>
      <c r="H163" s="122"/>
      <c r="I163" s="77"/>
      <c r="J163" s="77"/>
      <c r="K163" s="77"/>
    </row>
    <row r="164" ht="18.75" customHeight="1">
      <c r="E164" s="123"/>
      <c r="G164" s="77"/>
      <c r="H164" s="122"/>
      <c r="I164" s="77"/>
      <c r="J164" s="77"/>
      <c r="K164" s="77"/>
    </row>
    <row r="165" ht="18.75" customHeight="1">
      <c r="E165" s="123"/>
      <c r="G165" s="77"/>
      <c r="H165" s="122"/>
      <c r="I165" s="77"/>
      <c r="J165" s="77"/>
      <c r="K165" s="77"/>
    </row>
    <row r="166" ht="18.75" customHeight="1">
      <c r="E166" s="123"/>
      <c r="G166" s="77"/>
      <c r="H166" s="122"/>
      <c r="I166" s="77"/>
      <c r="J166" s="77"/>
      <c r="K166" s="77"/>
    </row>
    <row r="167" ht="18.75" customHeight="1">
      <c r="E167" s="123"/>
      <c r="G167" s="77"/>
      <c r="H167" s="122"/>
      <c r="I167" s="77"/>
      <c r="J167" s="77"/>
      <c r="K167" s="77"/>
    </row>
    <row r="168" ht="18.75" customHeight="1">
      <c r="E168" s="123"/>
      <c r="G168" s="77"/>
      <c r="H168" s="122"/>
      <c r="I168" s="77"/>
      <c r="J168" s="77"/>
      <c r="K168" s="77"/>
    </row>
    <row r="169" ht="18.75" customHeight="1">
      <c r="E169" s="123"/>
      <c r="G169" s="77"/>
      <c r="H169" s="122"/>
      <c r="I169" s="77"/>
      <c r="J169" s="77"/>
      <c r="K169" s="77"/>
    </row>
    <row r="170" ht="18.75" customHeight="1">
      <c r="E170" s="123"/>
      <c r="G170" s="77"/>
      <c r="H170" s="122"/>
      <c r="I170" s="77"/>
      <c r="J170" s="77"/>
      <c r="K170" s="77"/>
    </row>
    <row r="171" ht="18.75" customHeight="1">
      <c r="E171" s="123"/>
      <c r="G171" s="77"/>
      <c r="H171" s="122"/>
      <c r="I171" s="77"/>
      <c r="J171" s="77"/>
      <c r="K171" s="77"/>
    </row>
    <row r="172" ht="18.75" customHeight="1">
      <c r="E172" s="123"/>
      <c r="G172" s="77"/>
      <c r="H172" s="122"/>
      <c r="I172" s="77"/>
      <c r="J172" s="77"/>
      <c r="K172" s="77"/>
    </row>
    <row r="173" ht="18.75" customHeight="1">
      <c r="E173" s="123"/>
      <c r="G173" s="77"/>
      <c r="H173" s="122"/>
      <c r="I173" s="77"/>
      <c r="J173" s="77"/>
      <c r="K173" s="77"/>
    </row>
    <row r="174" ht="18.75" customHeight="1">
      <c r="E174" s="123"/>
      <c r="G174" s="77"/>
      <c r="H174" s="122"/>
      <c r="I174" s="77"/>
      <c r="J174" s="77"/>
      <c r="K174" s="77"/>
    </row>
    <row r="175" ht="18.75" customHeight="1">
      <c r="E175" s="123"/>
      <c r="G175" s="77"/>
      <c r="H175" s="122"/>
      <c r="I175" s="77"/>
      <c r="J175" s="77"/>
      <c r="K175" s="77"/>
    </row>
    <row r="176" ht="18.75" customHeight="1">
      <c r="E176" s="123"/>
      <c r="G176" s="77"/>
      <c r="H176" s="122"/>
      <c r="I176" s="77"/>
      <c r="J176" s="77"/>
      <c r="K176" s="77"/>
    </row>
    <row r="177" ht="18.75" customHeight="1">
      <c r="E177" s="123"/>
      <c r="G177" s="77"/>
      <c r="H177" s="122"/>
      <c r="I177" s="77"/>
      <c r="J177" s="77"/>
      <c r="K177" s="77"/>
    </row>
    <row r="178" ht="18.75" customHeight="1">
      <c r="E178" s="123"/>
      <c r="G178" s="77"/>
      <c r="H178" s="122"/>
      <c r="I178" s="77"/>
      <c r="J178" s="77"/>
      <c r="K178" s="77"/>
    </row>
    <row r="179" ht="18.75" customHeight="1">
      <c r="E179" s="123"/>
      <c r="G179" s="77"/>
      <c r="H179" s="122"/>
      <c r="I179" s="77"/>
      <c r="J179" s="77"/>
      <c r="K179" s="77"/>
    </row>
    <row r="180" ht="18.75" customHeight="1">
      <c r="E180" s="123"/>
      <c r="G180" s="77"/>
      <c r="H180" s="122"/>
      <c r="I180" s="77"/>
      <c r="J180" s="77"/>
      <c r="K180" s="77"/>
    </row>
    <row r="181" ht="18.75" customHeight="1">
      <c r="E181" s="123"/>
      <c r="G181" s="77"/>
      <c r="H181" s="122"/>
      <c r="I181" s="77"/>
      <c r="J181" s="77"/>
      <c r="K181" s="77"/>
    </row>
    <row r="182" ht="18.75" customHeight="1">
      <c r="E182" s="123"/>
      <c r="G182" s="77"/>
      <c r="H182" s="122"/>
      <c r="I182" s="77"/>
      <c r="J182" s="77"/>
      <c r="K182" s="77"/>
    </row>
    <row r="183" ht="18.75" customHeight="1">
      <c r="E183" s="123"/>
      <c r="G183" s="77"/>
      <c r="H183" s="122"/>
      <c r="I183" s="77"/>
      <c r="J183" s="77"/>
      <c r="K183" s="77"/>
    </row>
    <row r="184" ht="18.75" customHeight="1">
      <c r="E184" s="123"/>
      <c r="G184" s="77"/>
      <c r="H184" s="122"/>
      <c r="I184" s="77"/>
      <c r="J184" s="77"/>
      <c r="K184" s="77"/>
    </row>
    <row r="185" ht="18.75" customHeight="1">
      <c r="E185" s="123"/>
      <c r="G185" s="77"/>
      <c r="H185" s="122"/>
      <c r="I185" s="77"/>
      <c r="J185" s="77"/>
      <c r="K185" s="77"/>
    </row>
    <row r="186" ht="18.75" customHeight="1">
      <c r="E186" s="123"/>
      <c r="G186" s="77"/>
      <c r="H186" s="122"/>
      <c r="I186" s="77"/>
      <c r="J186" s="77"/>
      <c r="K186" s="77"/>
    </row>
    <row r="187" ht="18.75" customHeight="1">
      <c r="E187" s="123"/>
      <c r="G187" s="77"/>
      <c r="H187" s="122"/>
      <c r="I187" s="77"/>
      <c r="J187" s="77"/>
      <c r="K187" s="77"/>
    </row>
    <row r="188" ht="18.75" customHeight="1">
      <c r="E188" s="123"/>
      <c r="G188" s="77"/>
      <c r="H188" s="122"/>
      <c r="I188" s="77"/>
      <c r="J188" s="77"/>
      <c r="K188" s="77"/>
    </row>
    <row r="189" ht="18.75" customHeight="1">
      <c r="E189" s="123"/>
      <c r="G189" s="77"/>
      <c r="H189" s="122"/>
      <c r="I189" s="77"/>
      <c r="J189" s="77"/>
      <c r="K189" s="77"/>
    </row>
    <row r="190" ht="18.75" customHeight="1">
      <c r="E190" s="123"/>
      <c r="G190" s="77"/>
      <c r="H190" s="122"/>
      <c r="I190" s="77"/>
      <c r="J190" s="77"/>
      <c r="K190" s="77"/>
    </row>
    <row r="191" ht="18.75" customHeight="1">
      <c r="E191" s="123"/>
      <c r="G191" s="77"/>
      <c r="H191" s="122"/>
      <c r="I191" s="77"/>
      <c r="J191" s="77"/>
      <c r="K191" s="77"/>
    </row>
    <row r="192" ht="18.75" customHeight="1">
      <c r="E192" s="123"/>
      <c r="G192" s="77"/>
      <c r="H192" s="122"/>
      <c r="I192" s="77"/>
      <c r="J192" s="77"/>
      <c r="K192" s="77"/>
    </row>
    <row r="193" ht="18.75" customHeight="1">
      <c r="E193" s="123"/>
      <c r="G193" s="77"/>
      <c r="H193" s="122"/>
      <c r="I193" s="77"/>
      <c r="J193" s="77"/>
      <c r="K193" s="77"/>
    </row>
    <row r="194" ht="18.75" customHeight="1">
      <c r="E194" s="123"/>
      <c r="G194" s="77"/>
      <c r="H194" s="122"/>
      <c r="I194" s="77"/>
      <c r="J194" s="77"/>
      <c r="K194" s="77"/>
    </row>
    <row r="195" ht="18.75" customHeight="1">
      <c r="E195" s="123"/>
      <c r="G195" s="77"/>
      <c r="H195" s="122"/>
      <c r="I195" s="77"/>
      <c r="J195" s="77"/>
      <c r="K195" s="77"/>
    </row>
    <row r="196" ht="18.75" customHeight="1">
      <c r="E196" s="123"/>
      <c r="G196" s="77"/>
      <c r="H196" s="122"/>
      <c r="I196" s="77"/>
      <c r="J196" s="77"/>
      <c r="K196" s="77"/>
    </row>
    <row r="197" ht="18.75" customHeight="1">
      <c r="E197" s="123"/>
      <c r="G197" s="77"/>
      <c r="H197" s="122"/>
      <c r="I197" s="77"/>
      <c r="J197" s="77"/>
      <c r="K197" s="77"/>
    </row>
    <row r="198" ht="18.75" customHeight="1">
      <c r="E198" s="123"/>
      <c r="G198" s="77"/>
      <c r="H198" s="122"/>
      <c r="I198" s="77"/>
      <c r="J198" s="77"/>
      <c r="K198" s="77"/>
    </row>
    <row r="199" ht="18.75" customHeight="1">
      <c r="E199" s="123"/>
      <c r="G199" s="77"/>
      <c r="H199" s="122"/>
      <c r="I199" s="77"/>
      <c r="J199" s="77"/>
      <c r="K199" s="77"/>
    </row>
    <row r="200" ht="18.75" customHeight="1">
      <c r="E200" s="123"/>
      <c r="G200" s="77"/>
      <c r="H200" s="122"/>
      <c r="I200" s="77"/>
      <c r="J200" s="77"/>
      <c r="K200" s="77"/>
    </row>
    <row r="201" ht="18.75" customHeight="1">
      <c r="E201" s="123"/>
      <c r="G201" s="77"/>
      <c r="H201" s="122"/>
      <c r="I201" s="77"/>
      <c r="J201" s="77"/>
      <c r="K201" s="77"/>
    </row>
    <row r="202" ht="18.75" customHeight="1">
      <c r="E202" s="123"/>
      <c r="G202" s="77"/>
      <c r="H202" s="122"/>
      <c r="I202" s="77"/>
      <c r="J202" s="77"/>
      <c r="K202" s="77"/>
    </row>
    <row r="203" ht="18.75" customHeight="1">
      <c r="E203" s="123"/>
      <c r="G203" s="77"/>
      <c r="H203" s="122"/>
      <c r="I203" s="77"/>
      <c r="J203" s="77"/>
      <c r="K203" s="77"/>
    </row>
    <row r="204" ht="18.75" customHeight="1">
      <c r="E204" s="123"/>
      <c r="G204" s="77"/>
      <c r="H204" s="122"/>
      <c r="I204" s="77"/>
      <c r="J204" s="77"/>
      <c r="K204" s="77"/>
    </row>
    <row r="205" ht="18.75" customHeight="1">
      <c r="E205" s="123"/>
      <c r="G205" s="77"/>
      <c r="H205" s="122"/>
      <c r="I205" s="77"/>
      <c r="J205" s="77"/>
      <c r="K205" s="77"/>
    </row>
    <row r="206" ht="18.75" customHeight="1">
      <c r="E206" s="123"/>
      <c r="H206" s="123"/>
    </row>
    <row r="207" ht="18.75" customHeight="1">
      <c r="E207" s="123"/>
      <c r="H207" s="123"/>
    </row>
    <row r="208" ht="18.75" customHeight="1">
      <c r="E208" s="123"/>
      <c r="H208" s="123"/>
    </row>
    <row r="209" ht="18.75" customHeight="1">
      <c r="E209" s="123"/>
      <c r="H209" s="123"/>
    </row>
    <row r="210" ht="18.75" customHeight="1">
      <c r="E210" s="123"/>
      <c r="H210" s="123"/>
    </row>
    <row r="211" ht="18.75" customHeight="1">
      <c r="E211" s="123"/>
      <c r="H211" s="123"/>
    </row>
    <row r="212" ht="18.75" customHeight="1">
      <c r="E212" s="123"/>
      <c r="H212" s="123"/>
    </row>
    <row r="213" ht="18.75" customHeight="1">
      <c r="E213" s="123"/>
      <c r="H213" s="123"/>
    </row>
    <row r="214" ht="18.75" customHeight="1">
      <c r="E214" s="123"/>
      <c r="H214" s="123"/>
    </row>
    <row r="215" ht="18.75" customHeight="1">
      <c r="E215" s="123"/>
      <c r="H215" s="123"/>
    </row>
    <row r="216" ht="18.75" customHeight="1">
      <c r="E216" s="123"/>
      <c r="H216" s="123"/>
    </row>
    <row r="217" ht="18.75" customHeight="1">
      <c r="E217" s="123"/>
      <c r="H217" s="123"/>
    </row>
    <row r="218" ht="18.75" customHeight="1">
      <c r="E218" s="123"/>
      <c r="H218" s="123"/>
    </row>
    <row r="219" ht="18.75" customHeight="1">
      <c r="E219" s="123"/>
      <c r="H219" s="123"/>
    </row>
    <row r="220" ht="18.75" customHeight="1">
      <c r="E220" s="123"/>
      <c r="H220" s="123"/>
    </row>
    <row r="221" ht="18.75" customHeight="1">
      <c r="E221" s="123"/>
      <c r="H221" s="123"/>
    </row>
    <row r="222" ht="18.75" customHeight="1">
      <c r="E222" s="123"/>
      <c r="H222" s="123"/>
    </row>
    <row r="223" ht="18.75" customHeight="1">
      <c r="E223" s="123"/>
      <c r="H223" s="123"/>
    </row>
    <row r="224" ht="18.75" customHeight="1">
      <c r="E224" s="123"/>
      <c r="H224" s="123"/>
    </row>
    <row r="225" ht="18.75" customHeight="1">
      <c r="E225" s="123"/>
      <c r="H225" s="123"/>
    </row>
    <row r="226" ht="18.75" customHeight="1">
      <c r="E226" s="123"/>
      <c r="H226" s="123"/>
    </row>
    <row r="227" ht="18.75" customHeight="1">
      <c r="E227" s="123"/>
      <c r="H227" s="123"/>
    </row>
    <row r="228" ht="18.75" customHeight="1">
      <c r="E228" s="123"/>
      <c r="H228" s="123"/>
    </row>
    <row r="229" ht="18.75" customHeight="1">
      <c r="E229" s="123"/>
      <c r="H229" s="123"/>
    </row>
    <row r="230" ht="18.75" customHeight="1">
      <c r="E230" s="123"/>
      <c r="H230" s="123"/>
    </row>
    <row r="231" ht="18.75" customHeight="1">
      <c r="E231" s="123"/>
      <c r="H231" s="123"/>
    </row>
    <row r="232" ht="18.75" customHeight="1">
      <c r="E232" s="123"/>
      <c r="H232" s="123"/>
    </row>
    <row r="233" ht="18.75" customHeight="1">
      <c r="E233" s="123"/>
      <c r="H233" s="123"/>
    </row>
    <row r="234" ht="18.75" customHeight="1">
      <c r="E234" s="123"/>
      <c r="H234" s="123"/>
    </row>
    <row r="235" ht="18.75" customHeight="1">
      <c r="E235" s="123"/>
      <c r="H235" s="123"/>
    </row>
    <row r="236" ht="18.75" customHeight="1">
      <c r="E236" s="123"/>
      <c r="H236" s="123"/>
    </row>
    <row r="237" ht="18.75" customHeight="1">
      <c r="E237" s="123"/>
      <c r="H237" s="123"/>
    </row>
    <row r="238" ht="18.75" customHeight="1">
      <c r="E238" s="123"/>
      <c r="H238" s="123"/>
    </row>
    <row r="239" ht="18.75" customHeight="1">
      <c r="E239" s="123"/>
      <c r="H239" s="123"/>
    </row>
    <row r="240" ht="18.75" customHeight="1">
      <c r="E240" s="123"/>
      <c r="H240" s="123"/>
    </row>
    <row r="241" ht="18.75" customHeight="1">
      <c r="E241" s="123"/>
      <c r="H241" s="123"/>
    </row>
    <row r="242" ht="18.75" customHeight="1">
      <c r="E242" s="123"/>
      <c r="H242" s="123"/>
    </row>
    <row r="243" ht="18.75" customHeight="1">
      <c r="E243" s="123"/>
      <c r="H243" s="123"/>
    </row>
    <row r="244" ht="18.75" customHeight="1">
      <c r="E244" s="123"/>
      <c r="H244" s="123"/>
    </row>
    <row r="245" ht="18.75" customHeight="1">
      <c r="E245" s="123"/>
      <c r="H245" s="123"/>
    </row>
    <row r="246" ht="18.75" customHeight="1">
      <c r="E246" s="123"/>
      <c r="H246" s="123"/>
    </row>
    <row r="247" ht="18.75" customHeight="1">
      <c r="E247" s="123"/>
      <c r="H247" s="123"/>
    </row>
    <row r="248" ht="18.75" customHeight="1">
      <c r="E248" s="123"/>
      <c r="H248" s="123"/>
    </row>
    <row r="249" ht="18.75" customHeight="1">
      <c r="E249" s="123"/>
      <c r="H249" s="123"/>
    </row>
    <row r="250" ht="18.75" customHeight="1">
      <c r="E250" s="123"/>
      <c r="H250" s="123"/>
    </row>
    <row r="251" ht="18.75" customHeight="1">
      <c r="E251" s="123"/>
      <c r="H251" s="123"/>
    </row>
    <row r="252" ht="18.75" customHeight="1">
      <c r="E252" s="123"/>
      <c r="H252" s="123"/>
    </row>
    <row r="253" ht="18.75" customHeight="1">
      <c r="E253" s="123"/>
      <c r="H253" s="123"/>
    </row>
    <row r="254" ht="18.75" customHeight="1">
      <c r="E254" s="123"/>
      <c r="H254" s="123"/>
    </row>
    <row r="255" ht="18.75" customHeight="1">
      <c r="E255" s="123"/>
      <c r="H255" s="123"/>
    </row>
    <row r="256" ht="18.75" customHeight="1">
      <c r="E256" s="123"/>
      <c r="H256" s="123"/>
    </row>
    <row r="257" ht="18.75" customHeight="1">
      <c r="E257" s="123"/>
      <c r="H257" s="123"/>
    </row>
    <row r="258" ht="18.75" customHeight="1">
      <c r="E258" s="123"/>
      <c r="H258" s="123"/>
    </row>
    <row r="259" ht="18.75" customHeight="1">
      <c r="E259" s="123"/>
      <c r="H259" s="123"/>
    </row>
    <row r="260" ht="18.75" customHeight="1">
      <c r="E260" s="123"/>
      <c r="H260" s="123"/>
    </row>
    <row r="261" ht="18.75" customHeight="1">
      <c r="E261" s="123"/>
      <c r="H261" s="123"/>
    </row>
    <row r="262" ht="18.75" customHeight="1">
      <c r="E262" s="123"/>
      <c r="H262" s="123"/>
    </row>
    <row r="263" ht="18.75" customHeight="1">
      <c r="E263" s="123"/>
      <c r="H263" s="123"/>
    </row>
    <row r="264" ht="18.75" customHeight="1">
      <c r="E264" s="123"/>
      <c r="H264" s="123"/>
    </row>
    <row r="265" ht="18.75" customHeight="1">
      <c r="E265" s="123"/>
      <c r="H265" s="123"/>
    </row>
    <row r="266" ht="18.75" customHeight="1">
      <c r="E266" s="123"/>
      <c r="H266" s="123"/>
    </row>
    <row r="267" ht="18.75" customHeight="1">
      <c r="E267" s="123"/>
      <c r="H267" s="123"/>
    </row>
    <row r="268" ht="18.75" customHeight="1">
      <c r="E268" s="123"/>
      <c r="H268" s="123"/>
    </row>
    <row r="269" ht="18.75" customHeight="1">
      <c r="E269" s="123"/>
      <c r="H269" s="123"/>
    </row>
    <row r="270" ht="18.75" customHeight="1">
      <c r="E270" s="123"/>
      <c r="H270" s="123"/>
    </row>
    <row r="271" ht="18.75" customHeight="1">
      <c r="E271" s="123"/>
      <c r="H271" s="123"/>
    </row>
    <row r="272" ht="18.75" customHeight="1">
      <c r="E272" s="123"/>
      <c r="H272" s="123"/>
    </row>
    <row r="273" ht="18.75" customHeight="1">
      <c r="E273" s="123"/>
      <c r="H273" s="123"/>
    </row>
    <row r="274" ht="18.75" customHeight="1">
      <c r="E274" s="123"/>
      <c r="H274" s="123"/>
    </row>
    <row r="275" ht="18.75" customHeight="1">
      <c r="E275" s="123"/>
      <c r="H275" s="123"/>
    </row>
    <row r="276" ht="18.75" customHeight="1">
      <c r="E276" s="123"/>
      <c r="H276" s="123"/>
    </row>
    <row r="277" ht="18.75" customHeight="1">
      <c r="E277" s="123"/>
      <c r="H277" s="123"/>
    </row>
    <row r="278" ht="18.75" customHeight="1">
      <c r="E278" s="123"/>
      <c r="H278" s="123"/>
    </row>
    <row r="279" ht="18.75" customHeight="1">
      <c r="E279" s="123"/>
      <c r="H279" s="123"/>
    </row>
    <row r="280" ht="18.75" customHeight="1">
      <c r="E280" s="123"/>
      <c r="H280" s="123"/>
    </row>
    <row r="281" ht="18.75" customHeight="1">
      <c r="E281" s="123"/>
      <c r="H281" s="123"/>
    </row>
    <row r="282" ht="18.75" customHeight="1">
      <c r="E282" s="123"/>
      <c r="H282" s="123"/>
    </row>
    <row r="283" ht="18.75" customHeight="1">
      <c r="E283" s="123"/>
      <c r="H283" s="123"/>
    </row>
    <row r="284" ht="18.75" customHeight="1">
      <c r="E284" s="123"/>
      <c r="H284" s="123"/>
    </row>
    <row r="285" ht="18.75" customHeight="1">
      <c r="E285" s="123"/>
      <c r="H285" s="123"/>
    </row>
    <row r="286" ht="18.75" customHeight="1">
      <c r="E286" s="123"/>
      <c r="H286" s="123"/>
    </row>
    <row r="287" ht="18.75" customHeight="1">
      <c r="E287" s="123"/>
      <c r="H287" s="123"/>
    </row>
    <row r="288" ht="18.75" customHeight="1">
      <c r="E288" s="123"/>
      <c r="H288" s="123"/>
    </row>
    <row r="289" ht="18.75" customHeight="1">
      <c r="E289" s="123"/>
      <c r="H289" s="123"/>
    </row>
    <row r="290" ht="18.75" customHeight="1">
      <c r="E290" s="123"/>
      <c r="H290" s="123"/>
    </row>
    <row r="291" ht="18.75" customHeight="1">
      <c r="E291" s="123"/>
      <c r="H291" s="123"/>
    </row>
    <row r="292" ht="18.75" customHeight="1">
      <c r="E292" s="123"/>
      <c r="H292" s="123"/>
    </row>
    <row r="293" ht="18.75" customHeight="1">
      <c r="E293" s="123"/>
      <c r="H293" s="123"/>
    </row>
    <row r="294" ht="18.75" customHeight="1">
      <c r="E294" s="123"/>
      <c r="H294" s="123"/>
    </row>
    <row r="295" ht="18.75" customHeight="1">
      <c r="E295" s="123"/>
      <c r="H295" s="123"/>
    </row>
    <row r="296" ht="18.75" customHeight="1">
      <c r="E296" s="123"/>
      <c r="H296" s="123"/>
    </row>
    <row r="297" ht="18.75" customHeight="1">
      <c r="E297" s="123"/>
      <c r="H297" s="123"/>
    </row>
    <row r="298" ht="18.75" customHeight="1">
      <c r="E298" s="123"/>
      <c r="H298" s="123"/>
    </row>
    <row r="299" ht="18.75" customHeight="1">
      <c r="E299" s="123"/>
      <c r="H299" s="123"/>
    </row>
    <row r="300" ht="18.75" customHeight="1">
      <c r="E300" s="123"/>
      <c r="H300" s="123"/>
    </row>
    <row r="301" ht="18.75" customHeight="1">
      <c r="E301" s="123"/>
      <c r="H301" s="123"/>
    </row>
    <row r="302" ht="18.75" customHeight="1">
      <c r="E302" s="123"/>
      <c r="H302" s="123"/>
    </row>
    <row r="303" ht="18.75" customHeight="1">
      <c r="E303" s="123"/>
      <c r="H303" s="123"/>
    </row>
    <row r="304" ht="18.75" customHeight="1">
      <c r="E304" s="123"/>
      <c r="H304" s="123"/>
    </row>
    <row r="305" ht="18.75" customHeight="1">
      <c r="E305" s="123"/>
      <c r="H305" s="123"/>
    </row>
    <row r="306" ht="18.75" customHeight="1">
      <c r="E306" s="123"/>
      <c r="H306" s="123"/>
    </row>
    <row r="307" ht="18.75" customHeight="1">
      <c r="E307" s="123"/>
      <c r="H307" s="123"/>
    </row>
    <row r="308" ht="18.75" customHeight="1">
      <c r="E308" s="123"/>
      <c r="H308" s="123"/>
    </row>
    <row r="309" ht="18.75" customHeight="1">
      <c r="E309" s="123"/>
      <c r="H309" s="123"/>
    </row>
    <row r="310" ht="18.75" customHeight="1">
      <c r="E310" s="123"/>
      <c r="H310" s="123"/>
    </row>
    <row r="311" ht="18.75" customHeight="1">
      <c r="E311" s="123"/>
      <c r="H311" s="123"/>
    </row>
    <row r="312" ht="18.75" customHeight="1">
      <c r="E312" s="123"/>
      <c r="H312" s="123"/>
    </row>
    <row r="313" ht="18.75" customHeight="1">
      <c r="E313" s="123"/>
      <c r="H313" s="123"/>
    </row>
    <row r="314" ht="18.75" customHeight="1">
      <c r="E314" s="123"/>
      <c r="H314" s="123"/>
    </row>
    <row r="315" ht="18.75" customHeight="1">
      <c r="E315" s="123"/>
      <c r="H315" s="123"/>
    </row>
    <row r="316" ht="18.75" customHeight="1">
      <c r="E316" s="123"/>
      <c r="H316" s="123"/>
    </row>
    <row r="317" ht="18.75" customHeight="1">
      <c r="E317" s="123"/>
      <c r="H317" s="123"/>
    </row>
    <row r="318" ht="18.75" customHeight="1">
      <c r="E318" s="123"/>
      <c r="H318" s="123"/>
    </row>
    <row r="319" ht="18.75" customHeight="1">
      <c r="E319" s="123"/>
      <c r="H319" s="123"/>
    </row>
    <row r="320" ht="18.75" customHeight="1">
      <c r="E320" s="123"/>
      <c r="H320" s="123"/>
    </row>
    <row r="321" ht="18.75" customHeight="1">
      <c r="E321" s="123"/>
      <c r="H321" s="123"/>
    </row>
    <row r="322" ht="18.75" customHeight="1">
      <c r="E322" s="123"/>
      <c r="H322" s="123"/>
    </row>
    <row r="323" ht="18.75" customHeight="1">
      <c r="E323" s="123"/>
      <c r="H323" s="123"/>
    </row>
    <row r="324" ht="18.75" customHeight="1">
      <c r="E324" s="123"/>
      <c r="H324" s="123"/>
    </row>
    <row r="325" ht="18.75" customHeight="1">
      <c r="E325" s="123"/>
      <c r="H325" s="123"/>
    </row>
    <row r="326" ht="18.75" customHeight="1">
      <c r="E326" s="123"/>
      <c r="H326" s="123"/>
    </row>
    <row r="327" ht="18.75" customHeight="1">
      <c r="E327" s="123"/>
      <c r="H327" s="123"/>
    </row>
    <row r="328" ht="18.75" customHeight="1">
      <c r="E328" s="123"/>
      <c r="H328" s="123"/>
    </row>
    <row r="329" ht="18.75" customHeight="1">
      <c r="E329" s="123"/>
      <c r="H329" s="123"/>
    </row>
    <row r="330" ht="18.75" customHeight="1">
      <c r="E330" s="123"/>
      <c r="H330" s="123"/>
    </row>
    <row r="331" ht="18.75" customHeight="1">
      <c r="E331" s="123"/>
      <c r="H331" s="123"/>
    </row>
    <row r="332" ht="18.75" customHeight="1">
      <c r="E332" s="123"/>
      <c r="H332" s="123"/>
    </row>
    <row r="333" ht="18.75" customHeight="1">
      <c r="E333" s="123"/>
      <c r="H333" s="123"/>
    </row>
    <row r="334" ht="18.75" customHeight="1">
      <c r="E334" s="123"/>
      <c r="H334" s="123"/>
    </row>
    <row r="335" ht="18.75" customHeight="1">
      <c r="E335" s="123"/>
      <c r="H335" s="123"/>
    </row>
    <row r="336" ht="18.75" customHeight="1">
      <c r="E336" s="123"/>
      <c r="H336" s="123"/>
    </row>
    <row r="337" ht="18.75" customHeight="1">
      <c r="E337" s="123"/>
      <c r="H337" s="123"/>
    </row>
    <row r="338" ht="18.75" customHeight="1">
      <c r="E338" s="123"/>
      <c r="H338" s="123"/>
    </row>
    <row r="339" ht="18.75" customHeight="1">
      <c r="E339" s="123"/>
      <c r="H339" s="123"/>
    </row>
    <row r="340" ht="18.75" customHeight="1">
      <c r="E340" s="123"/>
      <c r="H340" s="123"/>
    </row>
    <row r="341" ht="18.75" customHeight="1">
      <c r="E341" s="123"/>
      <c r="H341" s="123"/>
    </row>
    <row r="342" ht="18.75" customHeight="1">
      <c r="E342" s="123"/>
      <c r="H342" s="123"/>
    </row>
    <row r="343" ht="18.75" customHeight="1">
      <c r="E343" s="123"/>
      <c r="H343" s="123"/>
    </row>
    <row r="344" ht="18.75" customHeight="1">
      <c r="E344" s="123"/>
      <c r="H344" s="123"/>
    </row>
    <row r="345" ht="18.75" customHeight="1">
      <c r="E345" s="123"/>
      <c r="H345" s="123"/>
    </row>
    <row r="346" ht="18.75" customHeight="1">
      <c r="E346" s="123"/>
      <c r="H346" s="123"/>
    </row>
    <row r="347" ht="18.75" customHeight="1">
      <c r="E347" s="123"/>
      <c r="H347" s="123"/>
    </row>
    <row r="348" ht="18.75" customHeight="1">
      <c r="E348" s="123"/>
      <c r="H348" s="123"/>
    </row>
    <row r="349" ht="18.75" customHeight="1">
      <c r="E349" s="123"/>
      <c r="H349" s="123"/>
    </row>
    <row r="350" ht="18.75" customHeight="1">
      <c r="E350" s="123"/>
      <c r="H350" s="123"/>
    </row>
    <row r="351" ht="18.75" customHeight="1">
      <c r="E351" s="123"/>
      <c r="H351" s="123"/>
    </row>
    <row r="352" ht="18.75" customHeight="1">
      <c r="E352" s="123"/>
      <c r="H352" s="123"/>
    </row>
    <row r="353" ht="18.75" customHeight="1">
      <c r="E353" s="123"/>
      <c r="H353" s="123"/>
    </row>
    <row r="354" ht="18.75" customHeight="1">
      <c r="E354" s="123"/>
      <c r="H354" s="123"/>
    </row>
    <row r="355" ht="18.75" customHeight="1">
      <c r="E355" s="123"/>
      <c r="H355" s="123"/>
    </row>
    <row r="356" ht="18.75" customHeight="1">
      <c r="E356" s="123"/>
      <c r="H356" s="123"/>
    </row>
    <row r="357" ht="18.75" customHeight="1">
      <c r="E357" s="123"/>
      <c r="H357" s="123"/>
    </row>
    <row r="358" ht="18.75" customHeight="1">
      <c r="E358" s="123"/>
      <c r="H358" s="123"/>
    </row>
    <row r="359" ht="18.75" customHeight="1">
      <c r="E359" s="123"/>
      <c r="H359" s="123"/>
    </row>
    <row r="360" ht="18.75" customHeight="1">
      <c r="E360" s="123"/>
      <c r="H360" s="123"/>
    </row>
    <row r="361" ht="18.75" customHeight="1">
      <c r="E361" s="123"/>
      <c r="H361" s="123"/>
    </row>
    <row r="362" ht="18.75" customHeight="1">
      <c r="E362" s="123"/>
      <c r="H362" s="123"/>
    </row>
    <row r="363" ht="18.75" customHeight="1">
      <c r="E363" s="123"/>
      <c r="H363" s="123"/>
    </row>
    <row r="364" ht="18.75" customHeight="1">
      <c r="E364" s="123"/>
      <c r="H364" s="123"/>
    </row>
    <row r="365" ht="18.75" customHeight="1">
      <c r="E365" s="123"/>
      <c r="H365" s="123"/>
    </row>
    <row r="366" ht="18.75" customHeight="1">
      <c r="E366" s="123"/>
      <c r="H366" s="123"/>
    </row>
    <row r="367" ht="18.75" customHeight="1">
      <c r="E367" s="123"/>
      <c r="H367" s="123"/>
    </row>
    <row r="368" ht="18.75" customHeight="1">
      <c r="E368" s="123"/>
      <c r="H368" s="123"/>
    </row>
    <row r="369" ht="18.75" customHeight="1">
      <c r="E369" s="123"/>
      <c r="H369" s="123"/>
    </row>
    <row r="370" ht="18.75" customHeight="1">
      <c r="E370" s="123"/>
      <c r="H370" s="123"/>
    </row>
    <row r="371" ht="18.75" customHeight="1">
      <c r="E371" s="123"/>
      <c r="H371" s="123"/>
    </row>
    <row r="372" ht="18.75" customHeight="1">
      <c r="E372" s="123"/>
      <c r="H372" s="123"/>
    </row>
    <row r="373" ht="18.75" customHeight="1">
      <c r="E373" s="123"/>
      <c r="H373" s="123"/>
    </row>
    <row r="374" ht="18.75" customHeight="1">
      <c r="E374" s="123"/>
      <c r="H374" s="123"/>
    </row>
    <row r="375" ht="18.75" customHeight="1">
      <c r="E375" s="123"/>
      <c r="H375" s="123"/>
    </row>
    <row r="376" ht="18.75" customHeight="1">
      <c r="E376" s="123"/>
      <c r="H376" s="123"/>
    </row>
    <row r="377" ht="18.75" customHeight="1">
      <c r="E377" s="123"/>
      <c r="H377" s="123"/>
    </row>
    <row r="378" ht="18.75" customHeight="1">
      <c r="E378" s="123"/>
      <c r="H378" s="123"/>
    </row>
    <row r="379" ht="18.75" customHeight="1">
      <c r="E379" s="123"/>
      <c r="H379" s="123"/>
    </row>
    <row r="380" ht="18.75" customHeight="1">
      <c r="E380" s="123"/>
      <c r="H380" s="123"/>
    </row>
    <row r="381" ht="18.75" customHeight="1">
      <c r="E381" s="123"/>
      <c r="H381" s="123"/>
    </row>
    <row r="382" ht="18.75" customHeight="1">
      <c r="E382" s="123"/>
      <c r="H382" s="123"/>
    </row>
    <row r="383" ht="18.75" customHeight="1">
      <c r="E383" s="123"/>
      <c r="H383" s="123"/>
    </row>
    <row r="384" ht="18.75" customHeight="1">
      <c r="E384" s="123"/>
      <c r="H384" s="123"/>
    </row>
    <row r="385" ht="18.75" customHeight="1">
      <c r="E385" s="123"/>
      <c r="H385" s="123"/>
    </row>
    <row r="386" ht="18.75" customHeight="1">
      <c r="E386" s="123"/>
      <c r="H386" s="123"/>
    </row>
    <row r="387" ht="18.75" customHeight="1">
      <c r="E387" s="123"/>
      <c r="H387" s="123"/>
    </row>
    <row r="388" ht="18.75" customHeight="1">
      <c r="E388" s="123"/>
      <c r="H388" s="123"/>
    </row>
    <row r="389" ht="18.75" customHeight="1">
      <c r="E389" s="123"/>
      <c r="H389" s="123"/>
    </row>
    <row r="390" ht="18.75" customHeight="1">
      <c r="E390" s="123"/>
      <c r="H390" s="123"/>
    </row>
    <row r="391" ht="18.75" customHeight="1">
      <c r="E391" s="123"/>
      <c r="H391" s="123"/>
    </row>
    <row r="392" ht="18.75" customHeight="1">
      <c r="E392" s="123"/>
      <c r="H392" s="123"/>
    </row>
    <row r="393" ht="18.75" customHeight="1">
      <c r="E393" s="123"/>
      <c r="H393" s="123"/>
    </row>
    <row r="394" ht="18.75" customHeight="1">
      <c r="E394" s="123"/>
      <c r="H394" s="123"/>
    </row>
    <row r="395" ht="18.75" customHeight="1">
      <c r="E395" s="123"/>
      <c r="H395" s="123"/>
    </row>
    <row r="396" ht="18.75" customHeight="1">
      <c r="E396" s="123"/>
      <c r="H396" s="123"/>
    </row>
    <row r="397" ht="18.75" customHeight="1">
      <c r="E397" s="123"/>
      <c r="H397" s="123"/>
    </row>
    <row r="398" ht="18.75" customHeight="1">
      <c r="E398" s="123"/>
      <c r="H398" s="123"/>
    </row>
    <row r="399" ht="18.75" customHeight="1">
      <c r="E399" s="123"/>
      <c r="H399" s="123"/>
    </row>
    <row r="400" ht="18.75" customHeight="1">
      <c r="E400" s="123"/>
      <c r="H400" s="123"/>
    </row>
    <row r="401" ht="18.75" customHeight="1">
      <c r="E401" s="123"/>
      <c r="H401" s="123"/>
    </row>
    <row r="402" ht="18.75" customHeight="1">
      <c r="E402" s="123"/>
      <c r="H402" s="123"/>
    </row>
    <row r="403" ht="18.75" customHeight="1">
      <c r="E403" s="123"/>
      <c r="H403" s="123"/>
    </row>
    <row r="404" ht="18.75" customHeight="1">
      <c r="E404" s="123"/>
      <c r="H404" s="123"/>
    </row>
    <row r="405" ht="18.75" customHeight="1">
      <c r="E405" s="123"/>
      <c r="H405" s="123"/>
    </row>
    <row r="406" ht="18.75" customHeight="1">
      <c r="E406" s="123"/>
      <c r="H406" s="123"/>
    </row>
    <row r="407" ht="18.75" customHeight="1">
      <c r="E407" s="123"/>
      <c r="H407" s="123"/>
    </row>
    <row r="408" ht="18.75" customHeight="1">
      <c r="E408" s="123"/>
      <c r="H408" s="123"/>
    </row>
    <row r="409" ht="18.75" customHeight="1">
      <c r="E409" s="123"/>
      <c r="H409" s="123"/>
    </row>
    <row r="410" ht="18.75" customHeight="1">
      <c r="E410" s="123"/>
      <c r="H410" s="123"/>
    </row>
    <row r="411" ht="18.75" customHeight="1">
      <c r="E411" s="123"/>
      <c r="H411" s="123"/>
    </row>
    <row r="412" ht="18.75" customHeight="1">
      <c r="E412" s="123"/>
      <c r="H412" s="123"/>
    </row>
    <row r="413" ht="18.75" customHeight="1">
      <c r="E413" s="123"/>
      <c r="H413" s="123"/>
    </row>
    <row r="414" ht="18.75" customHeight="1">
      <c r="E414" s="123"/>
      <c r="H414" s="123"/>
    </row>
    <row r="415" ht="18.75" customHeight="1">
      <c r="E415" s="123"/>
      <c r="H415" s="123"/>
    </row>
    <row r="416" ht="18.75" customHeight="1">
      <c r="E416" s="123"/>
      <c r="H416" s="123"/>
    </row>
    <row r="417" ht="18.75" customHeight="1">
      <c r="E417" s="123"/>
      <c r="H417" s="123"/>
    </row>
    <row r="418" ht="18.75" customHeight="1">
      <c r="E418" s="123"/>
      <c r="H418" s="123"/>
    </row>
    <row r="419" ht="18.75" customHeight="1">
      <c r="E419" s="123"/>
      <c r="H419" s="123"/>
    </row>
    <row r="420" ht="18.75" customHeight="1">
      <c r="E420" s="123"/>
      <c r="H420" s="123"/>
    </row>
    <row r="421" ht="18.75" customHeight="1">
      <c r="E421" s="123"/>
      <c r="H421" s="123"/>
    </row>
    <row r="422" ht="18.75" customHeight="1">
      <c r="E422" s="123"/>
      <c r="H422" s="123"/>
    </row>
    <row r="423" ht="18.75" customHeight="1">
      <c r="E423" s="123"/>
      <c r="H423" s="123"/>
    </row>
    <row r="424" ht="18.75" customHeight="1">
      <c r="E424" s="123"/>
      <c r="H424" s="123"/>
    </row>
    <row r="425" ht="18.75" customHeight="1">
      <c r="E425" s="123"/>
      <c r="H425" s="123"/>
    </row>
    <row r="426" ht="18.75" customHeight="1">
      <c r="E426" s="123"/>
      <c r="H426" s="123"/>
    </row>
    <row r="427" ht="18.75" customHeight="1">
      <c r="E427" s="123"/>
      <c r="H427" s="123"/>
    </row>
    <row r="428" ht="18.75" customHeight="1">
      <c r="E428" s="123"/>
      <c r="H428" s="123"/>
    </row>
    <row r="429" ht="18.75" customHeight="1">
      <c r="E429" s="123"/>
      <c r="H429" s="123"/>
    </row>
    <row r="430" ht="18.75" customHeight="1">
      <c r="E430" s="123"/>
      <c r="H430" s="123"/>
    </row>
    <row r="431" ht="18.75" customHeight="1">
      <c r="E431" s="123"/>
      <c r="H431" s="123"/>
    </row>
    <row r="432" ht="18.75" customHeight="1">
      <c r="E432" s="123"/>
      <c r="H432" s="123"/>
    </row>
    <row r="433" ht="18.75" customHeight="1">
      <c r="E433" s="123"/>
      <c r="H433" s="123"/>
    </row>
    <row r="434" ht="18.75" customHeight="1">
      <c r="E434" s="123"/>
      <c r="H434" s="123"/>
    </row>
    <row r="435" ht="18.75" customHeight="1">
      <c r="E435" s="123"/>
      <c r="H435" s="123"/>
    </row>
    <row r="436" ht="18.75" customHeight="1">
      <c r="E436" s="123"/>
      <c r="H436" s="123"/>
    </row>
    <row r="437" ht="18.75" customHeight="1">
      <c r="E437" s="123"/>
      <c r="H437" s="123"/>
    </row>
    <row r="438" ht="18.75" customHeight="1">
      <c r="E438" s="123"/>
      <c r="H438" s="123"/>
    </row>
    <row r="439" ht="18.75" customHeight="1">
      <c r="E439" s="123"/>
      <c r="H439" s="123"/>
    </row>
    <row r="440" ht="18.75" customHeight="1">
      <c r="E440" s="123"/>
      <c r="H440" s="123"/>
    </row>
    <row r="441" ht="18.75" customHeight="1">
      <c r="E441" s="123"/>
      <c r="H441" s="123"/>
    </row>
    <row r="442" ht="18.75" customHeight="1">
      <c r="E442" s="123"/>
      <c r="H442" s="123"/>
    </row>
    <row r="443" ht="18.75" customHeight="1">
      <c r="E443" s="123"/>
      <c r="H443" s="123"/>
    </row>
    <row r="444" ht="18.75" customHeight="1">
      <c r="E444" s="123"/>
      <c r="H444" s="123"/>
    </row>
    <row r="445" ht="18.75" customHeight="1">
      <c r="E445" s="123"/>
      <c r="H445" s="123"/>
    </row>
    <row r="446" ht="18.75" customHeight="1">
      <c r="E446" s="123"/>
      <c r="H446" s="123"/>
    </row>
    <row r="447" ht="18.75" customHeight="1">
      <c r="E447" s="123"/>
      <c r="H447" s="123"/>
    </row>
    <row r="448" ht="18.75" customHeight="1">
      <c r="E448" s="123"/>
      <c r="H448" s="123"/>
    </row>
    <row r="449" ht="18.75" customHeight="1">
      <c r="E449" s="123"/>
      <c r="H449" s="123"/>
    </row>
    <row r="450" ht="18.75" customHeight="1">
      <c r="E450" s="123"/>
      <c r="H450" s="123"/>
    </row>
    <row r="451" ht="18.75" customHeight="1">
      <c r="E451" s="123"/>
      <c r="H451" s="123"/>
    </row>
    <row r="452" ht="18.75" customHeight="1">
      <c r="E452" s="123"/>
      <c r="H452" s="123"/>
    </row>
    <row r="453" ht="18.75" customHeight="1">
      <c r="E453" s="123"/>
      <c r="H453" s="123"/>
    </row>
    <row r="454" ht="18.75" customHeight="1">
      <c r="E454" s="123"/>
      <c r="H454" s="123"/>
    </row>
    <row r="455" ht="18.75" customHeight="1">
      <c r="E455" s="123"/>
      <c r="H455" s="123"/>
    </row>
    <row r="456" ht="18.75" customHeight="1">
      <c r="E456" s="123"/>
      <c r="H456" s="123"/>
    </row>
    <row r="457" ht="18.75" customHeight="1">
      <c r="E457" s="123"/>
      <c r="H457" s="123"/>
    </row>
    <row r="458" ht="18.75" customHeight="1">
      <c r="E458" s="123"/>
      <c r="H458" s="123"/>
    </row>
    <row r="459" ht="18.75" customHeight="1">
      <c r="E459" s="123"/>
      <c r="H459" s="123"/>
    </row>
    <row r="460" ht="18.75" customHeight="1">
      <c r="E460" s="123"/>
      <c r="H460" s="123"/>
    </row>
    <row r="461" ht="18.75" customHeight="1">
      <c r="E461" s="123"/>
      <c r="H461" s="123"/>
    </row>
    <row r="462" ht="18.75" customHeight="1">
      <c r="E462" s="123"/>
      <c r="H462" s="123"/>
    </row>
    <row r="463" ht="18.75" customHeight="1">
      <c r="E463" s="123"/>
      <c r="H463" s="123"/>
    </row>
    <row r="464" ht="18.75" customHeight="1">
      <c r="E464" s="123"/>
      <c r="H464" s="123"/>
    </row>
    <row r="465" ht="18.75" customHeight="1">
      <c r="E465" s="123"/>
      <c r="H465" s="123"/>
    </row>
    <row r="466" ht="18.75" customHeight="1">
      <c r="E466" s="123"/>
      <c r="H466" s="123"/>
    </row>
    <row r="467" ht="18.75" customHeight="1">
      <c r="E467" s="123"/>
      <c r="H467" s="123"/>
    </row>
    <row r="468" ht="18.75" customHeight="1">
      <c r="E468" s="123"/>
      <c r="H468" s="123"/>
    </row>
    <row r="469" ht="18.75" customHeight="1">
      <c r="E469" s="123"/>
      <c r="H469" s="123"/>
    </row>
    <row r="470" ht="18.75" customHeight="1">
      <c r="E470" s="123"/>
      <c r="H470" s="123"/>
    </row>
    <row r="471" ht="18.75" customHeight="1">
      <c r="E471" s="123"/>
      <c r="H471" s="123"/>
    </row>
    <row r="472" ht="18.75" customHeight="1">
      <c r="E472" s="123"/>
      <c r="H472" s="123"/>
    </row>
    <row r="473" ht="18.75" customHeight="1">
      <c r="E473" s="123"/>
      <c r="H473" s="123"/>
    </row>
    <row r="474" ht="18.75" customHeight="1">
      <c r="E474" s="123"/>
      <c r="H474" s="123"/>
    </row>
    <row r="475" ht="18.75" customHeight="1">
      <c r="E475" s="123"/>
      <c r="H475" s="123"/>
    </row>
    <row r="476" ht="18.75" customHeight="1">
      <c r="E476" s="123"/>
      <c r="H476" s="123"/>
    </row>
    <row r="477" ht="18.75" customHeight="1">
      <c r="E477" s="123"/>
      <c r="H477" s="123"/>
    </row>
    <row r="478" ht="18.75" customHeight="1">
      <c r="E478" s="123"/>
      <c r="H478" s="123"/>
    </row>
    <row r="479" ht="18.75" customHeight="1">
      <c r="E479" s="123"/>
      <c r="H479" s="123"/>
    </row>
    <row r="480" ht="18.75" customHeight="1">
      <c r="E480" s="123"/>
      <c r="H480" s="123"/>
    </row>
    <row r="481" ht="18.75" customHeight="1">
      <c r="E481" s="123"/>
      <c r="H481" s="123"/>
    </row>
    <row r="482" ht="18.75" customHeight="1">
      <c r="E482" s="123"/>
      <c r="H482" s="123"/>
    </row>
    <row r="483" ht="18.75" customHeight="1">
      <c r="E483" s="123"/>
      <c r="H483" s="123"/>
    </row>
    <row r="484" ht="18.75" customHeight="1">
      <c r="E484" s="123"/>
      <c r="H484" s="123"/>
    </row>
    <row r="485" ht="18.75" customHeight="1">
      <c r="E485" s="123"/>
      <c r="H485" s="123"/>
    </row>
    <row r="486" ht="18.75" customHeight="1">
      <c r="E486" s="123"/>
      <c r="H486" s="123"/>
    </row>
    <row r="487" ht="18.75" customHeight="1">
      <c r="E487" s="123"/>
      <c r="H487" s="123"/>
    </row>
    <row r="488" ht="18.75" customHeight="1">
      <c r="E488" s="123"/>
      <c r="H488" s="123"/>
    </row>
    <row r="489" ht="18.75" customHeight="1">
      <c r="E489" s="123"/>
      <c r="H489" s="123"/>
    </row>
    <row r="490" ht="18.75" customHeight="1">
      <c r="E490" s="123"/>
      <c r="H490" s="123"/>
    </row>
    <row r="491" ht="18.75" customHeight="1">
      <c r="E491" s="123"/>
      <c r="H491" s="123"/>
    </row>
    <row r="492" ht="18.75" customHeight="1">
      <c r="E492" s="123"/>
      <c r="H492" s="123"/>
    </row>
    <row r="493" ht="18.75" customHeight="1">
      <c r="E493" s="123"/>
      <c r="H493" s="123"/>
    </row>
    <row r="494" ht="18.75" customHeight="1">
      <c r="E494" s="123"/>
      <c r="H494" s="123"/>
    </row>
    <row r="495" ht="18.75" customHeight="1">
      <c r="E495" s="123"/>
      <c r="H495" s="123"/>
    </row>
    <row r="496" ht="18.75" customHeight="1">
      <c r="E496" s="123"/>
      <c r="H496" s="123"/>
    </row>
    <row r="497" ht="18.75" customHeight="1">
      <c r="E497" s="123"/>
      <c r="H497" s="123"/>
    </row>
    <row r="498" ht="18.75" customHeight="1">
      <c r="E498" s="123"/>
      <c r="H498" s="123"/>
    </row>
    <row r="499" ht="18.75" customHeight="1">
      <c r="E499" s="123"/>
      <c r="H499" s="123"/>
    </row>
    <row r="500" ht="18.75" customHeight="1">
      <c r="E500" s="123"/>
      <c r="H500" s="123"/>
    </row>
    <row r="501" ht="18.75" customHeight="1">
      <c r="E501" s="123"/>
      <c r="H501" s="123"/>
    </row>
    <row r="502" ht="18.75" customHeight="1">
      <c r="E502" s="123"/>
      <c r="H502" s="123"/>
    </row>
    <row r="503" ht="18.75" customHeight="1">
      <c r="E503" s="123"/>
      <c r="H503" s="123"/>
    </row>
    <row r="504" ht="18.75" customHeight="1">
      <c r="E504" s="123"/>
      <c r="H504" s="123"/>
    </row>
    <row r="505" ht="18.75" customHeight="1">
      <c r="E505" s="123"/>
      <c r="H505" s="123"/>
    </row>
    <row r="506" ht="18.75" customHeight="1">
      <c r="E506" s="123"/>
      <c r="H506" s="123"/>
    </row>
    <row r="507" ht="18.75" customHeight="1">
      <c r="E507" s="123"/>
      <c r="H507" s="123"/>
    </row>
    <row r="508" ht="18.75" customHeight="1">
      <c r="E508" s="123"/>
      <c r="H508" s="123"/>
    </row>
    <row r="509" ht="18.75" customHeight="1">
      <c r="E509" s="123"/>
      <c r="H509" s="123"/>
    </row>
    <row r="510" ht="18.75" customHeight="1">
      <c r="E510" s="123"/>
      <c r="H510" s="123"/>
    </row>
    <row r="511" ht="18.75" customHeight="1">
      <c r="E511" s="123"/>
      <c r="H511" s="123"/>
    </row>
    <row r="512" ht="18.75" customHeight="1">
      <c r="E512" s="123"/>
      <c r="H512" s="123"/>
    </row>
    <row r="513" ht="18.75" customHeight="1">
      <c r="E513" s="123"/>
      <c r="H513" s="123"/>
    </row>
    <row r="514" ht="18.75" customHeight="1">
      <c r="E514" s="123"/>
      <c r="H514" s="123"/>
    </row>
    <row r="515" ht="18.75" customHeight="1">
      <c r="E515" s="123"/>
      <c r="H515" s="123"/>
    </row>
    <row r="516" ht="18.75" customHeight="1">
      <c r="E516" s="123"/>
      <c r="H516" s="123"/>
    </row>
    <row r="517" ht="18.75" customHeight="1">
      <c r="E517" s="123"/>
      <c r="H517" s="123"/>
    </row>
    <row r="518" ht="18.75" customHeight="1">
      <c r="E518" s="123"/>
      <c r="H518" s="123"/>
    </row>
    <row r="519" ht="18.75" customHeight="1">
      <c r="E519" s="123"/>
      <c r="H519" s="123"/>
    </row>
    <row r="520" ht="18.75" customHeight="1">
      <c r="E520" s="123"/>
      <c r="H520" s="123"/>
    </row>
    <row r="521" ht="18.75" customHeight="1">
      <c r="E521" s="123"/>
      <c r="H521" s="123"/>
    </row>
    <row r="522" ht="18.75" customHeight="1">
      <c r="E522" s="123"/>
      <c r="H522" s="123"/>
    </row>
    <row r="523" ht="18.75" customHeight="1">
      <c r="E523" s="123"/>
      <c r="H523" s="123"/>
    </row>
    <row r="524" ht="18.75" customHeight="1">
      <c r="E524" s="123"/>
      <c r="H524" s="123"/>
    </row>
    <row r="525" ht="18.75" customHeight="1">
      <c r="E525" s="123"/>
      <c r="H525" s="123"/>
    </row>
    <row r="526" ht="18.75" customHeight="1">
      <c r="E526" s="123"/>
      <c r="H526" s="123"/>
    </row>
    <row r="527" ht="18.75" customHeight="1">
      <c r="E527" s="123"/>
      <c r="H527" s="123"/>
    </row>
    <row r="528" ht="18.75" customHeight="1">
      <c r="E528" s="123"/>
      <c r="H528" s="123"/>
    </row>
    <row r="529" ht="18.75" customHeight="1">
      <c r="E529" s="123"/>
      <c r="H529" s="123"/>
    </row>
    <row r="530" ht="18.75" customHeight="1">
      <c r="E530" s="123"/>
      <c r="H530" s="123"/>
    </row>
    <row r="531" ht="18.75" customHeight="1">
      <c r="E531" s="123"/>
      <c r="H531" s="123"/>
    </row>
    <row r="532" ht="18.75" customHeight="1">
      <c r="E532" s="123"/>
      <c r="H532" s="123"/>
    </row>
    <row r="533" ht="18.75" customHeight="1">
      <c r="E533" s="123"/>
      <c r="H533" s="123"/>
    </row>
    <row r="534" ht="18.75" customHeight="1">
      <c r="E534" s="123"/>
      <c r="H534" s="123"/>
    </row>
    <row r="535" ht="18.75" customHeight="1">
      <c r="E535" s="123"/>
      <c r="H535" s="123"/>
    </row>
    <row r="536" ht="18.75" customHeight="1">
      <c r="E536" s="123"/>
      <c r="H536" s="123"/>
    </row>
    <row r="537" ht="18.75" customHeight="1">
      <c r="E537" s="123"/>
      <c r="H537" s="123"/>
    </row>
    <row r="538" ht="18.75" customHeight="1">
      <c r="E538" s="123"/>
      <c r="H538" s="123"/>
    </row>
    <row r="539" ht="18.75" customHeight="1">
      <c r="E539" s="123"/>
      <c r="H539" s="123"/>
    </row>
    <row r="540" ht="18.75" customHeight="1">
      <c r="E540" s="123"/>
      <c r="H540" s="123"/>
    </row>
    <row r="541" ht="18.75" customHeight="1">
      <c r="E541" s="123"/>
      <c r="H541" s="123"/>
    </row>
    <row r="542" ht="18.75" customHeight="1">
      <c r="E542" s="123"/>
      <c r="H542" s="123"/>
    </row>
    <row r="543" ht="18.75" customHeight="1">
      <c r="E543" s="123"/>
      <c r="H543" s="123"/>
    </row>
    <row r="544" ht="18.75" customHeight="1">
      <c r="E544" s="123"/>
      <c r="H544" s="123"/>
    </row>
    <row r="545" ht="18.75" customHeight="1">
      <c r="E545" s="123"/>
      <c r="H545" s="123"/>
    </row>
    <row r="546" ht="18.75" customHeight="1">
      <c r="E546" s="123"/>
      <c r="H546" s="123"/>
    </row>
    <row r="547" ht="18.75" customHeight="1">
      <c r="E547" s="123"/>
      <c r="H547" s="123"/>
    </row>
    <row r="548" ht="18.75" customHeight="1">
      <c r="E548" s="123"/>
      <c r="H548" s="123"/>
    </row>
    <row r="549" ht="18.75" customHeight="1">
      <c r="E549" s="123"/>
      <c r="H549" s="123"/>
    </row>
    <row r="550" ht="18.75" customHeight="1">
      <c r="E550" s="123"/>
      <c r="H550" s="123"/>
    </row>
    <row r="551" ht="18.75" customHeight="1">
      <c r="E551" s="123"/>
      <c r="H551" s="123"/>
    </row>
    <row r="552" ht="18.75" customHeight="1">
      <c r="E552" s="123"/>
      <c r="H552" s="123"/>
    </row>
    <row r="553" ht="18.75" customHeight="1">
      <c r="E553" s="123"/>
      <c r="H553" s="123"/>
    </row>
    <row r="554" ht="18.75" customHeight="1">
      <c r="E554" s="123"/>
      <c r="H554" s="123"/>
    </row>
    <row r="555" ht="18.75" customHeight="1">
      <c r="E555" s="123"/>
      <c r="H555" s="123"/>
    </row>
    <row r="556" ht="18.75" customHeight="1">
      <c r="E556" s="123"/>
      <c r="H556" s="123"/>
    </row>
    <row r="557" ht="18.75" customHeight="1">
      <c r="E557" s="123"/>
      <c r="H557" s="123"/>
    </row>
    <row r="558" ht="18.75" customHeight="1">
      <c r="E558" s="123"/>
      <c r="H558" s="123"/>
    </row>
    <row r="559" ht="18.75" customHeight="1">
      <c r="E559" s="123"/>
      <c r="H559" s="123"/>
    </row>
    <row r="560" ht="18.75" customHeight="1">
      <c r="E560" s="123"/>
      <c r="H560" s="123"/>
    </row>
    <row r="561" ht="18.75" customHeight="1">
      <c r="E561" s="123"/>
      <c r="H561" s="123"/>
    </row>
    <row r="562" ht="18.75" customHeight="1">
      <c r="E562" s="123"/>
      <c r="H562" s="123"/>
    </row>
    <row r="563" ht="18.75" customHeight="1">
      <c r="E563" s="123"/>
      <c r="H563" s="123"/>
    </row>
    <row r="564" ht="18.75" customHeight="1">
      <c r="E564" s="123"/>
      <c r="H564" s="123"/>
    </row>
    <row r="565" ht="18.75" customHeight="1">
      <c r="E565" s="123"/>
      <c r="H565" s="123"/>
    </row>
    <row r="566" ht="18.75" customHeight="1">
      <c r="E566" s="123"/>
      <c r="H566" s="123"/>
    </row>
    <row r="567" ht="18.75" customHeight="1">
      <c r="E567" s="123"/>
      <c r="H567" s="123"/>
    </row>
    <row r="568" ht="18.75" customHeight="1">
      <c r="E568" s="123"/>
      <c r="H568" s="123"/>
    </row>
    <row r="569" ht="18.75" customHeight="1">
      <c r="E569" s="123"/>
      <c r="H569" s="123"/>
    </row>
    <row r="570" ht="18.75" customHeight="1">
      <c r="E570" s="123"/>
      <c r="H570" s="123"/>
    </row>
    <row r="571" ht="18.75" customHeight="1">
      <c r="E571" s="123"/>
      <c r="H571" s="123"/>
    </row>
    <row r="572" ht="18.75" customHeight="1">
      <c r="E572" s="123"/>
      <c r="H572" s="123"/>
    </row>
    <row r="573" ht="18.75" customHeight="1">
      <c r="E573" s="123"/>
      <c r="H573" s="123"/>
    </row>
    <row r="574" ht="18.75" customHeight="1">
      <c r="E574" s="123"/>
      <c r="H574" s="123"/>
    </row>
    <row r="575" ht="18.75" customHeight="1">
      <c r="E575" s="123"/>
      <c r="H575" s="123"/>
    </row>
    <row r="576" ht="18.75" customHeight="1">
      <c r="E576" s="123"/>
      <c r="H576" s="123"/>
    </row>
    <row r="577" ht="18.75" customHeight="1">
      <c r="E577" s="123"/>
      <c r="H577" s="123"/>
    </row>
    <row r="578" ht="18.75" customHeight="1">
      <c r="E578" s="123"/>
      <c r="H578" s="123"/>
    </row>
    <row r="579" ht="18.75" customHeight="1">
      <c r="E579" s="123"/>
      <c r="H579" s="123"/>
    </row>
    <row r="580" ht="18.75" customHeight="1">
      <c r="E580" s="123"/>
      <c r="H580" s="123"/>
    </row>
    <row r="581" ht="18.75" customHeight="1">
      <c r="E581" s="123"/>
      <c r="H581" s="123"/>
    </row>
    <row r="582" ht="18.75" customHeight="1">
      <c r="E582" s="123"/>
      <c r="H582" s="123"/>
    </row>
    <row r="583" ht="18.75" customHeight="1">
      <c r="E583" s="123"/>
      <c r="H583" s="123"/>
    </row>
    <row r="584" ht="18.75" customHeight="1">
      <c r="E584" s="123"/>
      <c r="H584" s="123"/>
    </row>
    <row r="585" ht="18.75" customHeight="1">
      <c r="E585" s="123"/>
      <c r="H585" s="123"/>
    </row>
    <row r="586" ht="18.75" customHeight="1">
      <c r="E586" s="123"/>
      <c r="H586" s="123"/>
    </row>
    <row r="587" ht="18.75" customHeight="1">
      <c r="E587" s="123"/>
      <c r="H587" s="123"/>
    </row>
    <row r="588" ht="18.75" customHeight="1">
      <c r="E588" s="123"/>
      <c r="H588" s="123"/>
    </row>
    <row r="589" ht="18.75" customHeight="1">
      <c r="E589" s="123"/>
      <c r="H589" s="123"/>
    </row>
    <row r="590" ht="18.75" customHeight="1">
      <c r="E590" s="123"/>
      <c r="H590" s="123"/>
    </row>
    <row r="591" ht="18.75" customHeight="1">
      <c r="E591" s="123"/>
      <c r="H591" s="123"/>
    </row>
    <row r="592" ht="18.75" customHeight="1">
      <c r="E592" s="123"/>
      <c r="H592" s="123"/>
    </row>
    <row r="593" ht="18.75" customHeight="1">
      <c r="E593" s="123"/>
      <c r="H593" s="123"/>
    </row>
    <row r="594" ht="18.75" customHeight="1">
      <c r="E594" s="123"/>
      <c r="H594" s="123"/>
    </row>
    <row r="595" ht="18.75" customHeight="1">
      <c r="E595" s="123"/>
      <c r="H595" s="123"/>
    </row>
    <row r="596" ht="18.75" customHeight="1">
      <c r="E596" s="123"/>
      <c r="H596" s="123"/>
    </row>
    <row r="597" ht="18.75" customHeight="1">
      <c r="E597" s="123"/>
      <c r="H597" s="123"/>
    </row>
    <row r="598" ht="18.75" customHeight="1">
      <c r="E598" s="123"/>
      <c r="H598" s="123"/>
    </row>
    <row r="599" ht="18.75" customHeight="1">
      <c r="E599" s="123"/>
      <c r="H599" s="123"/>
    </row>
    <row r="600" ht="18.75" customHeight="1">
      <c r="E600" s="123"/>
      <c r="H600" s="123"/>
    </row>
    <row r="601" ht="18.75" customHeight="1">
      <c r="E601" s="123"/>
      <c r="H601" s="123"/>
    </row>
    <row r="602" ht="18.75" customHeight="1">
      <c r="E602" s="123"/>
      <c r="H602" s="123"/>
    </row>
    <row r="603" ht="18.75" customHeight="1">
      <c r="E603" s="123"/>
      <c r="H603" s="123"/>
    </row>
    <row r="604" ht="18.75" customHeight="1">
      <c r="E604" s="123"/>
      <c r="H604" s="123"/>
    </row>
    <row r="605" ht="18.75" customHeight="1">
      <c r="E605" s="123"/>
      <c r="H605" s="123"/>
    </row>
    <row r="606" ht="18.75" customHeight="1">
      <c r="E606" s="123"/>
      <c r="H606" s="123"/>
    </row>
    <row r="607" ht="18.75" customHeight="1">
      <c r="E607" s="123"/>
      <c r="H607" s="123"/>
    </row>
    <row r="608" ht="18.75" customHeight="1">
      <c r="E608" s="123"/>
      <c r="H608" s="123"/>
    </row>
    <row r="609" ht="18.75" customHeight="1">
      <c r="E609" s="123"/>
      <c r="H609" s="123"/>
    </row>
    <row r="610" ht="18.75" customHeight="1">
      <c r="E610" s="123"/>
      <c r="H610" s="123"/>
    </row>
    <row r="611" ht="18.75" customHeight="1">
      <c r="E611" s="123"/>
      <c r="H611" s="123"/>
    </row>
    <row r="612" ht="18.75" customHeight="1">
      <c r="E612" s="123"/>
      <c r="H612" s="123"/>
    </row>
    <row r="613" ht="18.75" customHeight="1">
      <c r="E613" s="123"/>
      <c r="H613" s="123"/>
    </row>
    <row r="614" ht="18.75" customHeight="1">
      <c r="E614" s="123"/>
      <c r="H614" s="123"/>
    </row>
    <row r="615" ht="18.75" customHeight="1">
      <c r="E615" s="123"/>
      <c r="H615" s="123"/>
    </row>
    <row r="616" ht="18.75" customHeight="1">
      <c r="E616" s="123"/>
      <c r="H616" s="123"/>
    </row>
    <row r="617" ht="18.75" customHeight="1">
      <c r="E617" s="123"/>
      <c r="H617" s="123"/>
    </row>
    <row r="618" ht="18.75" customHeight="1">
      <c r="E618" s="123"/>
      <c r="H618" s="123"/>
    </row>
    <row r="619" ht="18.75" customHeight="1">
      <c r="E619" s="123"/>
      <c r="H619" s="123"/>
    </row>
    <row r="620" ht="18.75" customHeight="1">
      <c r="E620" s="123"/>
      <c r="H620" s="123"/>
    </row>
    <row r="621" ht="18.75" customHeight="1">
      <c r="E621" s="123"/>
      <c r="H621" s="123"/>
    </row>
    <row r="622" ht="18.75" customHeight="1">
      <c r="E622" s="123"/>
      <c r="H622" s="123"/>
    </row>
    <row r="623" ht="18.75" customHeight="1">
      <c r="E623" s="123"/>
      <c r="H623" s="123"/>
    </row>
    <row r="624" ht="18.75" customHeight="1">
      <c r="E624" s="123"/>
      <c r="H624" s="123"/>
    </row>
    <row r="625" ht="18.75" customHeight="1">
      <c r="E625" s="123"/>
      <c r="H625" s="123"/>
    </row>
    <row r="626" ht="18.75" customHeight="1">
      <c r="E626" s="123"/>
      <c r="H626" s="123"/>
    </row>
    <row r="627" ht="18.75" customHeight="1">
      <c r="E627" s="123"/>
      <c r="H627" s="123"/>
    </row>
    <row r="628" ht="18.75" customHeight="1">
      <c r="E628" s="123"/>
      <c r="H628" s="123"/>
    </row>
    <row r="629" ht="18.75" customHeight="1">
      <c r="E629" s="123"/>
      <c r="H629" s="123"/>
    </row>
    <row r="630" ht="18.75" customHeight="1">
      <c r="E630" s="123"/>
      <c r="H630" s="123"/>
    </row>
    <row r="631" ht="18.75" customHeight="1">
      <c r="E631" s="123"/>
      <c r="H631" s="123"/>
    </row>
    <row r="632" ht="18.75" customHeight="1">
      <c r="E632" s="123"/>
      <c r="H632" s="123"/>
    </row>
    <row r="633" ht="18.75" customHeight="1">
      <c r="E633" s="123"/>
      <c r="H633" s="123"/>
    </row>
    <row r="634" ht="18.75" customHeight="1">
      <c r="E634" s="123"/>
      <c r="H634" s="123"/>
    </row>
    <row r="635" ht="18.75" customHeight="1">
      <c r="E635" s="123"/>
      <c r="H635" s="123"/>
    </row>
    <row r="636" ht="18.75" customHeight="1">
      <c r="E636" s="123"/>
      <c r="H636" s="123"/>
    </row>
    <row r="637" ht="18.75" customHeight="1">
      <c r="E637" s="123"/>
      <c r="H637" s="123"/>
    </row>
    <row r="638" ht="18.75" customHeight="1">
      <c r="E638" s="123"/>
      <c r="H638" s="123"/>
    </row>
    <row r="639" ht="18.75" customHeight="1">
      <c r="E639" s="123"/>
      <c r="H639" s="123"/>
    </row>
    <row r="640" ht="18.75" customHeight="1">
      <c r="E640" s="123"/>
      <c r="H640" s="123"/>
    </row>
    <row r="641" ht="18.75" customHeight="1">
      <c r="E641" s="123"/>
      <c r="H641" s="123"/>
    </row>
    <row r="642" ht="18.75" customHeight="1">
      <c r="E642" s="123"/>
      <c r="H642" s="123"/>
    </row>
    <row r="643" ht="18.75" customHeight="1">
      <c r="E643" s="123"/>
      <c r="H643" s="123"/>
    </row>
    <row r="644" ht="18.75" customHeight="1">
      <c r="E644" s="123"/>
      <c r="H644" s="123"/>
    </row>
    <row r="645" ht="18.75" customHeight="1">
      <c r="E645" s="123"/>
      <c r="H645" s="123"/>
    </row>
    <row r="646" ht="18.75" customHeight="1">
      <c r="E646" s="123"/>
      <c r="H646" s="123"/>
    </row>
    <row r="647" ht="18.75" customHeight="1">
      <c r="E647" s="123"/>
      <c r="H647" s="123"/>
    </row>
    <row r="648" ht="18.75" customHeight="1">
      <c r="E648" s="123"/>
      <c r="H648" s="123"/>
    </row>
    <row r="649" ht="18.75" customHeight="1">
      <c r="E649" s="123"/>
      <c r="H649" s="123"/>
    </row>
    <row r="650" ht="18.75" customHeight="1">
      <c r="E650" s="123"/>
      <c r="H650" s="123"/>
    </row>
    <row r="651" ht="18.75" customHeight="1">
      <c r="E651" s="123"/>
      <c r="H651" s="123"/>
    </row>
    <row r="652" ht="18.75" customHeight="1">
      <c r="E652" s="123"/>
      <c r="H652" s="123"/>
    </row>
    <row r="653" ht="18.75" customHeight="1">
      <c r="E653" s="123"/>
      <c r="H653" s="123"/>
    </row>
    <row r="654" ht="18.75" customHeight="1">
      <c r="E654" s="123"/>
      <c r="H654" s="123"/>
    </row>
    <row r="655" ht="18.75" customHeight="1">
      <c r="E655" s="123"/>
      <c r="H655" s="123"/>
    </row>
    <row r="656" ht="18.75" customHeight="1">
      <c r="E656" s="123"/>
      <c r="H656" s="123"/>
    </row>
    <row r="657" ht="18.75" customHeight="1">
      <c r="E657" s="123"/>
      <c r="H657" s="123"/>
    </row>
    <row r="658" ht="18.75" customHeight="1">
      <c r="E658" s="123"/>
      <c r="H658" s="123"/>
    </row>
    <row r="659" ht="18.75" customHeight="1">
      <c r="E659" s="123"/>
      <c r="H659" s="123"/>
    </row>
    <row r="660" ht="18.75" customHeight="1">
      <c r="E660" s="123"/>
      <c r="H660" s="123"/>
    </row>
    <row r="661" ht="18.75" customHeight="1">
      <c r="E661" s="123"/>
      <c r="H661" s="123"/>
    </row>
    <row r="662" ht="18.75" customHeight="1">
      <c r="E662" s="123"/>
      <c r="H662" s="123"/>
    </row>
    <row r="663" ht="18.75" customHeight="1">
      <c r="E663" s="123"/>
      <c r="H663" s="123"/>
    </row>
    <row r="664" ht="18.75" customHeight="1">
      <c r="E664" s="123"/>
      <c r="H664" s="123"/>
    </row>
    <row r="665" ht="18.75" customHeight="1">
      <c r="E665" s="123"/>
      <c r="H665" s="123"/>
    </row>
    <row r="666" ht="18.75" customHeight="1">
      <c r="E666" s="123"/>
      <c r="H666" s="123"/>
    </row>
    <row r="667" ht="18.75" customHeight="1">
      <c r="E667" s="123"/>
      <c r="H667" s="123"/>
    </row>
    <row r="668" ht="18.75" customHeight="1">
      <c r="E668" s="123"/>
      <c r="H668" s="123"/>
    </row>
    <row r="669" ht="18.75" customHeight="1">
      <c r="E669" s="123"/>
      <c r="H669" s="123"/>
    </row>
    <row r="670" ht="18.75" customHeight="1">
      <c r="E670" s="123"/>
      <c r="H670" s="123"/>
    </row>
    <row r="671" ht="18.75" customHeight="1">
      <c r="E671" s="123"/>
      <c r="H671" s="123"/>
    </row>
    <row r="672" ht="18.75" customHeight="1">
      <c r="E672" s="123"/>
      <c r="H672" s="123"/>
    </row>
    <row r="673" ht="18.75" customHeight="1">
      <c r="E673" s="123"/>
      <c r="H673" s="123"/>
    </row>
    <row r="674" ht="18.75" customHeight="1">
      <c r="E674" s="123"/>
      <c r="H674" s="123"/>
    </row>
    <row r="675" ht="18.75" customHeight="1">
      <c r="E675" s="123"/>
      <c r="H675" s="123"/>
    </row>
    <row r="676" ht="18.75" customHeight="1">
      <c r="E676" s="123"/>
      <c r="H676" s="123"/>
    </row>
    <row r="677" ht="18.75" customHeight="1">
      <c r="E677" s="123"/>
      <c r="H677" s="123"/>
    </row>
    <row r="678" ht="18.75" customHeight="1">
      <c r="E678" s="123"/>
      <c r="H678" s="123"/>
    </row>
    <row r="679" ht="18.75" customHeight="1">
      <c r="E679" s="123"/>
      <c r="H679" s="123"/>
    </row>
    <row r="680" ht="18.75" customHeight="1">
      <c r="E680" s="123"/>
      <c r="H680" s="123"/>
    </row>
    <row r="681" ht="18.75" customHeight="1">
      <c r="E681" s="123"/>
      <c r="H681" s="123"/>
    </row>
    <row r="682" ht="18.75" customHeight="1">
      <c r="E682" s="123"/>
      <c r="H682" s="123"/>
    </row>
    <row r="683" ht="18.75" customHeight="1">
      <c r="E683" s="123"/>
      <c r="H683" s="123"/>
    </row>
    <row r="684" ht="18.75" customHeight="1">
      <c r="E684" s="123"/>
      <c r="H684" s="123"/>
    </row>
    <row r="685" ht="18.75" customHeight="1">
      <c r="E685" s="123"/>
      <c r="H685" s="123"/>
    </row>
    <row r="686" ht="18.75" customHeight="1">
      <c r="E686" s="123"/>
      <c r="H686" s="123"/>
    </row>
    <row r="687" ht="18.75" customHeight="1">
      <c r="E687" s="123"/>
      <c r="H687" s="123"/>
    </row>
    <row r="688" ht="18.75" customHeight="1">
      <c r="E688" s="123"/>
      <c r="H688" s="123"/>
    </row>
    <row r="689" ht="18.75" customHeight="1">
      <c r="E689" s="123"/>
      <c r="H689" s="123"/>
    </row>
    <row r="690" ht="18.75" customHeight="1">
      <c r="E690" s="123"/>
      <c r="H690" s="123"/>
    </row>
    <row r="691" ht="18.75" customHeight="1">
      <c r="E691" s="123"/>
      <c r="H691" s="123"/>
    </row>
    <row r="692" ht="18.75" customHeight="1">
      <c r="E692" s="123"/>
      <c r="H692" s="123"/>
    </row>
    <row r="693" ht="18.75" customHeight="1">
      <c r="E693" s="123"/>
      <c r="H693" s="123"/>
    </row>
    <row r="694" ht="18.75" customHeight="1">
      <c r="E694" s="123"/>
      <c r="H694" s="123"/>
    </row>
    <row r="695" ht="18.75" customHeight="1">
      <c r="E695" s="123"/>
      <c r="H695" s="123"/>
    </row>
    <row r="696" ht="18.75" customHeight="1">
      <c r="E696" s="123"/>
      <c r="H696" s="123"/>
    </row>
    <row r="697" ht="18.75" customHeight="1">
      <c r="E697" s="123"/>
      <c r="H697" s="123"/>
    </row>
    <row r="698" ht="18.75" customHeight="1">
      <c r="E698" s="123"/>
      <c r="H698" s="123"/>
    </row>
    <row r="699" ht="18.75" customHeight="1">
      <c r="E699" s="123"/>
      <c r="H699" s="123"/>
    </row>
    <row r="700" ht="18.75" customHeight="1">
      <c r="E700" s="123"/>
      <c r="H700" s="123"/>
    </row>
    <row r="701" ht="18.75" customHeight="1">
      <c r="E701" s="123"/>
      <c r="H701" s="123"/>
    </row>
    <row r="702" ht="18.75" customHeight="1">
      <c r="E702" s="123"/>
      <c r="H702" s="123"/>
    </row>
    <row r="703" ht="18.75" customHeight="1">
      <c r="E703" s="123"/>
      <c r="H703" s="123"/>
    </row>
    <row r="704" ht="18.75" customHeight="1">
      <c r="E704" s="123"/>
      <c r="H704" s="123"/>
    </row>
    <row r="705" ht="18.75" customHeight="1">
      <c r="E705" s="123"/>
      <c r="H705" s="123"/>
    </row>
    <row r="706" ht="18.75" customHeight="1">
      <c r="E706" s="123"/>
      <c r="H706" s="123"/>
    </row>
    <row r="707" ht="18.75" customHeight="1">
      <c r="E707" s="123"/>
      <c r="H707" s="123"/>
    </row>
    <row r="708" ht="18.75" customHeight="1">
      <c r="E708" s="123"/>
      <c r="H708" s="123"/>
    </row>
    <row r="709" ht="18.75" customHeight="1">
      <c r="E709" s="123"/>
      <c r="H709" s="123"/>
    </row>
    <row r="710" ht="18.75" customHeight="1">
      <c r="E710" s="123"/>
      <c r="H710" s="123"/>
    </row>
    <row r="711" ht="18.75" customHeight="1">
      <c r="E711" s="123"/>
      <c r="H711" s="123"/>
    </row>
    <row r="712" ht="18.75" customHeight="1">
      <c r="E712" s="123"/>
      <c r="H712" s="123"/>
    </row>
    <row r="713" ht="18.75" customHeight="1">
      <c r="E713" s="123"/>
      <c r="H713" s="123"/>
    </row>
    <row r="714" ht="18.75" customHeight="1">
      <c r="E714" s="123"/>
      <c r="H714" s="123"/>
    </row>
    <row r="715" ht="18.75" customHeight="1">
      <c r="E715" s="123"/>
      <c r="H715" s="123"/>
    </row>
    <row r="716" ht="18.75" customHeight="1">
      <c r="E716" s="123"/>
      <c r="H716" s="123"/>
    </row>
    <row r="717" ht="18.75" customHeight="1">
      <c r="E717" s="123"/>
      <c r="H717" s="123"/>
    </row>
    <row r="718" ht="18.75" customHeight="1">
      <c r="E718" s="123"/>
      <c r="H718" s="123"/>
    </row>
    <row r="719" ht="18.75" customHeight="1">
      <c r="E719" s="123"/>
      <c r="H719" s="123"/>
    </row>
    <row r="720" ht="18.75" customHeight="1">
      <c r="E720" s="123"/>
      <c r="H720" s="123"/>
    </row>
    <row r="721" ht="18.75" customHeight="1">
      <c r="E721" s="123"/>
      <c r="H721" s="123"/>
    </row>
    <row r="722" ht="18.75" customHeight="1">
      <c r="E722" s="123"/>
      <c r="H722" s="123"/>
    </row>
    <row r="723" ht="18.75" customHeight="1">
      <c r="E723" s="123"/>
      <c r="H723" s="123"/>
    </row>
    <row r="724" ht="18.75" customHeight="1">
      <c r="E724" s="123"/>
      <c r="H724" s="123"/>
    </row>
    <row r="725" ht="18.75" customHeight="1">
      <c r="E725" s="123"/>
      <c r="H725" s="123"/>
    </row>
    <row r="726" ht="18.75" customHeight="1">
      <c r="E726" s="123"/>
      <c r="H726" s="123"/>
    </row>
    <row r="727" ht="18.75" customHeight="1">
      <c r="E727" s="123"/>
      <c r="H727" s="123"/>
    </row>
    <row r="728" ht="18.75" customHeight="1">
      <c r="E728" s="123"/>
      <c r="H728" s="123"/>
    </row>
    <row r="729" ht="18.75" customHeight="1">
      <c r="E729" s="123"/>
      <c r="H729" s="123"/>
    </row>
    <row r="730" ht="18.75" customHeight="1">
      <c r="E730" s="123"/>
      <c r="H730" s="123"/>
    </row>
    <row r="731" ht="18.75" customHeight="1">
      <c r="E731" s="123"/>
      <c r="H731" s="123"/>
    </row>
    <row r="732" ht="18.75" customHeight="1">
      <c r="E732" s="123"/>
      <c r="H732" s="123"/>
    </row>
    <row r="733" ht="18.75" customHeight="1">
      <c r="E733" s="123"/>
      <c r="H733" s="123"/>
    </row>
    <row r="734" ht="18.75" customHeight="1">
      <c r="E734" s="123"/>
      <c r="H734" s="123"/>
    </row>
    <row r="735" ht="18.75" customHeight="1">
      <c r="E735" s="123"/>
      <c r="H735" s="123"/>
    </row>
    <row r="736" ht="18.75" customHeight="1">
      <c r="E736" s="123"/>
      <c r="H736" s="123"/>
    </row>
    <row r="737" ht="18.75" customHeight="1">
      <c r="E737" s="123"/>
      <c r="H737" s="123"/>
    </row>
    <row r="738" ht="18.75" customHeight="1">
      <c r="E738" s="123"/>
      <c r="H738" s="123"/>
    </row>
    <row r="739" ht="18.75" customHeight="1">
      <c r="E739" s="123"/>
      <c r="H739" s="123"/>
    </row>
    <row r="740" ht="18.75" customHeight="1">
      <c r="E740" s="123"/>
      <c r="H740" s="123"/>
    </row>
    <row r="741" ht="18.75" customHeight="1">
      <c r="E741" s="123"/>
      <c r="H741" s="123"/>
    </row>
    <row r="742" ht="18.75" customHeight="1">
      <c r="E742" s="123"/>
      <c r="H742" s="123"/>
    </row>
    <row r="743" ht="18.75" customHeight="1">
      <c r="E743" s="123"/>
      <c r="H743" s="123"/>
    </row>
    <row r="744" ht="18.75" customHeight="1">
      <c r="E744" s="123"/>
      <c r="H744" s="123"/>
    </row>
    <row r="745" ht="18.75" customHeight="1">
      <c r="E745" s="123"/>
      <c r="H745" s="123"/>
    </row>
    <row r="746" ht="18.75" customHeight="1">
      <c r="E746" s="123"/>
      <c r="H746" s="123"/>
    </row>
    <row r="747" ht="18.75" customHeight="1">
      <c r="E747" s="123"/>
      <c r="H747" s="123"/>
    </row>
    <row r="748" ht="18.75" customHeight="1">
      <c r="E748" s="123"/>
      <c r="H748" s="123"/>
    </row>
    <row r="749" ht="18.75" customHeight="1">
      <c r="E749" s="123"/>
      <c r="H749" s="123"/>
    </row>
    <row r="750" ht="18.75" customHeight="1">
      <c r="E750" s="123"/>
      <c r="H750" s="123"/>
    </row>
    <row r="751" ht="18.75" customHeight="1">
      <c r="E751" s="123"/>
      <c r="H751" s="123"/>
    </row>
    <row r="752" ht="18.75" customHeight="1">
      <c r="E752" s="123"/>
      <c r="H752" s="123"/>
    </row>
    <row r="753" ht="18.75" customHeight="1">
      <c r="E753" s="123"/>
      <c r="H753" s="123"/>
    </row>
    <row r="754" ht="18.75" customHeight="1">
      <c r="E754" s="123"/>
      <c r="H754" s="123"/>
    </row>
    <row r="755" ht="18.75" customHeight="1">
      <c r="E755" s="123"/>
      <c r="H755" s="123"/>
    </row>
    <row r="756" ht="18.75" customHeight="1">
      <c r="E756" s="123"/>
      <c r="H756" s="123"/>
    </row>
    <row r="757" ht="18.75" customHeight="1">
      <c r="E757" s="123"/>
      <c r="H757" s="123"/>
    </row>
    <row r="758" ht="18.75" customHeight="1">
      <c r="E758" s="123"/>
      <c r="H758" s="123"/>
    </row>
    <row r="759" ht="18.75" customHeight="1">
      <c r="E759" s="123"/>
      <c r="H759" s="123"/>
    </row>
    <row r="760" ht="18.75" customHeight="1">
      <c r="E760" s="123"/>
      <c r="H760" s="123"/>
    </row>
    <row r="761" ht="18.75" customHeight="1">
      <c r="E761" s="123"/>
      <c r="H761" s="123"/>
    </row>
    <row r="762" ht="18.75" customHeight="1">
      <c r="E762" s="123"/>
      <c r="H762" s="123"/>
    </row>
    <row r="763" ht="18.75" customHeight="1">
      <c r="E763" s="123"/>
      <c r="H763" s="123"/>
    </row>
    <row r="764" ht="18.75" customHeight="1">
      <c r="E764" s="123"/>
      <c r="H764" s="123"/>
    </row>
    <row r="765" ht="18.75" customHeight="1">
      <c r="E765" s="123"/>
      <c r="H765" s="123"/>
    </row>
    <row r="766" ht="18.75" customHeight="1">
      <c r="E766" s="123"/>
      <c r="H766" s="123"/>
    </row>
    <row r="767" ht="18.75" customHeight="1">
      <c r="E767" s="123"/>
      <c r="H767" s="123"/>
    </row>
    <row r="768" ht="18.75" customHeight="1">
      <c r="E768" s="123"/>
      <c r="H768" s="123"/>
    </row>
    <row r="769" ht="18.75" customHeight="1">
      <c r="E769" s="123"/>
      <c r="H769" s="123"/>
    </row>
    <row r="770" ht="18.75" customHeight="1">
      <c r="E770" s="123"/>
      <c r="H770" s="123"/>
    </row>
    <row r="771" ht="18.75" customHeight="1">
      <c r="E771" s="123"/>
      <c r="H771" s="123"/>
    </row>
    <row r="772" ht="18.75" customHeight="1">
      <c r="E772" s="123"/>
      <c r="H772" s="123"/>
    </row>
    <row r="773" ht="18.75" customHeight="1">
      <c r="E773" s="123"/>
      <c r="H773" s="123"/>
    </row>
    <row r="774" ht="18.75" customHeight="1">
      <c r="E774" s="123"/>
      <c r="H774" s="123"/>
    </row>
    <row r="775" ht="18.75" customHeight="1">
      <c r="E775" s="123"/>
      <c r="H775" s="123"/>
    </row>
    <row r="776" ht="18.75" customHeight="1">
      <c r="E776" s="123"/>
      <c r="H776" s="123"/>
    </row>
    <row r="777" ht="18.75" customHeight="1">
      <c r="E777" s="123"/>
      <c r="H777" s="123"/>
    </row>
    <row r="778" ht="18.75" customHeight="1">
      <c r="E778" s="123"/>
      <c r="H778" s="123"/>
    </row>
    <row r="779" ht="18.75" customHeight="1">
      <c r="E779" s="123"/>
      <c r="H779" s="123"/>
    </row>
    <row r="780" ht="18.75" customHeight="1">
      <c r="E780" s="123"/>
      <c r="H780" s="123"/>
    </row>
    <row r="781" ht="18.75" customHeight="1">
      <c r="E781" s="123"/>
      <c r="H781" s="123"/>
    </row>
    <row r="782" ht="18.75" customHeight="1">
      <c r="E782" s="123"/>
      <c r="H782" s="123"/>
    </row>
    <row r="783" ht="18.75" customHeight="1">
      <c r="E783" s="123"/>
      <c r="H783" s="123"/>
    </row>
    <row r="784" ht="18.75" customHeight="1">
      <c r="E784" s="123"/>
      <c r="H784" s="123"/>
    </row>
    <row r="785" ht="18.75" customHeight="1">
      <c r="E785" s="123"/>
      <c r="H785" s="123"/>
    </row>
    <row r="786" ht="18.75" customHeight="1">
      <c r="E786" s="123"/>
      <c r="H786" s="123"/>
    </row>
    <row r="787" ht="18.75" customHeight="1">
      <c r="E787" s="123"/>
      <c r="H787" s="123"/>
    </row>
    <row r="788" ht="18.75" customHeight="1">
      <c r="E788" s="123"/>
      <c r="H788" s="123"/>
    </row>
    <row r="789" ht="18.75" customHeight="1">
      <c r="E789" s="123"/>
      <c r="H789" s="123"/>
    </row>
    <row r="790" ht="18.75" customHeight="1">
      <c r="E790" s="123"/>
      <c r="H790" s="123"/>
    </row>
    <row r="791" ht="18.75" customHeight="1">
      <c r="E791" s="123"/>
      <c r="H791" s="123"/>
    </row>
    <row r="792" ht="18.75" customHeight="1">
      <c r="E792" s="123"/>
      <c r="H792" s="123"/>
    </row>
    <row r="793" ht="18.75" customHeight="1">
      <c r="E793" s="123"/>
      <c r="H793" s="123"/>
    </row>
    <row r="794" ht="18.75" customHeight="1">
      <c r="E794" s="123"/>
      <c r="H794" s="123"/>
    </row>
    <row r="795" ht="18.75" customHeight="1">
      <c r="E795" s="123"/>
      <c r="H795" s="123"/>
    </row>
    <row r="796" ht="18.75" customHeight="1">
      <c r="E796" s="123"/>
      <c r="H796" s="123"/>
    </row>
    <row r="797" ht="18.75" customHeight="1">
      <c r="E797" s="123"/>
      <c r="H797" s="123"/>
    </row>
    <row r="798" ht="18.75" customHeight="1">
      <c r="E798" s="123"/>
      <c r="H798" s="123"/>
    </row>
    <row r="799" ht="18.75" customHeight="1">
      <c r="E799" s="123"/>
      <c r="H799" s="123"/>
    </row>
    <row r="800" ht="18.75" customHeight="1">
      <c r="E800" s="123"/>
      <c r="H800" s="123"/>
    </row>
    <row r="801" ht="18.75" customHeight="1">
      <c r="E801" s="123"/>
      <c r="H801" s="123"/>
    </row>
    <row r="802" ht="18.75" customHeight="1">
      <c r="E802" s="123"/>
      <c r="H802" s="123"/>
    </row>
    <row r="803" ht="18.75" customHeight="1">
      <c r="E803" s="123"/>
      <c r="H803" s="123"/>
    </row>
    <row r="804" ht="18.75" customHeight="1">
      <c r="E804" s="123"/>
      <c r="H804" s="123"/>
    </row>
    <row r="805" ht="18.75" customHeight="1">
      <c r="E805" s="123"/>
      <c r="H805" s="123"/>
    </row>
    <row r="806" ht="18.75" customHeight="1">
      <c r="E806" s="123"/>
      <c r="H806" s="123"/>
    </row>
    <row r="807" ht="18.75" customHeight="1">
      <c r="E807" s="123"/>
      <c r="H807" s="123"/>
    </row>
    <row r="808" ht="18.75" customHeight="1">
      <c r="E808" s="123"/>
      <c r="H808" s="123"/>
    </row>
    <row r="809" ht="18.75" customHeight="1">
      <c r="E809" s="123"/>
      <c r="H809" s="123"/>
    </row>
    <row r="810" ht="18.75" customHeight="1">
      <c r="E810" s="123"/>
      <c r="H810" s="123"/>
    </row>
    <row r="811" ht="18.75" customHeight="1">
      <c r="E811" s="123"/>
      <c r="H811" s="123"/>
    </row>
    <row r="812" ht="18.75" customHeight="1">
      <c r="E812" s="123"/>
      <c r="H812" s="123"/>
    </row>
    <row r="813" ht="18.75" customHeight="1">
      <c r="E813" s="123"/>
      <c r="H813" s="123"/>
    </row>
    <row r="814" ht="18.75" customHeight="1">
      <c r="E814" s="123"/>
      <c r="H814" s="123"/>
    </row>
    <row r="815" ht="18.75" customHeight="1">
      <c r="E815" s="123"/>
      <c r="H815" s="123"/>
    </row>
    <row r="816" ht="18.75" customHeight="1">
      <c r="E816" s="123"/>
      <c r="H816" s="123"/>
    </row>
    <row r="817" ht="18.75" customHeight="1">
      <c r="E817" s="123"/>
      <c r="H817" s="123"/>
    </row>
    <row r="818" ht="18.75" customHeight="1">
      <c r="E818" s="123"/>
      <c r="H818" s="123"/>
    </row>
    <row r="819" ht="18.75" customHeight="1">
      <c r="E819" s="123"/>
      <c r="H819" s="123"/>
    </row>
    <row r="820" ht="18.75" customHeight="1">
      <c r="E820" s="123"/>
      <c r="H820" s="123"/>
    </row>
    <row r="821" ht="18.75" customHeight="1">
      <c r="E821" s="123"/>
      <c r="H821" s="123"/>
    </row>
    <row r="822" ht="18.75" customHeight="1">
      <c r="E822" s="123"/>
      <c r="H822" s="123"/>
    </row>
    <row r="823" ht="18.75" customHeight="1">
      <c r="E823" s="123"/>
      <c r="H823" s="123"/>
    </row>
    <row r="824" ht="18.75" customHeight="1">
      <c r="E824" s="123"/>
      <c r="H824" s="123"/>
    </row>
    <row r="825" ht="18.75" customHeight="1">
      <c r="E825" s="123"/>
      <c r="H825" s="123"/>
    </row>
    <row r="826" ht="18.75" customHeight="1">
      <c r="E826" s="123"/>
      <c r="H826" s="123"/>
    </row>
    <row r="827" ht="18.75" customHeight="1">
      <c r="E827" s="123"/>
      <c r="H827" s="123"/>
    </row>
    <row r="828" ht="18.75" customHeight="1">
      <c r="E828" s="123"/>
      <c r="H828" s="123"/>
    </row>
    <row r="829" ht="18.75" customHeight="1">
      <c r="E829" s="123"/>
      <c r="H829" s="123"/>
    </row>
    <row r="830" ht="18.75" customHeight="1">
      <c r="E830" s="123"/>
      <c r="H830" s="123"/>
    </row>
    <row r="831" ht="18.75" customHeight="1">
      <c r="E831" s="123"/>
      <c r="H831" s="123"/>
    </row>
    <row r="832" ht="18.75" customHeight="1">
      <c r="E832" s="123"/>
      <c r="H832" s="123"/>
    </row>
    <row r="833" ht="18.75" customHeight="1">
      <c r="E833" s="123"/>
      <c r="H833" s="123"/>
    </row>
    <row r="834" ht="18.75" customHeight="1">
      <c r="E834" s="123"/>
      <c r="H834" s="123"/>
    </row>
    <row r="835" ht="18.75" customHeight="1">
      <c r="E835" s="123"/>
      <c r="H835" s="123"/>
    </row>
    <row r="836" ht="18.75" customHeight="1">
      <c r="E836" s="123"/>
      <c r="H836" s="123"/>
    </row>
    <row r="837" ht="18.75" customHeight="1">
      <c r="E837" s="123"/>
      <c r="H837" s="123"/>
    </row>
    <row r="838" ht="18.75" customHeight="1">
      <c r="E838" s="123"/>
      <c r="H838" s="123"/>
    </row>
    <row r="839" ht="18.75" customHeight="1">
      <c r="E839" s="123"/>
      <c r="H839" s="123"/>
    </row>
    <row r="840" ht="18.75" customHeight="1">
      <c r="E840" s="123"/>
      <c r="H840" s="123"/>
    </row>
    <row r="841" ht="18.75" customHeight="1">
      <c r="E841" s="123"/>
      <c r="H841" s="123"/>
    </row>
    <row r="842" ht="18.75" customHeight="1">
      <c r="E842" s="123"/>
      <c r="H842" s="123"/>
    </row>
    <row r="843" ht="18.75" customHeight="1">
      <c r="E843" s="123"/>
      <c r="H843" s="123"/>
    </row>
    <row r="844" ht="18.75" customHeight="1">
      <c r="E844" s="123"/>
      <c r="H844" s="123"/>
    </row>
    <row r="845" ht="18.75" customHeight="1">
      <c r="E845" s="123"/>
      <c r="H845" s="123"/>
    </row>
    <row r="846" ht="18.75" customHeight="1">
      <c r="E846" s="123"/>
      <c r="H846" s="123"/>
    </row>
    <row r="847" ht="18.75" customHeight="1">
      <c r="E847" s="123"/>
      <c r="H847" s="123"/>
    </row>
    <row r="848" ht="18.75" customHeight="1">
      <c r="E848" s="123"/>
      <c r="H848" s="123"/>
    </row>
    <row r="849" ht="18.75" customHeight="1">
      <c r="E849" s="123"/>
      <c r="H849" s="123"/>
    </row>
    <row r="850" ht="18.75" customHeight="1">
      <c r="E850" s="123"/>
      <c r="H850" s="123"/>
    </row>
    <row r="851" ht="18.75" customHeight="1">
      <c r="E851" s="123"/>
      <c r="H851" s="123"/>
    </row>
    <row r="852" ht="18.75" customHeight="1">
      <c r="E852" s="123"/>
      <c r="H852" s="123"/>
    </row>
    <row r="853" ht="18.75" customHeight="1">
      <c r="E853" s="123"/>
      <c r="H853" s="123"/>
    </row>
    <row r="854" ht="18.75" customHeight="1">
      <c r="E854" s="123"/>
      <c r="H854" s="123"/>
    </row>
    <row r="855" ht="18.75" customHeight="1">
      <c r="E855" s="123"/>
      <c r="H855" s="123"/>
    </row>
    <row r="856" ht="18.75" customHeight="1">
      <c r="E856" s="123"/>
      <c r="H856" s="123"/>
    </row>
    <row r="857" ht="18.75" customHeight="1">
      <c r="E857" s="123"/>
      <c r="H857" s="123"/>
    </row>
    <row r="858" ht="18.75" customHeight="1">
      <c r="E858" s="123"/>
      <c r="H858" s="123"/>
    </row>
    <row r="859" ht="18.75" customHeight="1">
      <c r="E859" s="123"/>
      <c r="H859" s="123"/>
    </row>
    <row r="860" ht="18.75" customHeight="1">
      <c r="E860" s="123"/>
      <c r="H860" s="123"/>
    </row>
    <row r="861" ht="18.75" customHeight="1">
      <c r="E861" s="123"/>
      <c r="H861" s="123"/>
    </row>
    <row r="862" ht="18.75" customHeight="1">
      <c r="E862" s="123"/>
      <c r="H862" s="123"/>
    </row>
    <row r="863" ht="18.75" customHeight="1">
      <c r="E863" s="123"/>
      <c r="H863" s="123"/>
    </row>
    <row r="864" ht="18.75" customHeight="1">
      <c r="E864" s="123"/>
      <c r="H864" s="123"/>
    </row>
    <row r="865" ht="18.75" customHeight="1">
      <c r="E865" s="123"/>
      <c r="H865" s="123"/>
    </row>
    <row r="866" ht="18.75" customHeight="1">
      <c r="E866" s="123"/>
      <c r="H866" s="123"/>
    </row>
    <row r="867" ht="18.75" customHeight="1">
      <c r="E867" s="123"/>
      <c r="H867" s="123"/>
    </row>
    <row r="868" ht="18.75" customHeight="1">
      <c r="E868" s="123"/>
      <c r="H868" s="123"/>
    </row>
    <row r="869" ht="18.75" customHeight="1">
      <c r="E869" s="123"/>
      <c r="H869" s="123"/>
    </row>
    <row r="870" ht="18.75" customHeight="1">
      <c r="E870" s="123"/>
      <c r="H870" s="123"/>
    </row>
    <row r="871" ht="18.75" customHeight="1">
      <c r="E871" s="123"/>
      <c r="H871" s="123"/>
    </row>
    <row r="872" ht="18.75" customHeight="1">
      <c r="E872" s="123"/>
      <c r="H872" s="123"/>
    </row>
    <row r="873" ht="18.75" customHeight="1">
      <c r="E873" s="123"/>
      <c r="H873" s="123"/>
    </row>
    <row r="874" ht="18.75" customHeight="1">
      <c r="E874" s="123"/>
      <c r="H874" s="123"/>
    </row>
    <row r="875" ht="18.75" customHeight="1">
      <c r="E875" s="123"/>
      <c r="H875" s="123"/>
    </row>
    <row r="876" ht="18.75" customHeight="1">
      <c r="E876" s="123"/>
      <c r="H876" s="123"/>
    </row>
    <row r="877" ht="18.75" customHeight="1">
      <c r="E877" s="123"/>
      <c r="H877" s="123"/>
    </row>
    <row r="878" ht="18.75" customHeight="1">
      <c r="E878" s="123"/>
      <c r="H878" s="123"/>
    </row>
    <row r="879" ht="18.75" customHeight="1">
      <c r="E879" s="123"/>
      <c r="H879" s="123"/>
    </row>
    <row r="880" ht="18.75" customHeight="1">
      <c r="E880" s="123"/>
      <c r="H880" s="123"/>
    </row>
    <row r="881" ht="18.75" customHeight="1">
      <c r="E881" s="123"/>
      <c r="H881" s="123"/>
    </row>
    <row r="882" ht="18.75" customHeight="1">
      <c r="E882" s="123"/>
      <c r="H882" s="123"/>
    </row>
    <row r="883" ht="18.75" customHeight="1">
      <c r="E883" s="123"/>
      <c r="H883" s="123"/>
    </row>
    <row r="884" ht="18.75" customHeight="1">
      <c r="E884" s="123"/>
      <c r="H884" s="123"/>
    </row>
    <row r="885" ht="18.75" customHeight="1">
      <c r="E885" s="123"/>
      <c r="H885" s="123"/>
    </row>
    <row r="886" ht="18.75" customHeight="1">
      <c r="E886" s="123"/>
      <c r="H886" s="123"/>
    </row>
    <row r="887" ht="18.75" customHeight="1">
      <c r="E887" s="123"/>
      <c r="H887" s="123"/>
    </row>
    <row r="888" ht="18.75" customHeight="1">
      <c r="E888" s="123"/>
      <c r="H888" s="123"/>
    </row>
    <row r="889" ht="18.75" customHeight="1">
      <c r="E889" s="123"/>
      <c r="H889" s="123"/>
    </row>
    <row r="890" ht="18.75" customHeight="1">
      <c r="E890" s="123"/>
      <c r="H890" s="123"/>
    </row>
    <row r="891" ht="18.75" customHeight="1">
      <c r="E891" s="123"/>
      <c r="H891" s="123"/>
    </row>
    <row r="892" ht="18.75" customHeight="1">
      <c r="E892" s="123"/>
      <c r="H892" s="123"/>
    </row>
    <row r="893" ht="18.75" customHeight="1">
      <c r="E893" s="123"/>
      <c r="H893" s="123"/>
    </row>
    <row r="894" ht="18.75" customHeight="1">
      <c r="E894" s="123"/>
      <c r="H894" s="123"/>
    </row>
    <row r="895" ht="18.75" customHeight="1">
      <c r="E895" s="123"/>
      <c r="H895" s="123"/>
    </row>
    <row r="896" ht="18.75" customHeight="1">
      <c r="E896" s="123"/>
      <c r="H896" s="123"/>
    </row>
    <row r="897" ht="18.75" customHeight="1">
      <c r="E897" s="123"/>
      <c r="H897" s="123"/>
    </row>
    <row r="898" ht="18.75" customHeight="1">
      <c r="E898" s="123"/>
      <c r="H898" s="123"/>
    </row>
    <row r="899" ht="18.75" customHeight="1">
      <c r="E899" s="123"/>
      <c r="H899" s="123"/>
    </row>
    <row r="900" ht="18.75" customHeight="1">
      <c r="E900" s="123"/>
      <c r="H900" s="123"/>
    </row>
    <row r="901" ht="18.75" customHeight="1">
      <c r="E901" s="123"/>
      <c r="H901" s="123"/>
    </row>
    <row r="902" ht="18.75" customHeight="1">
      <c r="E902" s="123"/>
      <c r="H902" s="123"/>
    </row>
    <row r="903" ht="18.75" customHeight="1">
      <c r="E903" s="123"/>
      <c r="H903" s="123"/>
    </row>
    <row r="904" ht="18.75" customHeight="1">
      <c r="E904" s="123"/>
      <c r="H904" s="123"/>
    </row>
    <row r="905" ht="18.75" customHeight="1">
      <c r="H905" s="123"/>
    </row>
    <row r="906" ht="18.75" customHeight="1">
      <c r="H906" s="123"/>
    </row>
    <row r="907" ht="18.75" customHeight="1">
      <c r="H907" s="123"/>
    </row>
    <row r="908" ht="18.75" customHeight="1">
      <c r="H908" s="123"/>
    </row>
    <row r="909" ht="18.75" customHeight="1">
      <c r="H909" s="123"/>
    </row>
    <row r="910" ht="18.75" customHeight="1">
      <c r="H910" s="123"/>
    </row>
    <row r="911" ht="18.75" customHeight="1">
      <c r="H911" s="123"/>
    </row>
    <row r="912" ht="18.75" customHeight="1">
      <c r="H912" s="123"/>
    </row>
    <row r="913" ht="18.75" customHeight="1">
      <c r="H913" s="123"/>
    </row>
    <row r="914" ht="18.75" customHeight="1">
      <c r="H914" s="123"/>
    </row>
    <row r="915" ht="18.75" customHeight="1">
      <c r="H915" s="123"/>
    </row>
    <row r="916" ht="18.75" customHeight="1">
      <c r="H916" s="123"/>
    </row>
    <row r="917" ht="18.75" customHeight="1">
      <c r="H917" s="123"/>
    </row>
    <row r="918" ht="18.75" customHeight="1">
      <c r="H918" s="123"/>
    </row>
    <row r="919" ht="18.75" customHeight="1">
      <c r="H919" s="123"/>
    </row>
    <row r="920" ht="18.75" customHeight="1">
      <c r="H920" s="123"/>
    </row>
    <row r="921" ht="18.75" customHeight="1">
      <c r="H921" s="123"/>
    </row>
    <row r="922" ht="18.75" customHeight="1">
      <c r="H922" s="123"/>
    </row>
    <row r="923" ht="18.75" customHeight="1">
      <c r="H923" s="123"/>
    </row>
    <row r="924" ht="18.75" customHeight="1">
      <c r="H924" s="123"/>
    </row>
    <row r="925" ht="18.75" customHeight="1">
      <c r="H925" s="123"/>
    </row>
    <row r="926" ht="18.75" customHeight="1">
      <c r="H926" s="123"/>
    </row>
    <row r="927" ht="18.75" customHeight="1">
      <c r="H927" s="123"/>
    </row>
    <row r="928" ht="18.75" customHeight="1">
      <c r="H928" s="123"/>
    </row>
    <row r="929" ht="18.75" customHeight="1">
      <c r="H929" s="123"/>
    </row>
    <row r="930" ht="18.75" customHeight="1">
      <c r="H930" s="123"/>
    </row>
    <row r="931" ht="18.75" customHeight="1">
      <c r="H931" s="123"/>
    </row>
    <row r="932" ht="18.75" customHeight="1">
      <c r="H932" s="123"/>
    </row>
    <row r="933" ht="18.75" customHeight="1">
      <c r="H933" s="123"/>
    </row>
    <row r="934" ht="18.75" customHeight="1">
      <c r="H934" s="123"/>
    </row>
    <row r="935" ht="18.75" customHeight="1">
      <c r="H935" s="123"/>
    </row>
    <row r="936" ht="18.75" customHeight="1">
      <c r="H936" s="123"/>
    </row>
    <row r="937" ht="18.75" customHeight="1">
      <c r="H937" s="123"/>
    </row>
    <row r="938" ht="18.75" customHeight="1">
      <c r="H938" s="123"/>
    </row>
    <row r="939" ht="18.75" customHeight="1">
      <c r="H939" s="123"/>
    </row>
    <row r="940" ht="18.75" customHeight="1">
      <c r="H940" s="123"/>
    </row>
    <row r="941" ht="18.75" customHeight="1">
      <c r="H941" s="123"/>
    </row>
    <row r="942" ht="18.75" customHeight="1">
      <c r="H942" s="123"/>
    </row>
    <row r="943" ht="18.75" customHeight="1">
      <c r="H943" s="123"/>
    </row>
    <row r="944" ht="18.75" customHeight="1">
      <c r="H944" s="123"/>
    </row>
    <row r="945" ht="18.75" customHeight="1">
      <c r="H945" s="123"/>
    </row>
    <row r="946" ht="18.75" customHeight="1">
      <c r="H946" s="123"/>
    </row>
    <row r="947" ht="18.75" customHeight="1">
      <c r="H947" s="123"/>
    </row>
    <row r="948" ht="18.75" customHeight="1">
      <c r="H948" s="123"/>
    </row>
    <row r="949" ht="18.75" customHeight="1">
      <c r="H949" s="123"/>
    </row>
    <row r="950" ht="18.75" customHeight="1">
      <c r="H950" s="123"/>
    </row>
    <row r="951" ht="18.75" customHeight="1">
      <c r="H951" s="123"/>
    </row>
    <row r="952" ht="18.75" customHeight="1">
      <c r="H952" s="123"/>
    </row>
    <row r="953" ht="18.75" customHeight="1">
      <c r="H953" s="123"/>
    </row>
    <row r="954" ht="18.75" customHeight="1">
      <c r="H954" s="123"/>
    </row>
    <row r="955" ht="18.75" customHeight="1">
      <c r="H955" s="123"/>
    </row>
    <row r="956" ht="18.75" customHeight="1">
      <c r="H956" s="123"/>
    </row>
    <row r="957" ht="18.75" customHeight="1">
      <c r="H957" s="123"/>
    </row>
    <row r="958" ht="18.75" customHeight="1">
      <c r="H958" s="123"/>
    </row>
    <row r="959" ht="18.75" customHeight="1">
      <c r="H959" s="123"/>
    </row>
    <row r="960" ht="18.75" customHeight="1">
      <c r="H960" s="123"/>
    </row>
    <row r="961" ht="18.75" customHeight="1">
      <c r="H961" s="123"/>
    </row>
    <row r="962" ht="18.75" customHeight="1">
      <c r="H962" s="123"/>
    </row>
    <row r="963" ht="18.75" customHeight="1">
      <c r="H963" s="123"/>
    </row>
    <row r="964" ht="18.75" customHeight="1">
      <c r="H964" s="123"/>
    </row>
    <row r="965" ht="18.75" customHeight="1">
      <c r="H965" s="123"/>
    </row>
    <row r="966" ht="18.75" customHeight="1">
      <c r="H966" s="123"/>
    </row>
    <row r="967" ht="18.75" customHeight="1">
      <c r="H967" s="123"/>
    </row>
    <row r="968" ht="18.75" customHeight="1">
      <c r="H968" s="123"/>
    </row>
    <row r="969" ht="18.75" customHeight="1">
      <c r="H969" s="123"/>
    </row>
    <row r="970" ht="18.75" customHeight="1">
      <c r="H970" s="123"/>
    </row>
    <row r="971" ht="18.75" customHeight="1">
      <c r="H971" s="123"/>
    </row>
    <row r="972" ht="18.75" customHeight="1">
      <c r="H972" s="123"/>
    </row>
    <row r="973" ht="18.75" customHeight="1">
      <c r="H973" s="123"/>
    </row>
    <row r="974" ht="18.75" customHeight="1">
      <c r="H974" s="123"/>
    </row>
    <row r="975" ht="18.75" customHeight="1">
      <c r="H975" s="123"/>
    </row>
    <row r="976" ht="18.75" customHeight="1">
      <c r="H976" s="123"/>
    </row>
    <row r="977" ht="18.75" customHeight="1">
      <c r="H977" s="123"/>
    </row>
    <row r="978" ht="18.75" customHeight="1">
      <c r="H978" s="123"/>
    </row>
    <row r="979" ht="18.75" customHeight="1">
      <c r="H979" s="123"/>
    </row>
    <row r="980" ht="18.75" customHeight="1">
      <c r="H980" s="123"/>
    </row>
    <row r="981" ht="18.75" customHeight="1">
      <c r="H981" s="123"/>
    </row>
    <row r="982" ht="18.75" customHeight="1">
      <c r="H982" s="123"/>
    </row>
    <row r="983" ht="18.75" customHeight="1">
      <c r="H983" s="123"/>
    </row>
    <row r="984" ht="18.75" customHeight="1">
      <c r="H984" s="123"/>
    </row>
    <row r="985" ht="18.75" customHeight="1">
      <c r="H985" s="123"/>
    </row>
    <row r="986" ht="18.75" customHeight="1">
      <c r="H986" s="123"/>
    </row>
    <row r="987" ht="18.75" customHeight="1">
      <c r="H987" s="123"/>
    </row>
    <row r="988" ht="18.75" customHeight="1">
      <c r="H988" s="123"/>
    </row>
    <row r="989" ht="18.75" customHeight="1">
      <c r="H989" s="123"/>
    </row>
    <row r="990" ht="18.75" customHeight="1">
      <c r="H990" s="123"/>
    </row>
    <row r="991" ht="18.75" customHeight="1">
      <c r="H991" s="123"/>
    </row>
    <row r="992" ht="18.75" customHeight="1">
      <c r="H992" s="123"/>
    </row>
    <row r="993" ht="18.75" customHeight="1">
      <c r="H993" s="123"/>
    </row>
    <row r="994" ht="18.75" customHeight="1">
      <c r="H994" s="123"/>
    </row>
    <row r="995" ht="18.75" customHeight="1">
      <c r="H995" s="123"/>
    </row>
    <row r="996" ht="18.75" customHeight="1">
      <c r="H996" s="123"/>
    </row>
    <row r="997" ht="18.75" customHeight="1">
      <c r="H997" s="123"/>
    </row>
    <row r="998" ht="18.75" customHeight="1">
      <c r="H998" s="123"/>
    </row>
    <row r="999" ht="18.75" customHeight="1">
      <c r="H999" s="123"/>
    </row>
    <row r="1000" ht="18.75" customHeight="1">
      <c r="H1000" s="123"/>
    </row>
    <row r="1001" ht="18.75" customHeight="1">
      <c r="H1001" s="123"/>
    </row>
    <row r="1002" ht="18.75" customHeight="1">
      <c r="H1002" s="123"/>
    </row>
    <row r="1003" ht="18.75" customHeight="1">
      <c r="H1003" s="123"/>
    </row>
    <row r="1004" ht="18.75" customHeight="1">
      <c r="H1004" s="123"/>
    </row>
    <row r="1005" ht="18.75" customHeight="1">
      <c r="H1005" s="123"/>
    </row>
  </sheetData>
  <mergeCells count="23">
    <mergeCell ref="A1:F1"/>
    <mergeCell ref="H1:J1"/>
    <mergeCell ref="A2:F2"/>
    <mergeCell ref="A3:A6"/>
    <mergeCell ref="B3:B6"/>
    <mergeCell ref="E3:E6"/>
    <mergeCell ref="F3:F6"/>
    <mergeCell ref="L5:P5"/>
    <mergeCell ref="L25:M25"/>
    <mergeCell ref="H27:J27"/>
    <mergeCell ref="L32:L36"/>
    <mergeCell ref="L37:M37"/>
    <mergeCell ref="L38:L42"/>
    <mergeCell ref="L43:M43"/>
    <mergeCell ref="H49:K49"/>
    <mergeCell ref="C3:D3"/>
    <mergeCell ref="C4:C5"/>
    <mergeCell ref="D4:D5"/>
    <mergeCell ref="L7:L14"/>
    <mergeCell ref="L15:M15"/>
    <mergeCell ref="L16:L24"/>
    <mergeCell ref="L26:L30"/>
    <mergeCell ref="L31:M31"/>
  </mergeCells>
  <dataValidations>
    <dataValidation type="list" allowBlank="1" showErrorMessage="1" sqref="E8:E104">
      <formula1>"1,1,1,2,1,3,2,1,2,2,2,3,2,4,2,5,2,6,2,7,2,8,2,9,2,11,2,12"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6.0"/>
    <col customWidth="1" min="2" max="2" width="15.0"/>
    <col customWidth="1" min="3" max="4" width="17.0"/>
    <col customWidth="1" min="5" max="5" width="13.0"/>
    <col customWidth="1" min="6" max="6" width="32.86"/>
    <col customWidth="1" min="7" max="7" width="7.0"/>
    <col customWidth="1" min="8" max="8" width="14.0"/>
    <col customWidth="1" min="9" max="9" width="46.0"/>
    <col customWidth="1" min="10" max="10" width="16.0"/>
    <col customWidth="1" min="11" max="11" width="7.29"/>
    <col customWidth="1" min="12" max="12" width="15.0"/>
    <col customWidth="1" min="13" max="13" width="15.14"/>
    <col customWidth="1" min="14" max="15" width="15.86"/>
    <col customWidth="1" min="16" max="16" width="47.14"/>
    <col customWidth="1" min="17" max="17" width="14.29"/>
    <col customWidth="1" min="18" max="25" width="14.0"/>
  </cols>
  <sheetData>
    <row r="1" ht="18.75" customHeight="1">
      <c r="A1" s="11" t="s">
        <v>22</v>
      </c>
      <c r="F1" s="12"/>
      <c r="G1" s="13"/>
      <c r="H1" s="103" t="s">
        <v>23</v>
      </c>
      <c r="I1" s="15"/>
      <c r="J1" s="16"/>
      <c r="K1" s="13"/>
      <c r="O1" s="124"/>
    </row>
    <row r="2" ht="18.75" customHeight="1">
      <c r="A2" s="17" t="s">
        <v>334</v>
      </c>
      <c r="G2" s="13"/>
      <c r="H2" s="104" t="s">
        <v>25</v>
      </c>
      <c r="I2" s="19" t="s">
        <v>26</v>
      </c>
      <c r="J2" s="20" t="s">
        <v>27</v>
      </c>
      <c r="K2" s="13"/>
      <c r="O2" s="124"/>
    </row>
    <row r="3" ht="18.75" customHeight="1">
      <c r="A3" s="21" t="s">
        <v>28</v>
      </c>
      <c r="B3" s="21" t="s">
        <v>29</v>
      </c>
      <c r="C3" s="23" t="s">
        <v>30</v>
      </c>
      <c r="D3" s="24"/>
      <c r="E3" s="105" t="s">
        <v>25</v>
      </c>
      <c r="F3" s="21" t="s">
        <v>26</v>
      </c>
      <c r="G3" s="13"/>
      <c r="H3" s="106" t="s">
        <v>216</v>
      </c>
      <c r="I3" s="27" t="s">
        <v>31</v>
      </c>
      <c r="J3" s="28">
        <f>SUM(J4:J6)</f>
        <v>0</v>
      </c>
      <c r="K3" s="13"/>
      <c r="O3" s="124"/>
    </row>
    <row r="4" ht="18.75" customHeight="1">
      <c r="A4" s="29"/>
      <c r="B4" s="29"/>
      <c r="C4" s="21" t="s">
        <v>32</v>
      </c>
      <c r="D4" s="21" t="s">
        <v>33</v>
      </c>
      <c r="E4" s="30"/>
      <c r="F4" s="29"/>
      <c r="G4" s="13"/>
      <c r="H4" s="107" t="s">
        <v>217</v>
      </c>
      <c r="I4" s="32" t="s">
        <v>34</v>
      </c>
      <c r="J4" s="28">
        <f>SUMIF($E$8:$E$48,1.1,$C$8:$C$48)</f>
        <v>0</v>
      </c>
      <c r="K4" s="13"/>
      <c r="O4" s="124"/>
    </row>
    <row r="5" ht="18.75" customHeight="1">
      <c r="A5" s="29"/>
      <c r="B5" s="29"/>
      <c r="C5" s="33"/>
      <c r="D5" s="33"/>
      <c r="E5" s="30"/>
      <c r="F5" s="29"/>
      <c r="G5" s="13"/>
      <c r="H5" s="107" t="s">
        <v>218</v>
      </c>
      <c r="I5" s="32" t="s">
        <v>35</v>
      </c>
      <c r="J5" s="28">
        <f>SUMIF($E$8:$E$48,1.2,$C$8:$C$48)</f>
        <v>0</v>
      </c>
      <c r="K5" s="13"/>
      <c r="L5" s="125" t="s">
        <v>335</v>
      </c>
    </row>
    <row r="6" ht="18.75" customHeight="1">
      <c r="A6" s="33"/>
      <c r="B6" s="33"/>
      <c r="C6" s="34"/>
      <c r="D6" s="34"/>
      <c r="E6" s="35"/>
      <c r="F6" s="33"/>
      <c r="G6" s="13"/>
      <c r="H6" s="107" t="s">
        <v>219</v>
      </c>
      <c r="I6" s="32" t="s">
        <v>36</v>
      </c>
      <c r="J6" s="28">
        <f>SUMIF($E$8:$E$48,1.3,$C$8:$C$48)</f>
        <v>0</v>
      </c>
      <c r="K6" s="13"/>
      <c r="L6" s="126" t="s">
        <v>260</v>
      </c>
      <c r="M6" s="127" t="s">
        <v>261</v>
      </c>
      <c r="N6" s="127" t="s">
        <v>262</v>
      </c>
      <c r="O6" s="127" t="s">
        <v>263</v>
      </c>
      <c r="P6" s="126" t="s">
        <v>264</v>
      </c>
    </row>
    <row r="7" ht="21.75" customHeight="1">
      <c r="A7" s="36"/>
      <c r="B7" s="17" t="s">
        <v>265</v>
      </c>
      <c r="C7" s="42">
        <f t="shared" ref="C7:D7" si="1">SUM(C8:C48)</f>
        <v>0</v>
      </c>
      <c r="D7" s="42">
        <f t="shared" si="1"/>
        <v>0</v>
      </c>
      <c r="E7" s="39"/>
      <c r="F7" s="40"/>
      <c r="G7" s="40"/>
      <c r="H7" s="128" t="s">
        <v>221</v>
      </c>
      <c r="I7" s="49" t="s">
        <v>40</v>
      </c>
      <c r="J7" s="28">
        <f>SUM(J8:J20)</f>
        <v>0</v>
      </c>
      <c r="K7" s="40"/>
      <c r="L7" s="129" t="s">
        <v>336</v>
      </c>
      <c r="M7" s="130">
        <v>46055.0</v>
      </c>
      <c r="N7" s="138"/>
      <c r="O7" s="138">
        <f>6000000*32%*3</f>
        <v>5760000</v>
      </c>
      <c r="P7" s="133" t="s">
        <v>62</v>
      </c>
    </row>
    <row r="8" ht="18.75" customHeight="1">
      <c r="A8" s="134">
        <v>1.0</v>
      </c>
      <c r="B8" s="108"/>
      <c r="C8" s="101"/>
      <c r="D8" s="135"/>
      <c r="E8" s="110"/>
      <c r="F8" s="136"/>
      <c r="G8" s="13"/>
      <c r="H8" s="110" t="s">
        <v>223</v>
      </c>
      <c r="I8" s="54" t="s">
        <v>42</v>
      </c>
      <c r="J8" s="55">
        <f>SUMIF($E$8:$E$48,2.1,$D$8:$D$48)</f>
        <v>0</v>
      </c>
      <c r="K8" s="13"/>
      <c r="L8" s="137"/>
      <c r="M8" s="130">
        <v>46060.0</v>
      </c>
      <c r="N8" s="138">
        <v>3.2628448E7</v>
      </c>
      <c r="O8" s="138"/>
      <c r="P8" s="133" t="s">
        <v>319</v>
      </c>
    </row>
    <row r="9" ht="18.75" customHeight="1">
      <c r="A9" s="139">
        <v>2.0</v>
      </c>
      <c r="B9" s="108"/>
      <c r="C9" s="93"/>
      <c r="D9" s="112"/>
      <c r="E9" s="113"/>
      <c r="F9" s="66"/>
      <c r="G9" s="52"/>
      <c r="H9" s="113" t="s">
        <v>224</v>
      </c>
      <c r="I9" s="54" t="s">
        <v>45</v>
      </c>
      <c r="J9" s="28">
        <f>SUMIF($E$8:$E$48,2.2,$D$8:$D$48)</f>
        <v>0</v>
      </c>
      <c r="K9" s="13"/>
      <c r="L9" s="137"/>
      <c r="M9" s="130">
        <v>46060.0</v>
      </c>
      <c r="N9" s="138"/>
      <c r="O9" s="138">
        <v>1.15E7</v>
      </c>
      <c r="P9" s="133" t="s">
        <v>330</v>
      </c>
    </row>
    <row r="10" ht="18.75" customHeight="1">
      <c r="A10" s="134">
        <v>3.0</v>
      </c>
      <c r="B10" s="108"/>
      <c r="C10" s="60"/>
      <c r="D10" s="59"/>
      <c r="E10" s="113"/>
      <c r="F10" s="66"/>
      <c r="G10" s="52"/>
      <c r="H10" s="113" t="s">
        <v>227</v>
      </c>
      <c r="I10" s="54" t="s">
        <v>48</v>
      </c>
      <c r="J10" s="28">
        <f>SUMIF($E$8:$E$48,2.3,$D$8:$D$48)</f>
        <v>0</v>
      </c>
      <c r="K10" s="13"/>
      <c r="L10" s="137"/>
      <c r="M10" s="130">
        <v>46055.0</v>
      </c>
      <c r="N10" s="138">
        <v>1154668.0</v>
      </c>
      <c r="O10" s="138"/>
      <c r="P10" s="133" t="s">
        <v>337</v>
      </c>
    </row>
    <row r="11" ht="18.75" customHeight="1">
      <c r="A11" s="139">
        <v>4.0</v>
      </c>
      <c r="B11" s="108"/>
      <c r="C11" s="60"/>
      <c r="D11" s="59"/>
      <c r="E11" s="113"/>
      <c r="F11" s="66"/>
      <c r="G11" s="52"/>
      <c r="H11" s="113" t="s">
        <v>229</v>
      </c>
      <c r="I11" s="54" t="s">
        <v>51</v>
      </c>
      <c r="J11" s="28">
        <f>SUMIF($E$8:$E$48,2.4,$D$8:$D$48)</f>
        <v>0</v>
      </c>
      <c r="K11" s="13"/>
      <c r="L11" s="137"/>
      <c r="M11" s="130">
        <v>46055.0</v>
      </c>
      <c r="N11" s="138"/>
      <c r="O11" s="138">
        <v>7.9916667E7</v>
      </c>
      <c r="P11" s="133" t="s">
        <v>299</v>
      </c>
    </row>
    <row r="12" ht="18.75" customHeight="1">
      <c r="A12" s="134">
        <v>5.0</v>
      </c>
      <c r="B12" s="108"/>
      <c r="C12" s="60"/>
      <c r="D12" s="59"/>
      <c r="E12" s="113"/>
      <c r="F12" s="66"/>
      <c r="G12" s="52"/>
      <c r="H12" s="113" t="s">
        <v>231</v>
      </c>
      <c r="I12" s="54" t="s">
        <v>53</v>
      </c>
      <c r="J12" s="28">
        <f>SUMIF($E$8:$E$48,2.5,$D$8:$D$48)</f>
        <v>0</v>
      </c>
      <c r="K12" s="13"/>
      <c r="L12" s="137"/>
      <c r="M12" s="130">
        <v>46060.0</v>
      </c>
      <c r="N12" s="138"/>
      <c r="O12" s="138">
        <f>1590000+672000 </f>
        <v>2262000</v>
      </c>
      <c r="P12" s="133" t="s">
        <v>338</v>
      </c>
    </row>
    <row r="13" ht="18.75" customHeight="1">
      <c r="A13" s="139"/>
      <c r="B13" s="108"/>
      <c r="C13" s="60"/>
      <c r="D13" s="59"/>
      <c r="E13" s="113"/>
      <c r="F13" s="66"/>
      <c r="G13" s="52"/>
      <c r="H13" s="113"/>
      <c r="I13" s="54"/>
      <c r="J13" s="28"/>
      <c r="K13" s="13"/>
      <c r="L13" s="137"/>
      <c r="M13" s="130">
        <v>46058.0</v>
      </c>
      <c r="N13" s="138"/>
      <c r="O13" s="138">
        <v>1.102E7</v>
      </c>
      <c r="P13" s="133" t="s">
        <v>323</v>
      </c>
    </row>
    <row r="14" ht="18.75" customHeight="1">
      <c r="A14" s="139"/>
      <c r="B14" s="108"/>
      <c r="C14" s="60"/>
      <c r="D14" s="59"/>
      <c r="E14" s="113"/>
      <c r="F14" s="66"/>
      <c r="G14" s="52"/>
      <c r="H14" s="113"/>
      <c r="I14" s="54"/>
      <c r="J14" s="28"/>
      <c r="K14" s="13"/>
      <c r="L14" s="137"/>
      <c r="M14" s="130">
        <v>46058.0</v>
      </c>
      <c r="N14" s="138"/>
      <c r="O14" s="138">
        <v>1.26E7</v>
      </c>
      <c r="P14" s="133" t="s">
        <v>324</v>
      </c>
    </row>
    <row r="15" ht="18.75" customHeight="1">
      <c r="A15" s="139">
        <v>6.0</v>
      </c>
      <c r="B15" s="108"/>
      <c r="C15" s="60"/>
      <c r="D15" s="59"/>
      <c r="E15" s="113"/>
      <c r="F15" s="66"/>
      <c r="G15" s="52"/>
      <c r="H15" s="113" t="s">
        <v>233</v>
      </c>
      <c r="I15" s="54" t="s">
        <v>55</v>
      </c>
      <c r="J15" s="28">
        <f>SUMIF($E$8:$E$48,2.6,$D$8:$D$48)</f>
        <v>0</v>
      </c>
      <c r="K15" s="13"/>
      <c r="L15" s="137"/>
      <c r="M15" s="130">
        <v>46058.0</v>
      </c>
      <c r="N15" s="138"/>
      <c r="O15" s="138">
        <v>5.7E7</v>
      </c>
      <c r="P15" s="133" t="s">
        <v>325</v>
      </c>
    </row>
    <row r="16" ht="18.75" customHeight="1">
      <c r="A16" s="134">
        <v>7.0</v>
      </c>
      <c r="B16" s="108"/>
      <c r="C16" s="59"/>
      <c r="D16" s="59"/>
      <c r="E16" s="113"/>
      <c r="F16" s="66"/>
      <c r="G16" s="52"/>
      <c r="H16" s="113" t="s">
        <v>235</v>
      </c>
      <c r="I16" s="54" t="s">
        <v>57</v>
      </c>
      <c r="J16" s="28">
        <f>SUMIF($E$8:$E$48,2.7,$D$8:$D$48)</f>
        <v>0</v>
      </c>
      <c r="K16" s="13"/>
      <c r="L16" s="141" t="s">
        <v>272</v>
      </c>
      <c r="M16" s="142"/>
      <c r="N16" s="143">
        <f t="shared" ref="N16:O16" si="2">SUM(N7:N15)</f>
        <v>33783116</v>
      </c>
      <c r="O16" s="143">
        <f t="shared" si="2"/>
        <v>180058667</v>
      </c>
      <c r="P16" s="144"/>
    </row>
    <row r="17" ht="18.75" customHeight="1">
      <c r="A17" s="139">
        <v>8.0</v>
      </c>
      <c r="B17" s="108"/>
      <c r="C17" s="59"/>
      <c r="D17" s="59"/>
      <c r="E17" s="113"/>
      <c r="F17" s="66"/>
      <c r="G17" s="52"/>
      <c r="H17" s="113" t="s">
        <v>236</v>
      </c>
      <c r="I17" s="54" t="s">
        <v>59</v>
      </c>
      <c r="J17" s="28">
        <f>SUMIF($E$8:$E$48,2.8,$D$8:$D$48)</f>
        <v>0</v>
      </c>
      <c r="K17" s="13"/>
      <c r="L17" s="129"/>
      <c r="M17" s="130"/>
      <c r="N17" s="138"/>
      <c r="O17" s="138"/>
      <c r="P17" s="133"/>
    </row>
    <row r="18" ht="18.75" customHeight="1">
      <c r="A18" s="134">
        <v>9.0</v>
      </c>
      <c r="B18" s="108"/>
      <c r="C18" s="59"/>
      <c r="D18" s="59"/>
      <c r="E18" s="114"/>
      <c r="F18" s="66"/>
      <c r="G18" s="52"/>
      <c r="H18" s="113" t="s">
        <v>238</v>
      </c>
      <c r="I18" s="54" t="s">
        <v>62</v>
      </c>
      <c r="J18" s="28">
        <f>SUMIF($E$8:$E$48,2.9,$D$8:$D$48)</f>
        <v>0</v>
      </c>
      <c r="K18" s="13"/>
      <c r="L18" s="137"/>
      <c r="M18" s="130"/>
      <c r="N18" s="138"/>
      <c r="O18" s="138"/>
      <c r="P18" s="133"/>
    </row>
    <row r="19" ht="18.75" customHeight="1">
      <c r="A19" s="139">
        <v>10.0</v>
      </c>
      <c r="B19" s="108"/>
      <c r="C19" s="101"/>
      <c r="D19" s="135"/>
      <c r="E19" s="110"/>
      <c r="F19" s="136"/>
      <c r="G19" s="52"/>
      <c r="H19" s="113" t="s">
        <v>240</v>
      </c>
      <c r="I19" s="54" t="s">
        <v>64</v>
      </c>
      <c r="J19" s="28">
        <f>SUMIF($E$8:$E$48,2.11,$D$8:$D$48)</f>
        <v>0</v>
      </c>
      <c r="K19" s="13"/>
      <c r="L19" s="137"/>
      <c r="M19" s="130"/>
      <c r="N19" s="138"/>
      <c r="O19" s="138"/>
      <c r="P19" s="133"/>
    </row>
    <row r="20" ht="18.75" customHeight="1">
      <c r="A20" s="134">
        <v>11.0</v>
      </c>
      <c r="B20" s="108"/>
      <c r="C20" s="60"/>
      <c r="D20" s="135"/>
      <c r="E20" s="110"/>
      <c r="F20" s="136"/>
      <c r="G20" s="52"/>
      <c r="H20" s="113" t="s">
        <v>241</v>
      </c>
      <c r="I20" s="54" t="s">
        <v>67</v>
      </c>
      <c r="J20" s="28">
        <f>SUMIF($E$8:$E$48,2.12,$D$8:$D$48)</f>
        <v>0</v>
      </c>
      <c r="K20" s="13"/>
      <c r="L20" s="137"/>
      <c r="M20" s="130"/>
      <c r="N20" s="138"/>
      <c r="O20" s="138"/>
      <c r="P20" s="133"/>
    </row>
    <row r="21" ht="18.75" customHeight="1">
      <c r="A21" s="139"/>
      <c r="B21" s="108"/>
      <c r="C21" s="60"/>
      <c r="D21" s="135"/>
      <c r="E21" s="110"/>
      <c r="F21" s="145"/>
      <c r="G21" s="52"/>
      <c r="H21" s="115"/>
      <c r="I21" s="64"/>
      <c r="J21" s="65"/>
      <c r="K21" s="13"/>
      <c r="L21" s="137"/>
      <c r="M21" s="130"/>
      <c r="N21" s="138"/>
      <c r="O21" s="138"/>
      <c r="P21" s="133"/>
    </row>
    <row r="22" ht="18.75" customHeight="1">
      <c r="A22" s="139"/>
      <c r="B22" s="108"/>
      <c r="C22" s="60"/>
      <c r="D22" s="135"/>
      <c r="E22" s="110"/>
      <c r="F22" s="145"/>
      <c r="G22" s="52"/>
      <c r="H22" s="115"/>
      <c r="I22" s="64"/>
      <c r="J22" s="65"/>
      <c r="K22" s="13"/>
      <c r="L22" s="137"/>
      <c r="M22" s="130"/>
      <c r="N22" s="138"/>
      <c r="O22" s="138"/>
      <c r="P22" s="133"/>
    </row>
    <row r="23" ht="18.75" customHeight="1">
      <c r="A23" s="139"/>
      <c r="B23" s="108"/>
      <c r="C23" s="60"/>
      <c r="D23" s="135"/>
      <c r="E23" s="110"/>
      <c r="F23" s="145"/>
      <c r="G23" s="52"/>
      <c r="H23" s="115"/>
      <c r="I23" s="64"/>
      <c r="J23" s="65"/>
      <c r="K23" s="13"/>
      <c r="L23" s="137"/>
      <c r="M23" s="130"/>
      <c r="N23" s="138"/>
      <c r="O23" s="138"/>
      <c r="P23" s="133"/>
    </row>
    <row r="24" ht="18.75" customHeight="1">
      <c r="A24" s="139"/>
      <c r="B24" s="108"/>
      <c r="C24" s="60"/>
      <c r="D24" s="135"/>
      <c r="E24" s="110"/>
      <c r="F24" s="145"/>
      <c r="G24" s="52"/>
      <c r="H24" s="115"/>
      <c r="I24" s="64"/>
      <c r="J24" s="65"/>
      <c r="K24" s="13"/>
      <c r="L24" s="137"/>
      <c r="M24" s="130"/>
      <c r="N24" s="138"/>
      <c r="O24" s="138"/>
      <c r="P24" s="133"/>
    </row>
    <row r="25" ht="18.75" customHeight="1">
      <c r="A25" s="139"/>
      <c r="B25" s="108"/>
      <c r="C25" s="60"/>
      <c r="D25" s="135"/>
      <c r="E25" s="110"/>
      <c r="F25" s="145"/>
      <c r="G25" s="52"/>
      <c r="H25" s="115"/>
      <c r="I25" s="64"/>
      <c r="J25" s="65"/>
      <c r="K25" s="13"/>
      <c r="L25" s="137"/>
      <c r="M25" s="130"/>
      <c r="N25" s="138"/>
      <c r="O25" s="138"/>
      <c r="P25" s="133"/>
    </row>
    <row r="26" ht="18.75" customHeight="1">
      <c r="A26" s="139">
        <v>12.0</v>
      </c>
      <c r="B26" s="108"/>
      <c r="C26" s="60"/>
      <c r="D26" s="135"/>
      <c r="E26" s="110"/>
      <c r="F26" s="145"/>
      <c r="G26" s="52"/>
      <c r="H26" s="146" t="s">
        <v>242</v>
      </c>
      <c r="I26" s="64" t="s">
        <v>70</v>
      </c>
      <c r="J26" s="65">
        <f>J3-J7</f>
        <v>0</v>
      </c>
      <c r="K26" s="13"/>
      <c r="L26" s="141" t="s">
        <v>272</v>
      </c>
      <c r="M26" s="142"/>
      <c r="N26" s="143">
        <f t="shared" ref="N26:O26" si="3">SUM(N17:N25)</f>
        <v>0</v>
      </c>
      <c r="O26" s="143">
        <f t="shared" si="3"/>
        <v>0</v>
      </c>
      <c r="P26" s="144"/>
    </row>
    <row r="27" ht="18.75" customHeight="1">
      <c r="A27" s="134">
        <v>13.0</v>
      </c>
      <c r="B27" s="108"/>
      <c r="C27" s="60"/>
      <c r="D27" s="59"/>
      <c r="E27" s="110"/>
      <c r="F27" s="111"/>
      <c r="G27" s="13"/>
      <c r="K27" s="13"/>
      <c r="L27" s="129"/>
      <c r="M27" s="130"/>
      <c r="N27" s="131"/>
      <c r="O27" s="138"/>
      <c r="P27" s="133"/>
    </row>
    <row r="28" ht="18.75" customHeight="1">
      <c r="A28" s="139">
        <v>14.0</v>
      </c>
      <c r="B28" s="108"/>
      <c r="C28" s="60"/>
      <c r="D28" s="59"/>
      <c r="E28" s="110"/>
      <c r="F28" s="147"/>
      <c r="G28" s="13"/>
      <c r="H28" s="103" t="s">
        <v>73</v>
      </c>
      <c r="I28" s="15"/>
      <c r="J28" s="16"/>
      <c r="K28" s="13"/>
      <c r="L28" s="137"/>
      <c r="M28" s="130"/>
      <c r="N28" s="138"/>
      <c r="O28" s="138"/>
      <c r="P28" s="133"/>
    </row>
    <row r="29" ht="18.75" customHeight="1">
      <c r="A29" s="134">
        <v>15.0</v>
      </c>
      <c r="B29" s="108"/>
      <c r="C29" s="60"/>
      <c r="D29" s="59"/>
      <c r="E29" s="110"/>
      <c r="F29" s="136"/>
      <c r="G29" s="13"/>
      <c r="H29" s="117"/>
      <c r="I29" s="64" t="s">
        <v>26</v>
      </c>
      <c r="J29" s="53" t="s">
        <v>27</v>
      </c>
      <c r="K29" s="13"/>
      <c r="L29" s="137"/>
      <c r="M29" s="130"/>
      <c r="N29" s="138"/>
      <c r="O29" s="138"/>
      <c r="P29" s="133"/>
    </row>
    <row r="30" ht="18.75" customHeight="1">
      <c r="A30" s="139">
        <v>16.0</v>
      </c>
      <c r="B30" s="108"/>
      <c r="C30" s="59"/>
      <c r="D30" s="59"/>
      <c r="E30" s="110"/>
      <c r="F30" s="136"/>
      <c r="G30" s="13"/>
      <c r="H30" s="118" t="s">
        <v>76</v>
      </c>
      <c r="I30" s="64" t="s">
        <v>77</v>
      </c>
      <c r="J30" s="67">
        <v>0.0</v>
      </c>
      <c r="K30" s="13"/>
      <c r="L30" s="137"/>
      <c r="M30" s="130"/>
      <c r="N30" s="138"/>
      <c r="O30" s="138"/>
      <c r="P30" s="133"/>
    </row>
    <row r="31" ht="18.75" customHeight="1">
      <c r="A31" s="134">
        <v>17.0</v>
      </c>
      <c r="B31" s="108"/>
      <c r="C31" s="59"/>
      <c r="D31" s="59"/>
      <c r="E31" s="110"/>
      <c r="F31" s="136"/>
      <c r="G31" s="13"/>
      <c r="H31" s="118" t="s">
        <v>78</v>
      </c>
      <c r="I31" s="64" t="s">
        <v>79</v>
      </c>
      <c r="J31" s="69">
        <f>SUM(J32:J34)</f>
        <v>0</v>
      </c>
      <c r="K31" s="13"/>
      <c r="L31" s="137"/>
      <c r="M31" s="130"/>
      <c r="N31" s="138"/>
      <c r="O31" s="138"/>
      <c r="P31" s="133"/>
    </row>
    <row r="32" ht="18.75" customHeight="1">
      <c r="A32" s="139">
        <v>18.0</v>
      </c>
      <c r="B32" s="108"/>
      <c r="C32" s="59"/>
      <c r="D32" s="135"/>
      <c r="E32" s="110"/>
      <c r="F32" s="136"/>
      <c r="G32" s="52"/>
      <c r="H32" s="117"/>
      <c r="I32" s="54" t="s">
        <v>80</v>
      </c>
      <c r="J32" s="69">
        <f>J3</f>
        <v>0</v>
      </c>
      <c r="K32" s="13"/>
      <c r="L32" s="141" t="s">
        <v>272</v>
      </c>
      <c r="M32" s="142"/>
      <c r="N32" s="143">
        <f t="shared" ref="N32:O32" si="4">SUM(N27:N31)</f>
        <v>0</v>
      </c>
      <c r="O32" s="143">
        <f t="shared" si="4"/>
        <v>0</v>
      </c>
      <c r="P32" s="144"/>
    </row>
    <row r="33" ht="18.75" customHeight="1">
      <c r="A33" s="134">
        <v>19.0</v>
      </c>
      <c r="B33" s="108"/>
      <c r="C33" s="59"/>
      <c r="D33" s="135"/>
      <c r="E33" s="110"/>
      <c r="F33" s="136"/>
      <c r="G33" s="52"/>
      <c r="H33" s="117"/>
      <c r="I33" s="54" t="s">
        <v>81</v>
      </c>
      <c r="J33" s="64"/>
      <c r="K33" s="13"/>
      <c r="L33" s="129"/>
      <c r="M33" s="130"/>
      <c r="N33" s="131"/>
      <c r="O33" s="138"/>
      <c r="P33" s="133"/>
    </row>
    <row r="34" ht="18.75" customHeight="1">
      <c r="A34" s="139">
        <v>20.0</v>
      </c>
      <c r="B34" s="108"/>
      <c r="C34" s="59"/>
      <c r="D34" s="59"/>
      <c r="E34" s="110"/>
      <c r="F34" s="136"/>
      <c r="G34" s="52"/>
      <c r="H34" s="117"/>
      <c r="I34" s="54" t="s">
        <v>82</v>
      </c>
      <c r="J34" s="64"/>
      <c r="K34" s="13"/>
      <c r="L34" s="137"/>
      <c r="M34" s="130"/>
      <c r="N34" s="138"/>
      <c r="O34" s="138"/>
      <c r="P34" s="133"/>
    </row>
    <row r="35" ht="18.75" customHeight="1">
      <c r="A35" s="134">
        <v>21.0</v>
      </c>
      <c r="B35" s="108"/>
      <c r="C35" s="59"/>
      <c r="D35" s="59"/>
      <c r="E35" s="110"/>
      <c r="F35" s="136"/>
      <c r="G35" s="52"/>
      <c r="H35" s="118" t="s">
        <v>83</v>
      </c>
      <c r="I35" s="64" t="s">
        <v>84</v>
      </c>
      <c r="J35" s="69">
        <f>SUM(J36:J47)</f>
        <v>0</v>
      </c>
      <c r="K35" s="13"/>
      <c r="L35" s="137"/>
      <c r="M35" s="130"/>
      <c r="N35" s="138"/>
      <c r="O35" s="138"/>
      <c r="P35" s="133"/>
    </row>
    <row r="36" ht="18.75" customHeight="1">
      <c r="A36" s="139">
        <v>22.0</v>
      </c>
      <c r="B36" s="108"/>
      <c r="C36" s="59"/>
      <c r="D36" s="135"/>
      <c r="E36" s="110"/>
      <c r="F36" s="136"/>
      <c r="G36" s="52"/>
      <c r="H36" s="113" t="s">
        <v>223</v>
      </c>
      <c r="I36" s="54" t="s">
        <v>42</v>
      </c>
      <c r="J36" s="69">
        <f>J8</f>
        <v>0</v>
      </c>
      <c r="K36" s="13"/>
      <c r="L36" s="137"/>
      <c r="M36" s="130"/>
      <c r="N36" s="138"/>
      <c r="O36" s="138"/>
      <c r="P36" s="133"/>
    </row>
    <row r="37" ht="18.75" customHeight="1">
      <c r="A37" s="134">
        <v>23.0</v>
      </c>
      <c r="B37" s="108"/>
      <c r="C37" s="60"/>
      <c r="D37" s="59"/>
      <c r="E37" s="110"/>
      <c r="F37" s="136"/>
      <c r="G37" s="52"/>
      <c r="H37" s="107" t="s">
        <v>219</v>
      </c>
      <c r="I37" s="54" t="s">
        <v>85</v>
      </c>
      <c r="J37" s="67"/>
      <c r="K37" s="13"/>
      <c r="L37" s="137"/>
      <c r="M37" s="130"/>
      <c r="N37" s="138"/>
      <c r="O37" s="138"/>
      <c r="P37" s="133"/>
    </row>
    <row r="38" ht="18.75" customHeight="1">
      <c r="A38" s="139">
        <v>24.0</v>
      </c>
      <c r="B38" s="108"/>
      <c r="C38" s="60"/>
      <c r="D38" s="59"/>
      <c r="E38" s="110"/>
      <c r="F38" s="136"/>
      <c r="G38" s="52"/>
      <c r="H38" s="113" t="s">
        <v>224</v>
      </c>
      <c r="I38" s="54" t="s">
        <v>45</v>
      </c>
      <c r="J38" s="69">
        <f t="shared" ref="J38:J41" si="6">J9</f>
        <v>0</v>
      </c>
      <c r="K38" s="13"/>
      <c r="L38" s="141" t="s">
        <v>272</v>
      </c>
      <c r="M38" s="142"/>
      <c r="N38" s="143">
        <f t="shared" ref="N38:O38" si="5">SUM(N33:N37)</f>
        <v>0</v>
      </c>
      <c r="O38" s="143">
        <f t="shared" si="5"/>
        <v>0</v>
      </c>
      <c r="P38" s="144"/>
    </row>
    <row r="39" ht="18.75" customHeight="1">
      <c r="A39" s="134">
        <v>25.0</v>
      </c>
      <c r="B39" s="108"/>
      <c r="C39" s="60"/>
      <c r="D39" s="135"/>
      <c r="E39" s="110"/>
      <c r="F39" s="136"/>
      <c r="G39" s="52"/>
      <c r="H39" s="113" t="s">
        <v>227</v>
      </c>
      <c r="I39" s="54" t="s">
        <v>48</v>
      </c>
      <c r="J39" s="69">
        <f t="shared" si="6"/>
        <v>0</v>
      </c>
      <c r="K39" s="13"/>
      <c r="L39" s="129"/>
      <c r="M39" s="130"/>
      <c r="N39" s="138"/>
      <c r="O39" s="138"/>
      <c r="P39" s="133"/>
    </row>
    <row r="40" ht="18.75" customHeight="1">
      <c r="A40" s="139">
        <v>26.0</v>
      </c>
      <c r="B40" s="108"/>
      <c r="C40" s="60"/>
      <c r="D40" s="135"/>
      <c r="E40" s="110"/>
      <c r="F40" s="136"/>
      <c r="G40" s="52"/>
      <c r="H40" s="113" t="s">
        <v>229</v>
      </c>
      <c r="I40" s="54" t="s">
        <v>51</v>
      </c>
      <c r="J40" s="69">
        <f t="shared" si="6"/>
        <v>0</v>
      </c>
      <c r="K40" s="13"/>
      <c r="L40" s="137"/>
      <c r="M40" s="130"/>
      <c r="N40" s="138"/>
      <c r="O40" s="138"/>
      <c r="P40" s="133"/>
    </row>
    <row r="41" ht="18.75" customHeight="1">
      <c r="A41" s="134">
        <v>27.0</v>
      </c>
      <c r="B41" s="108"/>
      <c r="C41" s="60"/>
      <c r="D41" s="135"/>
      <c r="E41" s="110"/>
      <c r="F41" s="136"/>
      <c r="G41" s="52"/>
      <c r="H41" s="113" t="s">
        <v>231</v>
      </c>
      <c r="I41" s="54" t="s">
        <v>53</v>
      </c>
      <c r="J41" s="69">
        <f t="shared" si="6"/>
        <v>0</v>
      </c>
      <c r="K41" s="13"/>
      <c r="L41" s="137"/>
      <c r="M41" s="130"/>
      <c r="N41" s="138"/>
      <c r="O41" s="138"/>
      <c r="P41" s="133"/>
    </row>
    <row r="42" ht="18.75" customHeight="1">
      <c r="A42" s="50"/>
      <c r="B42" s="97"/>
      <c r="C42" s="60"/>
      <c r="D42" s="59"/>
      <c r="E42" s="114"/>
      <c r="F42" s="61"/>
      <c r="G42" s="52"/>
      <c r="H42" s="113" t="s">
        <v>233</v>
      </c>
      <c r="I42" s="54" t="s">
        <v>55</v>
      </c>
      <c r="J42" s="69">
        <f t="shared" ref="J42:J47" si="7">J15</f>
        <v>0</v>
      </c>
      <c r="K42" s="13"/>
      <c r="L42" s="137"/>
      <c r="M42" s="130"/>
      <c r="N42" s="138"/>
      <c r="O42" s="138"/>
      <c r="P42" s="133"/>
    </row>
    <row r="43" ht="18.75" customHeight="1">
      <c r="A43" s="50"/>
      <c r="B43" s="97"/>
      <c r="C43" s="60"/>
      <c r="D43" s="59"/>
      <c r="E43" s="114"/>
      <c r="F43" s="61"/>
      <c r="G43" s="52"/>
      <c r="H43" s="113" t="s">
        <v>235</v>
      </c>
      <c r="I43" s="54" t="s">
        <v>57</v>
      </c>
      <c r="J43" s="69">
        <f t="shared" si="7"/>
        <v>0</v>
      </c>
      <c r="K43" s="13"/>
      <c r="L43" s="137"/>
      <c r="M43" s="130"/>
      <c r="N43" s="138"/>
      <c r="O43" s="138"/>
      <c r="P43" s="133"/>
    </row>
    <row r="44" ht="18.75" customHeight="1">
      <c r="A44" s="50"/>
      <c r="B44" s="97"/>
      <c r="C44" s="60"/>
      <c r="D44" s="59"/>
      <c r="E44" s="114"/>
      <c r="F44" s="61"/>
      <c r="G44" s="52"/>
      <c r="H44" s="113" t="s">
        <v>236</v>
      </c>
      <c r="I44" s="54" t="s">
        <v>59</v>
      </c>
      <c r="J44" s="69">
        <f t="shared" si="7"/>
        <v>0</v>
      </c>
      <c r="K44" s="13"/>
      <c r="L44" s="141" t="s">
        <v>272</v>
      </c>
      <c r="M44" s="142"/>
      <c r="N44" s="143">
        <f>SUM(N39:N42)</f>
        <v>0</v>
      </c>
      <c r="O44" s="143">
        <f>SUM(O39:O43)</f>
        <v>0</v>
      </c>
      <c r="P44" s="144"/>
    </row>
    <row r="45" ht="18.75" customHeight="1">
      <c r="A45" s="50"/>
      <c r="B45" s="97"/>
      <c r="C45" s="60"/>
      <c r="D45" s="59"/>
      <c r="E45" s="114"/>
      <c r="F45" s="61"/>
      <c r="G45" s="52"/>
      <c r="H45" s="113" t="s">
        <v>238</v>
      </c>
      <c r="I45" s="54" t="s">
        <v>62</v>
      </c>
      <c r="J45" s="69">
        <f t="shared" si="7"/>
        <v>0</v>
      </c>
      <c r="K45" s="13"/>
    </row>
    <row r="46" ht="18.75" customHeight="1">
      <c r="A46" s="50"/>
      <c r="B46" s="97"/>
      <c r="C46" s="60"/>
      <c r="D46" s="59"/>
      <c r="E46" s="114"/>
      <c r="F46" s="61"/>
      <c r="G46" s="52"/>
      <c r="H46" s="113" t="s">
        <v>240</v>
      </c>
      <c r="I46" s="54" t="s">
        <v>64</v>
      </c>
      <c r="J46" s="69">
        <f t="shared" si="7"/>
        <v>0</v>
      </c>
      <c r="K46" s="13"/>
    </row>
    <row r="47" ht="18.75" customHeight="1">
      <c r="A47" s="50"/>
      <c r="B47" s="97"/>
      <c r="C47" s="60"/>
      <c r="D47" s="59"/>
      <c r="E47" s="114"/>
      <c r="F47" s="61"/>
      <c r="G47" s="52"/>
      <c r="H47" s="113" t="s">
        <v>241</v>
      </c>
      <c r="I47" s="54" t="s">
        <v>86</v>
      </c>
      <c r="J47" s="69">
        <f t="shared" si="7"/>
        <v>0</v>
      </c>
      <c r="K47" s="13"/>
    </row>
    <row r="48" ht="18.75" customHeight="1">
      <c r="A48" s="50"/>
      <c r="B48" s="76"/>
      <c r="C48" s="60"/>
      <c r="D48" s="60"/>
      <c r="E48" s="120"/>
      <c r="F48" s="54"/>
      <c r="G48" s="52"/>
      <c r="H48" s="118" t="s">
        <v>87</v>
      </c>
      <c r="I48" s="64" t="s">
        <v>5</v>
      </c>
      <c r="J48" s="28">
        <f>J30+J31-J35</f>
        <v>0</v>
      </c>
      <c r="K48" s="13"/>
    </row>
    <row r="49" ht="18.75" customHeight="1">
      <c r="A49" s="77"/>
      <c r="B49" s="87"/>
      <c r="C49" s="77"/>
      <c r="D49" s="77"/>
      <c r="E49" s="122"/>
      <c r="F49" s="77"/>
      <c r="G49" s="13"/>
      <c r="K49" s="13"/>
    </row>
    <row r="50" ht="18.75" customHeight="1">
      <c r="A50" s="77"/>
      <c r="B50" s="87"/>
      <c r="C50" s="77"/>
      <c r="D50" s="77"/>
      <c r="E50" s="122"/>
      <c r="F50" s="77"/>
      <c r="G50" s="13"/>
      <c r="H50" s="119" t="s">
        <v>88</v>
      </c>
      <c r="I50" s="71"/>
      <c r="J50" s="71"/>
      <c r="K50" s="24"/>
    </row>
    <row r="51" ht="18.75" customHeight="1">
      <c r="A51" s="77"/>
      <c r="B51" s="87"/>
      <c r="C51" s="77"/>
      <c r="D51" s="77"/>
      <c r="E51" s="122"/>
      <c r="F51" s="77"/>
      <c r="G51" s="52"/>
      <c r="H51" s="118" t="s">
        <v>25</v>
      </c>
      <c r="I51" s="64" t="s">
        <v>26</v>
      </c>
      <c r="J51" s="53" t="s">
        <v>27</v>
      </c>
      <c r="K51" s="72" t="s">
        <v>89</v>
      </c>
    </row>
    <row r="52" ht="18.75" customHeight="1">
      <c r="A52" s="77"/>
      <c r="B52" s="87"/>
      <c r="C52" s="77"/>
      <c r="D52" s="77"/>
      <c r="E52" s="122"/>
      <c r="F52" s="77"/>
      <c r="G52" s="52"/>
      <c r="H52" s="118" t="s">
        <v>76</v>
      </c>
      <c r="I52" s="64" t="s">
        <v>77</v>
      </c>
      <c r="J52" s="69">
        <f>J48</f>
        <v>0</v>
      </c>
      <c r="K52" s="73"/>
    </row>
    <row r="53" ht="18.75" customHeight="1">
      <c r="A53" s="77"/>
      <c r="B53" s="87"/>
      <c r="C53" s="77"/>
      <c r="D53" s="77"/>
      <c r="E53" s="122"/>
      <c r="F53" s="77"/>
      <c r="G53" s="52"/>
      <c r="H53" s="118" t="s">
        <v>78</v>
      </c>
      <c r="I53" s="64" t="s">
        <v>79</v>
      </c>
      <c r="J53" s="69">
        <f>SUM(J54:J60)</f>
        <v>0</v>
      </c>
      <c r="K53" s="73"/>
    </row>
    <row r="54" ht="18.75" customHeight="1">
      <c r="A54" s="77"/>
      <c r="B54" s="87"/>
      <c r="C54" s="77"/>
      <c r="D54" s="77"/>
      <c r="E54" s="122"/>
      <c r="F54" s="77"/>
      <c r="G54" s="52"/>
      <c r="H54" s="117"/>
      <c r="I54" s="66"/>
      <c r="J54" s="121"/>
      <c r="K54" s="73"/>
    </row>
    <row r="55" ht="18.75" customHeight="1">
      <c r="A55" s="77"/>
      <c r="B55" s="87"/>
      <c r="C55" s="77"/>
      <c r="D55" s="77"/>
      <c r="E55" s="122"/>
      <c r="F55" s="77"/>
      <c r="G55" s="52"/>
      <c r="H55" s="117"/>
      <c r="I55" s="66"/>
      <c r="J55" s="121"/>
      <c r="K55" s="73"/>
    </row>
    <row r="56" ht="18.75" customHeight="1">
      <c r="A56" s="77"/>
      <c r="B56" s="87"/>
      <c r="C56" s="77"/>
      <c r="D56" s="77"/>
      <c r="E56" s="122"/>
      <c r="F56" s="77"/>
      <c r="G56" s="52"/>
      <c r="H56" s="117"/>
      <c r="I56" s="66"/>
      <c r="J56" s="121"/>
      <c r="K56" s="73"/>
    </row>
    <row r="57" ht="18.75" customHeight="1">
      <c r="A57" s="77"/>
      <c r="B57" s="87"/>
      <c r="C57" s="77"/>
      <c r="D57" s="77"/>
      <c r="E57" s="122"/>
      <c r="F57" s="77"/>
      <c r="G57" s="52"/>
      <c r="H57" s="117"/>
      <c r="I57" s="54"/>
      <c r="J57" s="74"/>
      <c r="K57" s="73"/>
    </row>
    <row r="58" ht="18.75" customHeight="1">
      <c r="A58" s="77"/>
      <c r="B58" s="87"/>
      <c r="C58" s="77"/>
      <c r="D58" s="77"/>
      <c r="E58" s="122"/>
      <c r="F58" s="77"/>
      <c r="G58" s="52"/>
      <c r="H58" s="117"/>
      <c r="I58" s="54"/>
      <c r="J58" s="64"/>
      <c r="K58" s="73"/>
    </row>
    <row r="59" ht="18.75" customHeight="1">
      <c r="A59" s="77"/>
      <c r="B59" s="87"/>
      <c r="C59" s="77"/>
      <c r="D59" s="77"/>
      <c r="E59" s="122"/>
      <c r="F59" s="77"/>
      <c r="G59" s="52"/>
      <c r="H59" s="117"/>
      <c r="I59" s="54"/>
      <c r="J59" s="64"/>
      <c r="K59" s="73"/>
    </row>
    <row r="60" ht="18.75" customHeight="1">
      <c r="A60" s="77"/>
      <c r="B60" s="87"/>
      <c r="C60" s="77"/>
      <c r="D60" s="77"/>
      <c r="E60" s="122"/>
      <c r="F60" s="77"/>
      <c r="G60" s="52"/>
      <c r="H60" s="117"/>
      <c r="I60" s="54"/>
      <c r="J60" s="64"/>
      <c r="K60" s="73"/>
    </row>
    <row r="61" ht="18.75" customHeight="1">
      <c r="A61" s="77"/>
      <c r="B61" s="87"/>
      <c r="C61" s="77"/>
      <c r="D61" s="77"/>
      <c r="E61" s="122"/>
      <c r="F61" s="77"/>
      <c r="G61" s="52"/>
      <c r="H61" s="118" t="s">
        <v>83</v>
      </c>
      <c r="I61" s="64" t="s">
        <v>84</v>
      </c>
      <c r="J61" s="74">
        <f>SUM(J62:J71)</f>
        <v>0</v>
      </c>
      <c r="K61" s="73"/>
    </row>
    <row r="62" ht="18.75" customHeight="1">
      <c r="A62" s="77"/>
      <c r="B62" s="87"/>
      <c r="C62" s="77"/>
      <c r="D62" s="77"/>
      <c r="E62" s="122"/>
      <c r="F62" s="77"/>
      <c r="G62" s="52"/>
      <c r="H62" s="117"/>
      <c r="I62" s="66"/>
      <c r="J62" s="74"/>
      <c r="K62" s="97"/>
    </row>
    <row r="63" ht="18.75" customHeight="1">
      <c r="A63" s="77"/>
      <c r="B63" s="87"/>
      <c r="C63" s="77"/>
      <c r="D63" s="77"/>
      <c r="E63" s="122"/>
      <c r="F63" s="77"/>
      <c r="G63" s="52"/>
      <c r="H63" s="117"/>
      <c r="I63" s="66"/>
      <c r="J63" s="121"/>
      <c r="K63" s="97"/>
    </row>
    <row r="64" ht="18.75" customHeight="1">
      <c r="A64" s="77"/>
      <c r="B64" s="87"/>
      <c r="C64" s="77"/>
      <c r="D64" s="77"/>
      <c r="E64" s="122"/>
      <c r="F64" s="77"/>
      <c r="G64" s="52"/>
      <c r="H64" s="117"/>
      <c r="I64" s="66"/>
      <c r="J64" s="74"/>
      <c r="K64" s="76"/>
    </row>
    <row r="65" ht="18.75" customHeight="1">
      <c r="A65" s="77"/>
      <c r="B65" s="87"/>
      <c r="C65" s="77"/>
      <c r="D65" s="77"/>
      <c r="E65" s="122"/>
      <c r="F65" s="77"/>
      <c r="G65" s="52"/>
      <c r="H65" s="117"/>
      <c r="I65" s="66"/>
      <c r="J65" s="121"/>
      <c r="K65" s="97"/>
    </row>
    <row r="66" ht="18.75" customHeight="1">
      <c r="A66" s="77"/>
      <c r="B66" s="87"/>
      <c r="C66" s="77"/>
      <c r="D66" s="77"/>
      <c r="E66" s="122"/>
      <c r="F66" s="77"/>
      <c r="G66" s="52"/>
      <c r="H66" s="117"/>
      <c r="I66" s="66"/>
      <c r="J66" s="121"/>
      <c r="K66" s="97"/>
    </row>
    <row r="67" ht="18.75" customHeight="1">
      <c r="A67" s="77"/>
      <c r="B67" s="87"/>
      <c r="C67" s="77"/>
      <c r="D67" s="77"/>
      <c r="E67" s="122"/>
      <c r="F67" s="77"/>
      <c r="G67" s="52"/>
      <c r="H67" s="117"/>
      <c r="I67" s="66"/>
      <c r="J67" s="74"/>
      <c r="K67" s="73"/>
    </row>
    <row r="68" ht="18.75" customHeight="1">
      <c r="A68" s="77"/>
      <c r="B68" s="87"/>
      <c r="C68" s="77"/>
      <c r="D68" s="77"/>
      <c r="E68" s="122"/>
      <c r="F68" s="77"/>
      <c r="G68" s="52"/>
      <c r="H68" s="117"/>
      <c r="I68" s="54"/>
      <c r="J68" s="74"/>
      <c r="K68" s="73"/>
    </row>
    <row r="69" ht="18.75" customHeight="1">
      <c r="A69" s="77"/>
      <c r="B69" s="87"/>
      <c r="C69" s="77"/>
      <c r="D69" s="77"/>
      <c r="E69" s="122"/>
      <c r="F69" s="77"/>
      <c r="G69" s="52"/>
      <c r="H69" s="117"/>
      <c r="I69" s="54"/>
      <c r="J69" s="74"/>
      <c r="K69" s="73"/>
    </row>
    <row r="70" ht="18.75" customHeight="1">
      <c r="A70" s="77"/>
      <c r="B70" s="87"/>
      <c r="C70" s="77"/>
      <c r="D70" s="77"/>
      <c r="E70" s="122"/>
      <c r="F70" s="77"/>
      <c r="G70" s="52"/>
      <c r="H70" s="117"/>
      <c r="I70" s="54"/>
      <c r="J70" s="74"/>
      <c r="K70" s="73"/>
    </row>
    <row r="71" ht="18.75" customHeight="1">
      <c r="A71" s="77"/>
      <c r="B71" s="87"/>
      <c r="C71" s="77"/>
      <c r="D71" s="77"/>
      <c r="E71" s="122"/>
      <c r="F71" s="77"/>
      <c r="G71" s="52"/>
      <c r="H71" s="117"/>
      <c r="I71" s="54"/>
      <c r="J71" s="74"/>
      <c r="K71" s="73"/>
    </row>
    <row r="72" ht="18.75" customHeight="1">
      <c r="A72" s="77"/>
      <c r="B72" s="87"/>
      <c r="C72" s="77"/>
      <c r="D72" s="77"/>
      <c r="E72" s="122"/>
      <c r="F72" s="77"/>
      <c r="G72" s="52"/>
      <c r="H72" s="118" t="s">
        <v>87</v>
      </c>
      <c r="I72" s="64" t="s">
        <v>5</v>
      </c>
      <c r="J72" s="28">
        <f>J52+J53-J61</f>
        <v>0</v>
      </c>
      <c r="K72" s="73"/>
    </row>
    <row r="73" ht="18.75" customHeight="1">
      <c r="A73" s="77"/>
      <c r="B73" s="87"/>
      <c r="C73" s="77"/>
      <c r="D73" s="77"/>
      <c r="E73" s="122"/>
      <c r="F73" s="77"/>
      <c r="G73" s="77"/>
      <c r="H73" s="122"/>
      <c r="I73" s="77"/>
      <c r="J73" s="77"/>
      <c r="K73" s="77"/>
    </row>
    <row r="74" ht="18.75" customHeight="1">
      <c r="A74" s="77"/>
      <c r="B74" s="87"/>
      <c r="C74" s="77"/>
      <c r="D74" s="77"/>
      <c r="E74" s="122"/>
      <c r="F74" s="77"/>
      <c r="G74" s="77"/>
      <c r="H74" s="122"/>
      <c r="I74" s="77"/>
      <c r="J74" s="77"/>
      <c r="K74" s="77"/>
    </row>
    <row r="75" ht="18.75" customHeight="1">
      <c r="A75" s="77"/>
      <c r="B75" s="87"/>
      <c r="C75" s="77"/>
      <c r="D75" s="77"/>
      <c r="E75" s="122"/>
      <c r="F75" s="77"/>
      <c r="G75" s="77"/>
      <c r="H75" s="122"/>
      <c r="I75" s="77"/>
      <c r="J75" s="77"/>
      <c r="K75" s="77"/>
    </row>
    <row r="76" ht="18.75" customHeight="1">
      <c r="A76" s="77"/>
      <c r="B76" s="87"/>
      <c r="C76" s="77"/>
      <c r="D76" s="77"/>
      <c r="E76" s="122"/>
      <c r="F76" s="77"/>
      <c r="G76" s="77"/>
      <c r="H76" s="122"/>
      <c r="I76" s="77"/>
      <c r="J76" s="77"/>
      <c r="K76" s="77"/>
    </row>
    <row r="77" ht="18.75" customHeight="1">
      <c r="A77" s="77"/>
      <c r="B77" s="87"/>
      <c r="C77" s="77"/>
      <c r="D77" s="77"/>
      <c r="E77" s="122"/>
      <c r="F77" s="77"/>
      <c r="G77" s="77"/>
      <c r="H77" s="122"/>
      <c r="I77" s="77"/>
      <c r="J77" s="77"/>
      <c r="K77" s="77"/>
    </row>
    <row r="78" ht="18.75" customHeight="1">
      <c r="A78" s="77"/>
      <c r="B78" s="87"/>
      <c r="C78" s="77"/>
      <c r="D78" s="77"/>
      <c r="E78" s="122"/>
      <c r="F78" s="77"/>
      <c r="G78" s="77"/>
      <c r="H78" s="122"/>
      <c r="I78" s="77"/>
      <c r="J78" s="77"/>
      <c r="K78" s="77"/>
    </row>
    <row r="79" ht="18.75" customHeight="1">
      <c r="A79" s="77"/>
      <c r="B79" s="87"/>
      <c r="C79" s="77"/>
      <c r="D79" s="77"/>
      <c r="E79" s="122"/>
      <c r="F79" s="77"/>
      <c r="G79" s="77"/>
      <c r="H79" s="122"/>
      <c r="I79" s="77"/>
      <c r="J79" s="77"/>
      <c r="K79" s="77"/>
    </row>
    <row r="80" ht="18.75" customHeight="1">
      <c r="A80" s="77"/>
      <c r="B80" s="87"/>
      <c r="C80" s="77"/>
      <c r="D80" s="77"/>
      <c r="E80" s="122"/>
      <c r="F80" s="77"/>
      <c r="G80" s="77"/>
      <c r="H80" s="122"/>
      <c r="I80" s="77"/>
      <c r="J80" s="77"/>
      <c r="K80" s="77"/>
    </row>
    <row r="81" ht="18.75" customHeight="1">
      <c r="A81" s="77"/>
      <c r="B81" s="87"/>
      <c r="C81" s="77"/>
      <c r="D81" s="77"/>
      <c r="E81" s="122"/>
      <c r="F81" s="77"/>
      <c r="G81" s="77"/>
      <c r="H81" s="122"/>
      <c r="I81" s="77"/>
      <c r="J81" s="77"/>
      <c r="K81" s="77"/>
    </row>
    <row r="82" ht="18.75" customHeight="1">
      <c r="A82" s="77"/>
      <c r="B82" s="87"/>
      <c r="C82" s="77"/>
      <c r="D82" s="77"/>
      <c r="E82" s="122"/>
      <c r="F82" s="77"/>
      <c r="G82" s="77"/>
      <c r="H82" s="122"/>
      <c r="I82" s="77"/>
      <c r="J82" s="77"/>
      <c r="K82" s="77"/>
    </row>
    <row r="83" ht="18.75" customHeight="1">
      <c r="A83" s="77"/>
      <c r="B83" s="87"/>
      <c r="C83" s="77"/>
      <c r="D83" s="77"/>
      <c r="E83" s="122"/>
      <c r="F83" s="77"/>
      <c r="G83" s="77"/>
      <c r="H83" s="122"/>
      <c r="I83" s="77"/>
      <c r="J83" s="77"/>
      <c r="K83" s="77"/>
    </row>
    <row r="84" ht="18.75" customHeight="1">
      <c r="A84" s="77"/>
      <c r="B84" s="87"/>
      <c r="C84" s="77"/>
      <c r="D84" s="77"/>
      <c r="E84" s="122"/>
      <c r="F84" s="77"/>
      <c r="G84" s="77"/>
      <c r="H84" s="122"/>
      <c r="I84" s="77"/>
      <c r="J84" s="77"/>
      <c r="K84" s="77"/>
    </row>
    <row r="85" ht="18.75" customHeight="1">
      <c r="A85" s="77"/>
      <c r="B85" s="87"/>
      <c r="C85" s="77"/>
      <c r="D85" s="77"/>
      <c r="E85" s="122"/>
      <c r="F85" s="77"/>
      <c r="G85" s="77"/>
      <c r="H85" s="122"/>
      <c r="I85" s="77"/>
      <c r="J85" s="77"/>
      <c r="K85" s="77"/>
    </row>
    <row r="86" ht="18.75" customHeight="1">
      <c r="A86" s="77"/>
      <c r="B86" s="87"/>
      <c r="C86" s="77"/>
      <c r="D86" s="77"/>
      <c r="E86" s="122"/>
      <c r="F86" s="77"/>
      <c r="G86" s="77"/>
      <c r="H86" s="122"/>
      <c r="I86" s="77"/>
      <c r="J86" s="77"/>
      <c r="K86" s="77"/>
    </row>
    <row r="87" ht="18.75" customHeight="1">
      <c r="A87" s="77"/>
      <c r="B87" s="87"/>
      <c r="C87" s="77"/>
      <c r="D87" s="77"/>
      <c r="E87" s="122"/>
      <c r="F87" s="77"/>
      <c r="G87" s="77"/>
      <c r="H87" s="122"/>
      <c r="I87" s="77"/>
      <c r="J87" s="77"/>
      <c r="K87" s="77"/>
    </row>
    <row r="88" ht="18.75" customHeight="1">
      <c r="A88" s="77"/>
      <c r="B88" s="87"/>
      <c r="C88" s="77"/>
      <c r="D88" s="77"/>
      <c r="E88" s="122"/>
      <c r="F88" s="77"/>
      <c r="G88" s="77"/>
      <c r="H88" s="122"/>
      <c r="I88" s="77"/>
      <c r="J88" s="77"/>
      <c r="K88" s="77"/>
    </row>
    <row r="89" ht="18.75" customHeight="1">
      <c r="A89" s="77"/>
      <c r="B89" s="87"/>
      <c r="C89" s="77"/>
      <c r="D89" s="77"/>
      <c r="E89" s="122"/>
      <c r="F89" s="77"/>
      <c r="G89" s="77"/>
      <c r="H89" s="122"/>
      <c r="I89" s="77"/>
      <c r="J89" s="77"/>
      <c r="K89" s="77"/>
    </row>
    <row r="90" ht="18.75" customHeight="1">
      <c r="A90" s="77"/>
      <c r="B90" s="87"/>
      <c r="C90" s="77"/>
      <c r="D90" s="77"/>
      <c r="E90" s="122"/>
      <c r="F90" s="77"/>
      <c r="G90" s="77"/>
      <c r="H90" s="122"/>
      <c r="I90" s="77"/>
      <c r="J90" s="77"/>
      <c r="K90" s="77"/>
    </row>
    <row r="91" ht="18.75" customHeight="1">
      <c r="A91" s="77"/>
      <c r="B91" s="87"/>
      <c r="C91" s="77"/>
      <c r="D91" s="77"/>
      <c r="E91" s="122"/>
      <c r="F91" s="77"/>
      <c r="G91" s="77"/>
      <c r="H91" s="122"/>
      <c r="I91" s="77"/>
      <c r="J91" s="77"/>
      <c r="K91" s="77"/>
    </row>
    <row r="92" ht="18.75" customHeight="1">
      <c r="A92" s="77"/>
      <c r="B92" s="87"/>
      <c r="C92" s="77"/>
      <c r="D92" s="77"/>
      <c r="E92" s="122"/>
      <c r="F92" s="77"/>
      <c r="G92" s="77"/>
      <c r="H92" s="122"/>
      <c r="I92" s="77"/>
      <c r="J92" s="77"/>
      <c r="K92" s="77"/>
    </row>
    <row r="93" ht="18.75" customHeight="1">
      <c r="A93" s="77"/>
      <c r="B93" s="87"/>
      <c r="C93" s="77"/>
      <c r="D93" s="77"/>
      <c r="E93" s="122"/>
      <c r="F93" s="77"/>
      <c r="G93" s="77"/>
      <c r="H93" s="122"/>
      <c r="I93" s="77"/>
      <c r="J93" s="77"/>
      <c r="K93" s="77"/>
    </row>
    <row r="94" ht="18.75" customHeight="1">
      <c r="A94" s="77"/>
      <c r="B94" s="87"/>
      <c r="C94" s="77"/>
      <c r="D94" s="77"/>
      <c r="E94" s="122"/>
      <c r="F94" s="77"/>
      <c r="G94" s="77"/>
      <c r="H94" s="122"/>
      <c r="I94" s="77"/>
      <c r="J94" s="77"/>
      <c r="K94" s="77"/>
    </row>
    <row r="95" ht="18.75" customHeight="1">
      <c r="A95" s="77"/>
      <c r="B95" s="87"/>
      <c r="C95" s="77"/>
      <c r="D95" s="77"/>
      <c r="E95" s="122"/>
      <c r="F95" s="77"/>
      <c r="G95" s="77"/>
      <c r="H95" s="122"/>
      <c r="I95" s="77"/>
      <c r="J95" s="77"/>
      <c r="K95" s="77"/>
    </row>
    <row r="96" ht="18.75" customHeight="1">
      <c r="A96" s="77"/>
      <c r="B96" s="87"/>
      <c r="C96" s="77"/>
      <c r="D96" s="77"/>
      <c r="E96" s="122"/>
      <c r="F96" s="77"/>
      <c r="G96" s="77"/>
      <c r="H96" s="122"/>
      <c r="I96" s="77"/>
      <c r="J96" s="77"/>
      <c r="K96" s="77"/>
    </row>
    <row r="97" ht="18.75" customHeight="1">
      <c r="A97" s="77"/>
      <c r="B97" s="87"/>
      <c r="C97" s="77"/>
      <c r="D97" s="77"/>
      <c r="E97" s="122"/>
      <c r="F97" s="77"/>
      <c r="G97" s="77"/>
      <c r="H97" s="122"/>
      <c r="I97" s="77"/>
      <c r="J97" s="77"/>
      <c r="K97" s="77"/>
    </row>
    <row r="98" ht="18.75" customHeight="1">
      <c r="A98" s="77"/>
      <c r="B98" s="87"/>
      <c r="C98" s="77"/>
      <c r="D98" s="77"/>
      <c r="E98" s="122"/>
      <c r="F98" s="77"/>
      <c r="G98" s="77"/>
      <c r="H98" s="122"/>
      <c r="I98" s="77"/>
      <c r="J98" s="77"/>
      <c r="K98" s="77"/>
    </row>
    <row r="99" ht="18.75" customHeight="1">
      <c r="A99" s="77"/>
      <c r="B99" s="87"/>
      <c r="C99" s="77"/>
      <c r="D99" s="77"/>
      <c r="E99" s="122"/>
      <c r="F99" s="77"/>
      <c r="G99" s="77"/>
      <c r="H99" s="122"/>
      <c r="I99" s="77"/>
      <c r="J99" s="77"/>
      <c r="K99" s="77"/>
    </row>
    <row r="100" ht="18.75" customHeight="1">
      <c r="A100" s="77"/>
      <c r="B100" s="87"/>
      <c r="C100" s="77"/>
      <c r="D100" s="77"/>
      <c r="E100" s="122"/>
      <c r="F100" s="77"/>
      <c r="G100" s="77"/>
      <c r="H100" s="122"/>
      <c r="I100" s="77"/>
      <c r="J100" s="77"/>
      <c r="K100" s="77"/>
    </row>
    <row r="101" ht="18.75" customHeight="1">
      <c r="A101" s="77"/>
      <c r="B101" s="87"/>
      <c r="C101" s="77"/>
      <c r="D101" s="77"/>
      <c r="E101" s="122"/>
      <c r="F101" s="77"/>
      <c r="G101" s="77"/>
      <c r="H101" s="122"/>
      <c r="I101" s="77"/>
      <c r="J101" s="77"/>
      <c r="K101" s="77"/>
    </row>
    <row r="102" ht="18.75" customHeight="1">
      <c r="A102" s="77"/>
      <c r="B102" s="87"/>
      <c r="C102" s="77"/>
      <c r="D102" s="77"/>
      <c r="E102" s="122"/>
      <c r="F102" s="77"/>
      <c r="G102" s="77"/>
      <c r="H102" s="122"/>
      <c r="I102" s="77"/>
      <c r="J102" s="77"/>
      <c r="K102" s="77"/>
    </row>
    <row r="103" ht="18.75" customHeight="1">
      <c r="A103" s="77"/>
      <c r="B103" s="87"/>
      <c r="C103" s="77"/>
      <c r="D103" s="77"/>
      <c r="E103" s="122"/>
      <c r="F103" s="77"/>
      <c r="G103" s="77"/>
      <c r="H103" s="122"/>
      <c r="I103" s="77"/>
      <c r="J103" s="77"/>
      <c r="K103" s="77"/>
    </row>
    <row r="104" ht="18.75" customHeight="1">
      <c r="A104" s="77"/>
      <c r="B104" s="87"/>
      <c r="C104" s="77"/>
      <c r="D104" s="77"/>
      <c r="E104" s="122"/>
      <c r="F104" s="77"/>
      <c r="G104" s="77"/>
      <c r="H104" s="122"/>
      <c r="I104" s="77"/>
      <c r="J104" s="77"/>
      <c r="K104" s="77"/>
    </row>
    <row r="105" ht="18.75" customHeight="1">
      <c r="A105" s="77"/>
      <c r="B105" s="87"/>
      <c r="C105" s="77"/>
      <c r="D105" s="77"/>
      <c r="E105" s="122"/>
      <c r="F105" s="77"/>
      <c r="G105" s="77"/>
      <c r="H105" s="122"/>
      <c r="I105" s="77"/>
      <c r="J105" s="77"/>
      <c r="K105" s="77"/>
    </row>
    <row r="106" ht="18.75" customHeight="1">
      <c r="E106" s="123"/>
      <c r="G106" s="77"/>
      <c r="H106" s="122"/>
      <c r="I106" s="77"/>
      <c r="J106" s="77"/>
      <c r="K106" s="77"/>
    </row>
    <row r="107" ht="18.75" customHeight="1">
      <c r="E107" s="123"/>
      <c r="G107" s="77"/>
      <c r="H107" s="122"/>
      <c r="I107" s="77"/>
      <c r="J107" s="77"/>
      <c r="K107" s="77"/>
    </row>
    <row r="108" ht="18.75" customHeight="1">
      <c r="E108" s="123"/>
      <c r="G108" s="77"/>
      <c r="H108" s="122"/>
      <c r="I108" s="77"/>
      <c r="J108" s="77"/>
      <c r="K108" s="77"/>
    </row>
    <row r="109" ht="18.75" customHeight="1">
      <c r="E109" s="123"/>
      <c r="G109" s="77"/>
      <c r="H109" s="122"/>
      <c r="I109" s="77"/>
      <c r="J109" s="77"/>
      <c r="K109" s="77"/>
    </row>
    <row r="110" ht="18.75" customHeight="1">
      <c r="E110" s="123"/>
      <c r="G110" s="77"/>
      <c r="H110" s="122"/>
      <c r="I110" s="77"/>
      <c r="J110" s="77"/>
      <c r="K110" s="77"/>
    </row>
    <row r="111" ht="18.75" customHeight="1">
      <c r="E111" s="123"/>
      <c r="G111" s="77"/>
      <c r="H111" s="122"/>
      <c r="I111" s="77"/>
      <c r="J111" s="77"/>
      <c r="K111" s="77"/>
    </row>
    <row r="112" ht="18.75" customHeight="1">
      <c r="E112" s="123"/>
      <c r="G112" s="77"/>
      <c r="H112" s="122"/>
      <c r="I112" s="77"/>
      <c r="J112" s="77"/>
      <c r="K112" s="77"/>
    </row>
    <row r="113" ht="18.75" customHeight="1">
      <c r="E113" s="123"/>
      <c r="G113" s="77"/>
      <c r="H113" s="122"/>
      <c r="I113" s="77"/>
      <c r="J113" s="77"/>
      <c r="K113" s="77"/>
    </row>
    <row r="114" ht="18.75" customHeight="1">
      <c r="E114" s="123"/>
      <c r="G114" s="77"/>
      <c r="H114" s="122"/>
      <c r="I114" s="77"/>
      <c r="J114" s="77"/>
      <c r="K114" s="77"/>
    </row>
    <row r="115" ht="18.75" customHeight="1">
      <c r="E115" s="123"/>
      <c r="G115" s="77"/>
      <c r="H115" s="122"/>
      <c r="I115" s="77"/>
      <c r="J115" s="77"/>
      <c r="K115" s="77"/>
    </row>
    <row r="116" ht="18.75" customHeight="1">
      <c r="E116" s="123"/>
      <c r="G116" s="77"/>
      <c r="H116" s="122"/>
      <c r="I116" s="77"/>
      <c r="J116" s="77"/>
      <c r="K116" s="77"/>
    </row>
    <row r="117" ht="18.75" customHeight="1">
      <c r="E117" s="123"/>
      <c r="G117" s="77"/>
      <c r="H117" s="122"/>
      <c r="I117" s="77"/>
      <c r="J117" s="77"/>
      <c r="K117" s="77"/>
    </row>
    <row r="118" ht="18.75" customHeight="1">
      <c r="E118" s="123"/>
      <c r="G118" s="77"/>
      <c r="H118" s="122"/>
      <c r="I118" s="77"/>
      <c r="J118" s="77"/>
      <c r="K118" s="77"/>
    </row>
    <row r="119" ht="18.75" customHeight="1">
      <c r="E119" s="123"/>
      <c r="G119" s="77"/>
      <c r="H119" s="122"/>
      <c r="I119" s="77"/>
      <c r="J119" s="77"/>
      <c r="K119" s="77"/>
    </row>
    <row r="120" ht="18.75" customHeight="1">
      <c r="E120" s="123"/>
      <c r="G120" s="77"/>
      <c r="H120" s="122"/>
      <c r="I120" s="77"/>
      <c r="J120" s="77"/>
      <c r="K120" s="77"/>
    </row>
    <row r="121" ht="18.75" customHeight="1">
      <c r="E121" s="123"/>
      <c r="G121" s="77"/>
      <c r="H121" s="122"/>
      <c r="I121" s="77"/>
      <c r="J121" s="77"/>
      <c r="K121" s="77"/>
    </row>
    <row r="122" ht="18.75" customHeight="1">
      <c r="E122" s="123"/>
      <c r="G122" s="77"/>
      <c r="H122" s="122"/>
      <c r="I122" s="77"/>
      <c r="J122" s="77"/>
      <c r="K122" s="77"/>
    </row>
    <row r="123" ht="18.75" customHeight="1">
      <c r="E123" s="123"/>
      <c r="G123" s="77"/>
      <c r="H123" s="122"/>
      <c r="I123" s="77"/>
      <c r="J123" s="77"/>
      <c r="K123" s="77"/>
    </row>
    <row r="124" ht="18.75" customHeight="1">
      <c r="E124" s="123"/>
      <c r="G124" s="77"/>
      <c r="H124" s="122"/>
      <c r="I124" s="77"/>
      <c r="J124" s="77"/>
      <c r="K124" s="77"/>
    </row>
    <row r="125" ht="18.75" customHeight="1">
      <c r="E125" s="123"/>
      <c r="G125" s="77"/>
      <c r="H125" s="122"/>
      <c r="I125" s="77"/>
      <c r="J125" s="77"/>
      <c r="K125" s="77"/>
    </row>
    <row r="126" ht="18.75" customHeight="1">
      <c r="E126" s="123"/>
      <c r="G126" s="77"/>
      <c r="H126" s="122"/>
      <c r="I126" s="77"/>
      <c r="J126" s="77"/>
      <c r="K126" s="77"/>
    </row>
    <row r="127" ht="18.75" customHeight="1">
      <c r="E127" s="123"/>
      <c r="G127" s="77"/>
      <c r="H127" s="122"/>
      <c r="I127" s="77"/>
      <c r="J127" s="77"/>
      <c r="K127" s="77"/>
    </row>
    <row r="128" ht="18.75" customHeight="1">
      <c r="E128" s="123"/>
      <c r="G128" s="77"/>
      <c r="H128" s="122"/>
      <c r="I128" s="77"/>
      <c r="J128" s="77"/>
      <c r="K128" s="77"/>
    </row>
    <row r="129" ht="18.75" customHeight="1">
      <c r="E129" s="123"/>
      <c r="G129" s="77"/>
      <c r="H129" s="122"/>
      <c r="I129" s="77"/>
      <c r="J129" s="77"/>
      <c r="K129" s="77"/>
    </row>
    <row r="130" ht="18.75" customHeight="1">
      <c r="E130" s="123"/>
      <c r="G130" s="77"/>
      <c r="H130" s="122"/>
      <c r="I130" s="77"/>
      <c r="J130" s="77"/>
      <c r="K130" s="77"/>
    </row>
    <row r="131" ht="18.75" customHeight="1">
      <c r="E131" s="123"/>
      <c r="G131" s="77"/>
      <c r="H131" s="122"/>
      <c r="I131" s="77"/>
      <c r="J131" s="77"/>
      <c r="K131" s="77"/>
    </row>
    <row r="132" ht="18.75" customHeight="1">
      <c r="E132" s="123"/>
      <c r="G132" s="77"/>
      <c r="H132" s="122"/>
      <c r="I132" s="77"/>
      <c r="J132" s="77"/>
      <c r="K132" s="77"/>
    </row>
    <row r="133" ht="18.75" customHeight="1">
      <c r="E133" s="123"/>
      <c r="G133" s="77"/>
      <c r="H133" s="122"/>
      <c r="I133" s="77"/>
      <c r="J133" s="77"/>
      <c r="K133" s="77"/>
    </row>
    <row r="134" ht="18.75" customHeight="1">
      <c r="E134" s="123"/>
      <c r="G134" s="77"/>
      <c r="H134" s="122"/>
      <c r="I134" s="77"/>
      <c r="J134" s="77"/>
      <c r="K134" s="77"/>
    </row>
    <row r="135" ht="18.75" customHeight="1">
      <c r="E135" s="123"/>
      <c r="G135" s="77"/>
      <c r="H135" s="122"/>
      <c r="I135" s="77"/>
      <c r="J135" s="77"/>
      <c r="K135" s="77"/>
    </row>
    <row r="136" ht="18.75" customHeight="1">
      <c r="E136" s="123"/>
      <c r="G136" s="77"/>
      <c r="H136" s="122"/>
      <c r="I136" s="77"/>
      <c r="J136" s="77"/>
      <c r="K136" s="77"/>
    </row>
    <row r="137" ht="18.75" customHeight="1">
      <c r="E137" s="123"/>
      <c r="G137" s="77"/>
      <c r="H137" s="122"/>
      <c r="I137" s="77"/>
      <c r="J137" s="77"/>
      <c r="K137" s="77"/>
    </row>
    <row r="138" ht="18.75" customHeight="1">
      <c r="E138" s="123"/>
      <c r="G138" s="77"/>
      <c r="H138" s="122"/>
      <c r="I138" s="77"/>
      <c r="J138" s="77"/>
      <c r="K138" s="77"/>
    </row>
    <row r="139" ht="18.75" customHeight="1">
      <c r="E139" s="123"/>
      <c r="G139" s="77"/>
      <c r="H139" s="122"/>
      <c r="I139" s="77"/>
      <c r="J139" s="77"/>
      <c r="K139" s="77"/>
    </row>
    <row r="140" ht="18.75" customHeight="1">
      <c r="E140" s="123"/>
      <c r="G140" s="77"/>
      <c r="H140" s="122"/>
      <c r="I140" s="77"/>
      <c r="J140" s="77"/>
      <c r="K140" s="77"/>
    </row>
    <row r="141" ht="18.75" customHeight="1">
      <c r="E141" s="123"/>
      <c r="G141" s="77"/>
      <c r="H141" s="122"/>
      <c r="I141" s="77"/>
      <c r="J141" s="77"/>
      <c r="K141" s="77"/>
    </row>
    <row r="142" ht="18.75" customHeight="1">
      <c r="E142" s="123"/>
      <c r="G142" s="77"/>
      <c r="H142" s="122"/>
      <c r="I142" s="77"/>
      <c r="J142" s="77"/>
      <c r="K142" s="77"/>
    </row>
    <row r="143" ht="18.75" customHeight="1">
      <c r="E143" s="123"/>
      <c r="G143" s="77"/>
      <c r="H143" s="122"/>
      <c r="I143" s="77"/>
      <c r="J143" s="77"/>
      <c r="K143" s="77"/>
    </row>
    <row r="144" ht="18.75" customHeight="1">
      <c r="E144" s="123"/>
      <c r="G144" s="77"/>
      <c r="H144" s="122"/>
      <c r="I144" s="77"/>
      <c r="J144" s="77"/>
      <c r="K144" s="77"/>
    </row>
    <row r="145" ht="18.75" customHeight="1">
      <c r="E145" s="123"/>
      <c r="G145" s="77"/>
      <c r="H145" s="122"/>
      <c r="I145" s="77"/>
      <c r="J145" s="77"/>
      <c r="K145" s="77"/>
    </row>
    <row r="146" ht="18.75" customHeight="1">
      <c r="E146" s="123"/>
      <c r="G146" s="77"/>
      <c r="H146" s="122"/>
      <c r="I146" s="77"/>
      <c r="J146" s="77"/>
      <c r="K146" s="77"/>
    </row>
    <row r="147" ht="18.75" customHeight="1">
      <c r="E147" s="123"/>
      <c r="G147" s="77"/>
      <c r="H147" s="122"/>
      <c r="I147" s="77"/>
      <c r="J147" s="77"/>
      <c r="K147" s="77"/>
    </row>
    <row r="148" ht="18.75" customHeight="1">
      <c r="E148" s="123"/>
      <c r="G148" s="77"/>
      <c r="H148" s="122"/>
      <c r="I148" s="77"/>
      <c r="J148" s="77"/>
      <c r="K148" s="77"/>
    </row>
    <row r="149" ht="18.75" customHeight="1">
      <c r="E149" s="123"/>
      <c r="G149" s="77"/>
      <c r="H149" s="122"/>
      <c r="I149" s="77"/>
      <c r="J149" s="77"/>
      <c r="K149" s="77"/>
    </row>
    <row r="150" ht="18.75" customHeight="1">
      <c r="E150" s="123"/>
      <c r="G150" s="77"/>
      <c r="H150" s="122"/>
      <c r="I150" s="77"/>
      <c r="J150" s="77"/>
      <c r="K150" s="77"/>
    </row>
    <row r="151" ht="18.75" customHeight="1">
      <c r="E151" s="123"/>
      <c r="G151" s="77"/>
      <c r="H151" s="122"/>
      <c r="I151" s="77"/>
      <c r="J151" s="77"/>
      <c r="K151" s="77"/>
    </row>
    <row r="152" ht="18.75" customHeight="1">
      <c r="E152" s="123"/>
      <c r="G152" s="77"/>
      <c r="H152" s="122"/>
      <c r="I152" s="77"/>
      <c r="J152" s="77"/>
      <c r="K152" s="77"/>
    </row>
    <row r="153" ht="18.75" customHeight="1">
      <c r="E153" s="123"/>
      <c r="G153" s="77"/>
      <c r="H153" s="122"/>
      <c r="I153" s="77"/>
      <c r="J153" s="77"/>
      <c r="K153" s="77"/>
    </row>
    <row r="154" ht="18.75" customHeight="1">
      <c r="E154" s="123"/>
      <c r="G154" s="77"/>
      <c r="H154" s="122"/>
      <c r="I154" s="77"/>
      <c r="J154" s="77"/>
      <c r="K154" s="77"/>
    </row>
    <row r="155" ht="18.75" customHeight="1">
      <c r="E155" s="123"/>
      <c r="G155" s="77"/>
      <c r="H155" s="122"/>
      <c r="I155" s="77"/>
      <c r="J155" s="77"/>
      <c r="K155" s="77"/>
    </row>
    <row r="156" ht="18.75" customHeight="1">
      <c r="E156" s="123"/>
      <c r="G156" s="77"/>
      <c r="H156" s="122"/>
      <c r="I156" s="77"/>
      <c r="J156" s="77"/>
      <c r="K156" s="77"/>
    </row>
    <row r="157" ht="18.75" customHeight="1">
      <c r="E157" s="123"/>
      <c r="G157" s="77"/>
      <c r="H157" s="122"/>
      <c r="I157" s="77"/>
      <c r="J157" s="77"/>
      <c r="K157" s="77"/>
    </row>
    <row r="158" ht="18.75" customHeight="1">
      <c r="E158" s="123"/>
      <c r="G158" s="77"/>
      <c r="H158" s="122"/>
      <c r="I158" s="77"/>
      <c r="J158" s="77"/>
      <c r="K158" s="77"/>
    </row>
    <row r="159" ht="18.75" customHeight="1">
      <c r="E159" s="123"/>
      <c r="G159" s="77"/>
      <c r="H159" s="122"/>
      <c r="I159" s="77"/>
      <c r="J159" s="77"/>
      <c r="K159" s="77"/>
    </row>
    <row r="160" ht="18.75" customHeight="1">
      <c r="E160" s="123"/>
      <c r="G160" s="77"/>
      <c r="H160" s="122"/>
      <c r="I160" s="77"/>
      <c r="J160" s="77"/>
      <c r="K160" s="77"/>
    </row>
    <row r="161" ht="18.75" customHeight="1">
      <c r="E161" s="123"/>
      <c r="G161" s="77"/>
      <c r="H161" s="122"/>
      <c r="I161" s="77"/>
      <c r="J161" s="77"/>
      <c r="K161" s="77"/>
    </row>
    <row r="162" ht="18.75" customHeight="1">
      <c r="E162" s="123"/>
      <c r="G162" s="77"/>
      <c r="H162" s="122"/>
      <c r="I162" s="77"/>
      <c r="J162" s="77"/>
      <c r="K162" s="77"/>
    </row>
    <row r="163" ht="18.75" customHeight="1">
      <c r="E163" s="123"/>
      <c r="G163" s="77"/>
      <c r="H163" s="122"/>
      <c r="I163" s="77"/>
      <c r="J163" s="77"/>
      <c r="K163" s="77"/>
    </row>
    <row r="164" ht="18.75" customHeight="1">
      <c r="E164" s="123"/>
      <c r="G164" s="77"/>
      <c r="H164" s="122"/>
      <c r="I164" s="77"/>
      <c r="J164" s="77"/>
      <c r="K164" s="77"/>
    </row>
    <row r="165" ht="18.75" customHeight="1">
      <c r="E165" s="123"/>
      <c r="G165" s="77"/>
      <c r="H165" s="122"/>
      <c r="I165" s="77"/>
      <c r="J165" s="77"/>
      <c r="K165" s="77"/>
    </row>
    <row r="166" ht="18.75" customHeight="1">
      <c r="E166" s="123"/>
      <c r="G166" s="77"/>
      <c r="H166" s="122"/>
      <c r="I166" s="77"/>
      <c r="J166" s="77"/>
      <c r="K166" s="77"/>
    </row>
    <row r="167" ht="18.75" customHeight="1">
      <c r="E167" s="123"/>
      <c r="G167" s="77"/>
      <c r="H167" s="122"/>
      <c r="I167" s="77"/>
      <c r="J167" s="77"/>
      <c r="K167" s="77"/>
    </row>
    <row r="168" ht="18.75" customHeight="1">
      <c r="E168" s="123"/>
      <c r="G168" s="77"/>
      <c r="H168" s="122"/>
      <c r="I168" s="77"/>
      <c r="J168" s="77"/>
      <c r="K168" s="77"/>
    </row>
    <row r="169" ht="18.75" customHeight="1">
      <c r="E169" s="123"/>
      <c r="G169" s="77"/>
      <c r="H169" s="122"/>
      <c r="I169" s="77"/>
      <c r="J169" s="77"/>
      <c r="K169" s="77"/>
    </row>
    <row r="170" ht="18.75" customHeight="1">
      <c r="E170" s="123"/>
      <c r="G170" s="77"/>
      <c r="H170" s="122"/>
      <c r="I170" s="77"/>
      <c r="J170" s="77"/>
      <c r="K170" s="77"/>
    </row>
    <row r="171" ht="18.75" customHeight="1">
      <c r="E171" s="123"/>
      <c r="G171" s="77"/>
      <c r="H171" s="122"/>
      <c r="I171" s="77"/>
      <c r="J171" s="77"/>
      <c r="K171" s="77"/>
    </row>
    <row r="172" ht="18.75" customHeight="1">
      <c r="E172" s="123"/>
      <c r="G172" s="77"/>
      <c r="H172" s="122"/>
      <c r="I172" s="77"/>
      <c r="J172" s="77"/>
      <c r="K172" s="77"/>
    </row>
    <row r="173" ht="18.75" customHeight="1">
      <c r="E173" s="123"/>
      <c r="G173" s="77"/>
      <c r="H173" s="122"/>
      <c r="I173" s="77"/>
      <c r="J173" s="77"/>
      <c r="K173" s="77"/>
    </row>
    <row r="174" ht="18.75" customHeight="1">
      <c r="E174" s="123"/>
      <c r="G174" s="77"/>
      <c r="H174" s="122"/>
      <c r="I174" s="77"/>
      <c r="J174" s="77"/>
      <c r="K174" s="77"/>
    </row>
    <row r="175" ht="18.75" customHeight="1">
      <c r="E175" s="123"/>
      <c r="G175" s="77"/>
      <c r="H175" s="122"/>
      <c r="I175" s="77"/>
      <c r="J175" s="77"/>
      <c r="K175" s="77"/>
    </row>
    <row r="176" ht="18.75" customHeight="1">
      <c r="E176" s="123"/>
      <c r="G176" s="77"/>
      <c r="H176" s="122"/>
      <c r="I176" s="77"/>
      <c r="J176" s="77"/>
      <c r="K176" s="77"/>
    </row>
    <row r="177" ht="18.75" customHeight="1">
      <c r="E177" s="123"/>
      <c r="G177" s="77"/>
      <c r="H177" s="122"/>
      <c r="I177" s="77"/>
      <c r="J177" s="77"/>
      <c r="K177" s="77"/>
    </row>
    <row r="178" ht="18.75" customHeight="1">
      <c r="E178" s="123"/>
      <c r="G178" s="77"/>
      <c r="H178" s="122"/>
      <c r="I178" s="77"/>
      <c r="J178" s="77"/>
      <c r="K178" s="77"/>
    </row>
    <row r="179" ht="18.75" customHeight="1">
      <c r="E179" s="123"/>
      <c r="G179" s="77"/>
      <c r="H179" s="122"/>
      <c r="I179" s="77"/>
      <c r="J179" s="77"/>
      <c r="K179" s="77"/>
    </row>
    <row r="180" ht="18.75" customHeight="1">
      <c r="E180" s="123"/>
      <c r="G180" s="77"/>
      <c r="H180" s="122"/>
      <c r="I180" s="77"/>
      <c r="J180" s="77"/>
      <c r="K180" s="77"/>
    </row>
    <row r="181" ht="18.75" customHeight="1">
      <c r="E181" s="123"/>
      <c r="G181" s="77"/>
      <c r="H181" s="122"/>
      <c r="I181" s="77"/>
      <c r="J181" s="77"/>
      <c r="K181" s="77"/>
    </row>
    <row r="182" ht="18.75" customHeight="1">
      <c r="E182" s="123"/>
      <c r="G182" s="77"/>
      <c r="H182" s="122"/>
      <c r="I182" s="77"/>
      <c r="J182" s="77"/>
      <c r="K182" s="77"/>
    </row>
    <row r="183" ht="18.75" customHeight="1">
      <c r="E183" s="123"/>
      <c r="G183" s="77"/>
      <c r="H183" s="122"/>
      <c r="I183" s="77"/>
      <c r="J183" s="77"/>
      <c r="K183" s="77"/>
    </row>
    <row r="184" ht="18.75" customHeight="1">
      <c r="E184" s="123"/>
      <c r="G184" s="77"/>
      <c r="H184" s="122"/>
      <c r="I184" s="77"/>
      <c r="J184" s="77"/>
      <c r="K184" s="77"/>
    </row>
    <row r="185" ht="18.75" customHeight="1">
      <c r="E185" s="123"/>
      <c r="G185" s="77"/>
      <c r="H185" s="122"/>
      <c r="I185" s="77"/>
      <c r="J185" s="77"/>
      <c r="K185" s="77"/>
    </row>
    <row r="186" ht="18.75" customHeight="1">
      <c r="E186" s="123"/>
      <c r="G186" s="77"/>
      <c r="H186" s="122"/>
      <c r="I186" s="77"/>
      <c r="J186" s="77"/>
      <c r="K186" s="77"/>
    </row>
    <row r="187" ht="18.75" customHeight="1">
      <c r="E187" s="123"/>
      <c r="G187" s="77"/>
      <c r="H187" s="122"/>
      <c r="I187" s="77"/>
      <c r="J187" s="77"/>
      <c r="K187" s="77"/>
    </row>
    <row r="188" ht="18.75" customHeight="1">
      <c r="E188" s="123"/>
      <c r="G188" s="77"/>
      <c r="H188" s="122"/>
      <c r="I188" s="77"/>
      <c r="J188" s="77"/>
      <c r="K188" s="77"/>
    </row>
    <row r="189" ht="18.75" customHeight="1">
      <c r="E189" s="123"/>
      <c r="G189" s="77"/>
      <c r="H189" s="122"/>
      <c r="I189" s="77"/>
      <c r="J189" s="77"/>
      <c r="K189" s="77"/>
    </row>
    <row r="190" ht="18.75" customHeight="1">
      <c r="E190" s="123"/>
      <c r="G190" s="77"/>
      <c r="H190" s="122"/>
      <c r="I190" s="77"/>
      <c r="J190" s="77"/>
      <c r="K190" s="77"/>
    </row>
    <row r="191" ht="18.75" customHeight="1">
      <c r="E191" s="123"/>
      <c r="G191" s="77"/>
      <c r="H191" s="122"/>
      <c r="I191" s="77"/>
      <c r="J191" s="77"/>
      <c r="K191" s="77"/>
    </row>
    <row r="192" ht="18.75" customHeight="1">
      <c r="E192" s="123"/>
      <c r="G192" s="77"/>
      <c r="H192" s="122"/>
      <c r="I192" s="77"/>
      <c r="J192" s="77"/>
      <c r="K192" s="77"/>
    </row>
    <row r="193" ht="18.75" customHeight="1">
      <c r="E193" s="123"/>
      <c r="G193" s="77"/>
      <c r="H193" s="122"/>
      <c r="I193" s="77"/>
      <c r="J193" s="77"/>
      <c r="K193" s="77"/>
    </row>
    <row r="194" ht="18.75" customHeight="1">
      <c r="E194" s="123"/>
      <c r="G194" s="77"/>
      <c r="H194" s="122"/>
      <c r="I194" s="77"/>
      <c r="J194" s="77"/>
      <c r="K194" s="77"/>
    </row>
    <row r="195" ht="18.75" customHeight="1">
      <c r="E195" s="123"/>
      <c r="G195" s="77"/>
      <c r="H195" s="122"/>
      <c r="I195" s="77"/>
      <c r="J195" s="77"/>
      <c r="K195" s="77"/>
    </row>
    <row r="196" ht="18.75" customHeight="1">
      <c r="E196" s="123"/>
      <c r="G196" s="77"/>
      <c r="H196" s="122"/>
      <c r="I196" s="77"/>
      <c r="J196" s="77"/>
      <c r="K196" s="77"/>
    </row>
    <row r="197" ht="18.75" customHeight="1">
      <c r="E197" s="123"/>
      <c r="G197" s="77"/>
      <c r="H197" s="122"/>
      <c r="I197" s="77"/>
      <c r="J197" s="77"/>
      <c r="K197" s="77"/>
    </row>
    <row r="198" ht="18.75" customHeight="1">
      <c r="E198" s="123"/>
      <c r="G198" s="77"/>
      <c r="H198" s="122"/>
      <c r="I198" s="77"/>
      <c r="J198" s="77"/>
      <c r="K198" s="77"/>
    </row>
    <row r="199" ht="18.75" customHeight="1">
      <c r="E199" s="123"/>
      <c r="G199" s="77"/>
      <c r="H199" s="122"/>
      <c r="I199" s="77"/>
      <c r="J199" s="77"/>
      <c r="K199" s="77"/>
    </row>
    <row r="200" ht="18.75" customHeight="1">
      <c r="E200" s="123"/>
      <c r="G200" s="77"/>
      <c r="H200" s="122"/>
      <c r="I200" s="77"/>
      <c r="J200" s="77"/>
      <c r="K200" s="77"/>
    </row>
    <row r="201" ht="18.75" customHeight="1">
      <c r="E201" s="123"/>
      <c r="G201" s="77"/>
      <c r="H201" s="122"/>
      <c r="I201" s="77"/>
      <c r="J201" s="77"/>
      <c r="K201" s="77"/>
    </row>
    <row r="202" ht="18.75" customHeight="1">
      <c r="E202" s="123"/>
      <c r="G202" s="77"/>
      <c r="H202" s="122"/>
      <c r="I202" s="77"/>
      <c r="J202" s="77"/>
      <c r="K202" s="77"/>
    </row>
    <row r="203" ht="18.75" customHeight="1">
      <c r="E203" s="123"/>
      <c r="G203" s="77"/>
      <c r="H203" s="122"/>
      <c r="I203" s="77"/>
      <c r="J203" s="77"/>
      <c r="K203" s="77"/>
    </row>
    <row r="204" ht="18.75" customHeight="1">
      <c r="E204" s="123"/>
      <c r="G204" s="77"/>
      <c r="H204" s="122"/>
      <c r="I204" s="77"/>
      <c r="J204" s="77"/>
      <c r="K204" s="77"/>
    </row>
    <row r="205" ht="18.75" customHeight="1">
      <c r="E205" s="123"/>
      <c r="G205" s="77"/>
      <c r="H205" s="122"/>
      <c r="I205" s="77"/>
      <c r="J205" s="77"/>
      <c r="K205" s="77"/>
    </row>
    <row r="206" ht="18.75" customHeight="1">
      <c r="E206" s="123"/>
      <c r="G206" s="77"/>
      <c r="H206" s="122"/>
      <c r="I206" s="77"/>
      <c r="J206" s="77"/>
      <c r="K206" s="77"/>
    </row>
    <row r="207" ht="18.75" customHeight="1">
      <c r="E207" s="123"/>
      <c r="H207" s="123"/>
    </row>
    <row r="208" ht="18.75" customHeight="1">
      <c r="E208" s="123"/>
      <c r="H208" s="123"/>
    </row>
    <row r="209" ht="18.75" customHeight="1">
      <c r="E209" s="123"/>
      <c r="H209" s="123"/>
    </row>
    <row r="210" ht="18.75" customHeight="1">
      <c r="E210" s="123"/>
      <c r="H210" s="123"/>
    </row>
    <row r="211" ht="18.75" customHeight="1">
      <c r="E211" s="123"/>
      <c r="H211" s="123"/>
    </row>
    <row r="212" ht="18.75" customHeight="1">
      <c r="E212" s="123"/>
      <c r="H212" s="123"/>
    </row>
    <row r="213" ht="18.75" customHeight="1">
      <c r="E213" s="123"/>
      <c r="H213" s="123"/>
    </row>
    <row r="214" ht="18.75" customHeight="1">
      <c r="E214" s="123"/>
      <c r="H214" s="123"/>
    </row>
    <row r="215" ht="18.75" customHeight="1">
      <c r="E215" s="123"/>
      <c r="H215" s="123"/>
    </row>
    <row r="216" ht="18.75" customHeight="1">
      <c r="E216" s="123"/>
      <c r="H216" s="123"/>
    </row>
    <row r="217" ht="18.75" customHeight="1">
      <c r="E217" s="123"/>
      <c r="H217" s="123"/>
    </row>
    <row r="218" ht="18.75" customHeight="1">
      <c r="E218" s="123"/>
      <c r="H218" s="123"/>
    </row>
    <row r="219" ht="18.75" customHeight="1">
      <c r="E219" s="123"/>
      <c r="H219" s="123"/>
    </row>
    <row r="220" ht="18.75" customHeight="1">
      <c r="E220" s="123"/>
      <c r="H220" s="123"/>
    </row>
    <row r="221" ht="18.75" customHeight="1">
      <c r="E221" s="123"/>
      <c r="H221" s="123"/>
    </row>
    <row r="222" ht="18.75" customHeight="1">
      <c r="E222" s="123"/>
      <c r="H222" s="123"/>
    </row>
    <row r="223" ht="18.75" customHeight="1">
      <c r="E223" s="123"/>
      <c r="H223" s="123"/>
    </row>
    <row r="224" ht="18.75" customHeight="1">
      <c r="E224" s="123"/>
      <c r="H224" s="123"/>
    </row>
    <row r="225" ht="18.75" customHeight="1">
      <c r="E225" s="123"/>
      <c r="H225" s="123"/>
    </row>
    <row r="226" ht="18.75" customHeight="1">
      <c r="E226" s="123"/>
      <c r="H226" s="123"/>
    </row>
    <row r="227" ht="18.75" customHeight="1">
      <c r="E227" s="123"/>
      <c r="H227" s="123"/>
    </row>
    <row r="228" ht="18.75" customHeight="1">
      <c r="E228" s="123"/>
      <c r="H228" s="123"/>
    </row>
    <row r="229" ht="18.75" customHeight="1">
      <c r="E229" s="123"/>
      <c r="H229" s="123"/>
    </row>
    <row r="230" ht="18.75" customHeight="1">
      <c r="E230" s="123"/>
      <c r="H230" s="123"/>
    </row>
    <row r="231" ht="18.75" customHeight="1">
      <c r="E231" s="123"/>
      <c r="H231" s="123"/>
    </row>
    <row r="232" ht="18.75" customHeight="1">
      <c r="E232" s="123"/>
      <c r="H232" s="123"/>
    </row>
    <row r="233" ht="18.75" customHeight="1">
      <c r="E233" s="123"/>
      <c r="H233" s="123"/>
    </row>
    <row r="234" ht="18.75" customHeight="1">
      <c r="E234" s="123"/>
      <c r="H234" s="123"/>
    </row>
    <row r="235" ht="18.75" customHeight="1">
      <c r="E235" s="123"/>
      <c r="H235" s="123"/>
    </row>
    <row r="236" ht="18.75" customHeight="1">
      <c r="E236" s="123"/>
      <c r="H236" s="123"/>
    </row>
    <row r="237" ht="18.75" customHeight="1">
      <c r="E237" s="123"/>
      <c r="H237" s="123"/>
    </row>
    <row r="238" ht="18.75" customHeight="1">
      <c r="E238" s="123"/>
      <c r="H238" s="123"/>
    </row>
    <row r="239" ht="18.75" customHeight="1">
      <c r="E239" s="123"/>
      <c r="H239" s="123"/>
    </row>
    <row r="240" ht="18.75" customHeight="1">
      <c r="E240" s="123"/>
      <c r="H240" s="123"/>
    </row>
    <row r="241" ht="18.75" customHeight="1">
      <c r="E241" s="123"/>
      <c r="H241" s="123"/>
    </row>
    <row r="242" ht="18.75" customHeight="1">
      <c r="E242" s="123"/>
      <c r="H242" s="123"/>
    </row>
    <row r="243" ht="18.75" customHeight="1">
      <c r="E243" s="123"/>
      <c r="H243" s="123"/>
    </row>
    <row r="244" ht="18.75" customHeight="1">
      <c r="E244" s="123"/>
      <c r="H244" s="123"/>
    </row>
    <row r="245" ht="18.75" customHeight="1">
      <c r="E245" s="123"/>
      <c r="H245" s="123"/>
    </row>
    <row r="246" ht="18.75" customHeight="1">
      <c r="E246" s="123"/>
      <c r="H246" s="123"/>
    </row>
    <row r="247" ht="18.75" customHeight="1">
      <c r="E247" s="123"/>
      <c r="H247" s="123"/>
    </row>
    <row r="248" ht="18.75" customHeight="1">
      <c r="E248" s="123"/>
      <c r="H248" s="123"/>
    </row>
    <row r="249" ht="18.75" customHeight="1">
      <c r="E249" s="123"/>
      <c r="H249" s="123"/>
    </row>
    <row r="250" ht="18.75" customHeight="1">
      <c r="E250" s="123"/>
      <c r="H250" s="123"/>
    </row>
    <row r="251" ht="18.75" customHeight="1">
      <c r="E251" s="123"/>
      <c r="H251" s="123"/>
    </row>
    <row r="252" ht="18.75" customHeight="1">
      <c r="E252" s="123"/>
      <c r="H252" s="123"/>
    </row>
    <row r="253" ht="18.75" customHeight="1">
      <c r="E253" s="123"/>
      <c r="H253" s="123"/>
    </row>
    <row r="254" ht="18.75" customHeight="1">
      <c r="E254" s="123"/>
      <c r="H254" s="123"/>
    </row>
    <row r="255" ht="18.75" customHeight="1">
      <c r="E255" s="123"/>
      <c r="H255" s="123"/>
    </row>
    <row r="256" ht="18.75" customHeight="1">
      <c r="E256" s="123"/>
      <c r="H256" s="123"/>
    </row>
    <row r="257" ht="18.75" customHeight="1">
      <c r="E257" s="123"/>
      <c r="H257" s="123"/>
    </row>
    <row r="258" ht="18.75" customHeight="1">
      <c r="E258" s="123"/>
      <c r="H258" s="123"/>
    </row>
    <row r="259" ht="18.75" customHeight="1">
      <c r="E259" s="123"/>
      <c r="H259" s="123"/>
    </row>
    <row r="260" ht="18.75" customHeight="1">
      <c r="E260" s="123"/>
      <c r="H260" s="123"/>
    </row>
    <row r="261" ht="18.75" customHeight="1">
      <c r="E261" s="123"/>
      <c r="H261" s="123"/>
    </row>
    <row r="262" ht="18.75" customHeight="1">
      <c r="E262" s="123"/>
      <c r="H262" s="123"/>
    </row>
    <row r="263" ht="18.75" customHeight="1">
      <c r="E263" s="123"/>
      <c r="H263" s="123"/>
    </row>
    <row r="264" ht="18.75" customHeight="1">
      <c r="E264" s="123"/>
      <c r="H264" s="123"/>
    </row>
    <row r="265" ht="18.75" customHeight="1">
      <c r="E265" s="123"/>
      <c r="H265" s="123"/>
    </row>
    <row r="266" ht="18.75" customHeight="1">
      <c r="E266" s="123"/>
      <c r="H266" s="123"/>
    </row>
    <row r="267" ht="18.75" customHeight="1">
      <c r="E267" s="123"/>
      <c r="H267" s="123"/>
    </row>
    <row r="268" ht="18.75" customHeight="1">
      <c r="E268" s="123"/>
      <c r="H268" s="123"/>
    </row>
    <row r="269" ht="18.75" customHeight="1">
      <c r="E269" s="123"/>
      <c r="H269" s="123"/>
    </row>
    <row r="270" ht="18.75" customHeight="1">
      <c r="E270" s="123"/>
      <c r="H270" s="123"/>
    </row>
    <row r="271" ht="18.75" customHeight="1">
      <c r="E271" s="123"/>
      <c r="H271" s="123"/>
    </row>
    <row r="272" ht="18.75" customHeight="1">
      <c r="E272" s="123"/>
      <c r="H272" s="123"/>
    </row>
    <row r="273" ht="18.75" customHeight="1">
      <c r="E273" s="123"/>
      <c r="H273" s="123"/>
    </row>
    <row r="274" ht="18.75" customHeight="1">
      <c r="E274" s="123"/>
      <c r="H274" s="123"/>
    </row>
    <row r="275" ht="18.75" customHeight="1">
      <c r="E275" s="123"/>
      <c r="H275" s="123"/>
    </row>
    <row r="276" ht="18.75" customHeight="1">
      <c r="E276" s="123"/>
      <c r="H276" s="123"/>
    </row>
    <row r="277" ht="18.75" customHeight="1">
      <c r="E277" s="123"/>
      <c r="H277" s="123"/>
    </row>
    <row r="278" ht="18.75" customHeight="1">
      <c r="E278" s="123"/>
      <c r="H278" s="123"/>
    </row>
    <row r="279" ht="18.75" customHeight="1">
      <c r="E279" s="123"/>
      <c r="H279" s="123"/>
    </row>
    <row r="280" ht="18.75" customHeight="1">
      <c r="E280" s="123"/>
      <c r="H280" s="123"/>
    </row>
    <row r="281" ht="18.75" customHeight="1">
      <c r="E281" s="123"/>
      <c r="H281" s="123"/>
    </row>
    <row r="282" ht="18.75" customHeight="1">
      <c r="E282" s="123"/>
      <c r="H282" s="123"/>
    </row>
    <row r="283" ht="18.75" customHeight="1">
      <c r="E283" s="123"/>
      <c r="H283" s="123"/>
    </row>
    <row r="284" ht="18.75" customHeight="1">
      <c r="E284" s="123"/>
      <c r="H284" s="123"/>
    </row>
    <row r="285" ht="18.75" customHeight="1">
      <c r="E285" s="123"/>
      <c r="H285" s="123"/>
    </row>
    <row r="286" ht="18.75" customHeight="1">
      <c r="E286" s="123"/>
      <c r="H286" s="123"/>
    </row>
    <row r="287" ht="18.75" customHeight="1">
      <c r="E287" s="123"/>
      <c r="H287" s="123"/>
    </row>
    <row r="288" ht="18.75" customHeight="1">
      <c r="E288" s="123"/>
      <c r="H288" s="123"/>
    </row>
    <row r="289" ht="18.75" customHeight="1">
      <c r="E289" s="123"/>
      <c r="H289" s="123"/>
    </row>
    <row r="290" ht="18.75" customHeight="1">
      <c r="E290" s="123"/>
      <c r="H290" s="123"/>
    </row>
    <row r="291" ht="18.75" customHeight="1">
      <c r="E291" s="123"/>
      <c r="H291" s="123"/>
    </row>
    <row r="292" ht="18.75" customHeight="1">
      <c r="E292" s="123"/>
      <c r="H292" s="123"/>
    </row>
    <row r="293" ht="18.75" customHeight="1">
      <c r="E293" s="123"/>
      <c r="H293" s="123"/>
    </row>
    <row r="294" ht="18.75" customHeight="1">
      <c r="E294" s="123"/>
      <c r="H294" s="123"/>
    </row>
    <row r="295" ht="18.75" customHeight="1">
      <c r="E295" s="123"/>
      <c r="H295" s="123"/>
    </row>
    <row r="296" ht="18.75" customHeight="1">
      <c r="E296" s="123"/>
      <c r="H296" s="123"/>
    </row>
    <row r="297" ht="18.75" customHeight="1">
      <c r="E297" s="123"/>
      <c r="H297" s="123"/>
    </row>
    <row r="298" ht="18.75" customHeight="1">
      <c r="E298" s="123"/>
      <c r="H298" s="123"/>
    </row>
    <row r="299" ht="18.75" customHeight="1">
      <c r="E299" s="123"/>
      <c r="H299" s="123"/>
    </row>
    <row r="300" ht="18.75" customHeight="1">
      <c r="E300" s="123"/>
      <c r="H300" s="123"/>
    </row>
    <row r="301" ht="18.75" customHeight="1">
      <c r="E301" s="123"/>
      <c r="H301" s="123"/>
    </row>
    <row r="302" ht="18.75" customHeight="1">
      <c r="E302" s="123"/>
      <c r="H302" s="123"/>
    </row>
    <row r="303" ht="18.75" customHeight="1">
      <c r="E303" s="123"/>
      <c r="H303" s="123"/>
    </row>
    <row r="304" ht="18.75" customHeight="1">
      <c r="E304" s="123"/>
      <c r="H304" s="123"/>
    </row>
    <row r="305" ht="18.75" customHeight="1">
      <c r="E305" s="123"/>
      <c r="H305" s="123"/>
    </row>
    <row r="306" ht="18.75" customHeight="1">
      <c r="E306" s="123"/>
      <c r="H306" s="123"/>
    </row>
    <row r="307" ht="18.75" customHeight="1">
      <c r="E307" s="123"/>
      <c r="H307" s="123"/>
    </row>
    <row r="308" ht="18.75" customHeight="1">
      <c r="E308" s="123"/>
      <c r="H308" s="123"/>
    </row>
    <row r="309" ht="18.75" customHeight="1">
      <c r="E309" s="123"/>
      <c r="H309" s="123"/>
    </row>
    <row r="310" ht="18.75" customHeight="1">
      <c r="E310" s="123"/>
      <c r="H310" s="123"/>
    </row>
    <row r="311" ht="18.75" customHeight="1">
      <c r="E311" s="123"/>
      <c r="H311" s="123"/>
    </row>
    <row r="312" ht="18.75" customHeight="1">
      <c r="E312" s="123"/>
      <c r="H312" s="123"/>
    </row>
    <row r="313" ht="18.75" customHeight="1">
      <c r="E313" s="123"/>
      <c r="H313" s="123"/>
    </row>
    <row r="314" ht="18.75" customHeight="1">
      <c r="E314" s="123"/>
      <c r="H314" s="123"/>
    </row>
    <row r="315" ht="18.75" customHeight="1">
      <c r="E315" s="123"/>
      <c r="H315" s="123"/>
    </row>
    <row r="316" ht="18.75" customHeight="1">
      <c r="E316" s="123"/>
      <c r="H316" s="123"/>
    </row>
    <row r="317" ht="18.75" customHeight="1">
      <c r="E317" s="123"/>
      <c r="H317" s="123"/>
    </row>
    <row r="318" ht="18.75" customHeight="1">
      <c r="E318" s="123"/>
      <c r="H318" s="123"/>
    </row>
    <row r="319" ht="18.75" customHeight="1">
      <c r="E319" s="123"/>
      <c r="H319" s="123"/>
    </row>
    <row r="320" ht="18.75" customHeight="1">
      <c r="E320" s="123"/>
      <c r="H320" s="123"/>
    </row>
    <row r="321" ht="18.75" customHeight="1">
      <c r="E321" s="123"/>
      <c r="H321" s="123"/>
    </row>
    <row r="322" ht="18.75" customHeight="1">
      <c r="E322" s="123"/>
      <c r="H322" s="123"/>
    </row>
    <row r="323" ht="18.75" customHeight="1">
      <c r="E323" s="123"/>
      <c r="H323" s="123"/>
    </row>
    <row r="324" ht="18.75" customHeight="1">
      <c r="E324" s="123"/>
      <c r="H324" s="123"/>
    </row>
    <row r="325" ht="18.75" customHeight="1">
      <c r="E325" s="123"/>
      <c r="H325" s="123"/>
    </row>
    <row r="326" ht="18.75" customHeight="1">
      <c r="E326" s="123"/>
      <c r="H326" s="123"/>
    </row>
    <row r="327" ht="18.75" customHeight="1">
      <c r="E327" s="123"/>
      <c r="H327" s="123"/>
    </row>
    <row r="328" ht="18.75" customHeight="1">
      <c r="E328" s="123"/>
      <c r="H328" s="123"/>
    </row>
    <row r="329" ht="18.75" customHeight="1">
      <c r="E329" s="123"/>
      <c r="H329" s="123"/>
    </row>
    <row r="330" ht="18.75" customHeight="1">
      <c r="E330" s="123"/>
      <c r="H330" s="123"/>
    </row>
    <row r="331" ht="18.75" customHeight="1">
      <c r="E331" s="123"/>
      <c r="H331" s="123"/>
    </row>
    <row r="332" ht="18.75" customHeight="1">
      <c r="E332" s="123"/>
      <c r="H332" s="123"/>
    </row>
    <row r="333" ht="18.75" customHeight="1">
      <c r="E333" s="123"/>
      <c r="H333" s="123"/>
    </row>
    <row r="334" ht="18.75" customHeight="1">
      <c r="E334" s="123"/>
      <c r="H334" s="123"/>
    </row>
    <row r="335" ht="18.75" customHeight="1">
      <c r="E335" s="123"/>
      <c r="H335" s="123"/>
    </row>
    <row r="336" ht="18.75" customHeight="1">
      <c r="E336" s="123"/>
      <c r="H336" s="123"/>
    </row>
    <row r="337" ht="18.75" customHeight="1">
      <c r="E337" s="123"/>
      <c r="H337" s="123"/>
    </row>
    <row r="338" ht="18.75" customHeight="1">
      <c r="E338" s="123"/>
      <c r="H338" s="123"/>
    </row>
    <row r="339" ht="18.75" customHeight="1">
      <c r="E339" s="123"/>
      <c r="H339" s="123"/>
    </row>
    <row r="340" ht="18.75" customHeight="1">
      <c r="E340" s="123"/>
      <c r="H340" s="123"/>
    </row>
    <row r="341" ht="18.75" customHeight="1">
      <c r="E341" s="123"/>
      <c r="H341" s="123"/>
    </row>
    <row r="342" ht="18.75" customHeight="1">
      <c r="E342" s="123"/>
      <c r="H342" s="123"/>
    </row>
    <row r="343" ht="18.75" customHeight="1">
      <c r="E343" s="123"/>
      <c r="H343" s="123"/>
    </row>
    <row r="344" ht="18.75" customHeight="1">
      <c r="E344" s="123"/>
      <c r="H344" s="123"/>
    </row>
    <row r="345" ht="18.75" customHeight="1">
      <c r="E345" s="123"/>
      <c r="H345" s="123"/>
    </row>
    <row r="346" ht="18.75" customHeight="1">
      <c r="E346" s="123"/>
      <c r="H346" s="123"/>
    </row>
    <row r="347" ht="18.75" customHeight="1">
      <c r="E347" s="123"/>
      <c r="H347" s="123"/>
    </row>
    <row r="348" ht="18.75" customHeight="1">
      <c r="E348" s="123"/>
      <c r="H348" s="123"/>
    </row>
    <row r="349" ht="18.75" customHeight="1">
      <c r="E349" s="123"/>
      <c r="H349" s="123"/>
    </row>
    <row r="350" ht="18.75" customHeight="1">
      <c r="E350" s="123"/>
      <c r="H350" s="123"/>
    </row>
    <row r="351" ht="18.75" customHeight="1">
      <c r="E351" s="123"/>
      <c r="H351" s="123"/>
    </row>
    <row r="352" ht="18.75" customHeight="1">
      <c r="E352" s="123"/>
      <c r="H352" s="123"/>
    </row>
    <row r="353" ht="18.75" customHeight="1">
      <c r="E353" s="123"/>
      <c r="H353" s="123"/>
    </row>
    <row r="354" ht="18.75" customHeight="1">
      <c r="E354" s="123"/>
      <c r="H354" s="123"/>
    </row>
    <row r="355" ht="18.75" customHeight="1">
      <c r="E355" s="123"/>
      <c r="H355" s="123"/>
    </row>
    <row r="356" ht="18.75" customHeight="1">
      <c r="E356" s="123"/>
      <c r="H356" s="123"/>
    </row>
    <row r="357" ht="18.75" customHeight="1">
      <c r="E357" s="123"/>
      <c r="H357" s="123"/>
    </row>
    <row r="358" ht="18.75" customHeight="1">
      <c r="E358" s="123"/>
      <c r="H358" s="123"/>
    </row>
    <row r="359" ht="18.75" customHeight="1">
      <c r="E359" s="123"/>
      <c r="H359" s="123"/>
    </row>
    <row r="360" ht="18.75" customHeight="1">
      <c r="E360" s="123"/>
      <c r="H360" s="123"/>
    </row>
    <row r="361" ht="18.75" customHeight="1">
      <c r="E361" s="123"/>
      <c r="H361" s="123"/>
    </row>
    <row r="362" ht="18.75" customHeight="1">
      <c r="E362" s="123"/>
      <c r="H362" s="123"/>
    </row>
    <row r="363" ht="18.75" customHeight="1">
      <c r="E363" s="123"/>
      <c r="H363" s="123"/>
    </row>
    <row r="364" ht="18.75" customHeight="1">
      <c r="E364" s="123"/>
      <c r="H364" s="123"/>
    </row>
    <row r="365" ht="18.75" customHeight="1">
      <c r="E365" s="123"/>
      <c r="H365" s="123"/>
    </row>
    <row r="366" ht="18.75" customHeight="1">
      <c r="E366" s="123"/>
      <c r="H366" s="123"/>
    </row>
    <row r="367" ht="18.75" customHeight="1">
      <c r="E367" s="123"/>
      <c r="H367" s="123"/>
    </row>
    <row r="368" ht="18.75" customHeight="1">
      <c r="E368" s="123"/>
      <c r="H368" s="123"/>
    </row>
    <row r="369" ht="18.75" customHeight="1">
      <c r="E369" s="123"/>
      <c r="H369" s="123"/>
    </row>
    <row r="370" ht="18.75" customHeight="1">
      <c r="E370" s="123"/>
      <c r="H370" s="123"/>
    </row>
    <row r="371" ht="18.75" customHeight="1">
      <c r="E371" s="123"/>
      <c r="H371" s="123"/>
    </row>
    <row r="372" ht="18.75" customHeight="1">
      <c r="E372" s="123"/>
      <c r="H372" s="123"/>
    </row>
    <row r="373" ht="18.75" customHeight="1">
      <c r="E373" s="123"/>
      <c r="H373" s="123"/>
    </row>
    <row r="374" ht="18.75" customHeight="1">
      <c r="E374" s="123"/>
      <c r="H374" s="123"/>
    </row>
    <row r="375" ht="18.75" customHeight="1">
      <c r="E375" s="123"/>
      <c r="H375" s="123"/>
    </row>
    <row r="376" ht="18.75" customHeight="1">
      <c r="E376" s="123"/>
      <c r="H376" s="123"/>
    </row>
    <row r="377" ht="18.75" customHeight="1">
      <c r="E377" s="123"/>
      <c r="H377" s="123"/>
    </row>
    <row r="378" ht="18.75" customHeight="1">
      <c r="E378" s="123"/>
      <c r="H378" s="123"/>
    </row>
    <row r="379" ht="18.75" customHeight="1">
      <c r="E379" s="123"/>
      <c r="H379" s="123"/>
    </row>
    <row r="380" ht="18.75" customHeight="1">
      <c r="E380" s="123"/>
      <c r="H380" s="123"/>
    </row>
    <row r="381" ht="18.75" customHeight="1">
      <c r="E381" s="123"/>
      <c r="H381" s="123"/>
    </row>
    <row r="382" ht="18.75" customHeight="1">
      <c r="E382" s="123"/>
      <c r="H382" s="123"/>
    </row>
    <row r="383" ht="18.75" customHeight="1">
      <c r="E383" s="123"/>
      <c r="H383" s="123"/>
    </row>
    <row r="384" ht="18.75" customHeight="1">
      <c r="E384" s="123"/>
      <c r="H384" s="123"/>
    </row>
    <row r="385" ht="18.75" customHeight="1">
      <c r="E385" s="123"/>
      <c r="H385" s="123"/>
    </row>
    <row r="386" ht="18.75" customHeight="1">
      <c r="E386" s="123"/>
      <c r="H386" s="123"/>
    </row>
    <row r="387" ht="18.75" customHeight="1">
      <c r="E387" s="123"/>
      <c r="H387" s="123"/>
    </row>
    <row r="388" ht="18.75" customHeight="1">
      <c r="E388" s="123"/>
      <c r="H388" s="123"/>
    </row>
    <row r="389" ht="18.75" customHeight="1">
      <c r="E389" s="123"/>
      <c r="H389" s="123"/>
    </row>
    <row r="390" ht="18.75" customHeight="1">
      <c r="E390" s="123"/>
      <c r="H390" s="123"/>
    </row>
    <row r="391" ht="18.75" customHeight="1">
      <c r="E391" s="123"/>
      <c r="H391" s="123"/>
    </row>
    <row r="392" ht="18.75" customHeight="1">
      <c r="E392" s="123"/>
      <c r="H392" s="123"/>
    </row>
    <row r="393" ht="18.75" customHeight="1">
      <c r="E393" s="123"/>
      <c r="H393" s="123"/>
    </row>
    <row r="394" ht="18.75" customHeight="1">
      <c r="E394" s="123"/>
      <c r="H394" s="123"/>
    </row>
    <row r="395" ht="18.75" customHeight="1">
      <c r="E395" s="123"/>
      <c r="H395" s="123"/>
    </row>
    <row r="396" ht="18.75" customHeight="1">
      <c r="E396" s="123"/>
      <c r="H396" s="123"/>
    </row>
    <row r="397" ht="18.75" customHeight="1">
      <c r="E397" s="123"/>
      <c r="H397" s="123"/>
    </row>
    <row r="398" ht="18.75" customHeight="1">
      <c r="E398" s="123"/>
      <c r="H398" s="123"/>
    </row>
    <row r="399" ht="18.75" customHeight="1">
      <c r="E399" s="123"/>
      <c r="H399" s="123"/>
    </row>
    <row r="400" ht="18.75" customHeight="1">
      <c r="E400" s="123"/>
      <c r="H400" s="123"/>
    </row>
    <row r="401" ht="18.75" customHeight="1">
      <c r="E401" s="123"/>
      <c r="H401" s="123"/>
    </row>
    <row r="402" ht="18.75" customHeight="1">
      <c r="E402" s="123"/>
      <c r="H402" s="123"/>
    </row>
    <row r="403" ht="18.75" customHeight="1">
      <c r="E403" s="123"/>
      <c r="H403" s="123"/>
    </row>
    <row r="404" ht="18.75" customHeight="1">
      <c r="E404" s="123"/>
      <c r="H404" s="123"/>
    </row>
    <row r="405" ht="18.75" customHeight="1">
      <c r="E405" s="123"/>
      <c r="H405" s="123"/>
    </row>
    <row r="406" ht="18.75" customHeight="1">
      <c r="E406" s="123"/>
      <c r="H406" s="123"/>
    </row>
    <row r="407" ht="18.75" customHeight="1">
      <c r="E407" s="123"/>
      <c r="H407" s="123"/>
    </row>
    <row r="408" ht="18.75" customHeight="1">
      <c r="E408" s="123"/>
      <c r="H408" s="123"/>
    </row>
    <row r="409" ht="18.75" customHeight="1">
      <c r="E409" s="123"/>
      <c r="H409" s="123"/>
    </row>
    <row r="410" ht="18.75" customHeight="1">
      <c r="E410" s="123"/>
      <c r="H410" s="123"/>
    </row>
    <row r="411" ht="18.75" customHeight="1">
      <c r="E411" s="123"/>
      <c r="H411" s="123"/>
    </row>
    <row r="412" ht="18.75" customHeight="1">
      <c r="E412" s="123"/>
      <c r="H412" s="123"/>
    </row>
    <row r="413" ht="18.75" customHeight="1">
      <c r="E413" s="123"/>
      <c r="H413" s="123"/>
    </row>
    <row r="414" ht="18.75" customHeight="1">
      <c r="E414" s="123"/>
      <c r="H414" s="123"/>
    </row>
    <row r="415" ht="18.75" customHeight="1">
      <c r="E415" s="123"/>
      <c r="H415" s="123"/>
    </row>
    <row r="416" ht="18.75" customHeight="1">
      <c r="E416" s="123"/>
      <c r="H416" s="123"/>
    </row>
    <row r="417" ht="18.75" customHeight="1">
      <c r="E417" s="123"/>
      <c r="H417" s="123"/>
    </row>
    <row r="418" ht="18.75" customHeight="1">
      <c r="E418" s="123"/>
      <c r="H418" s="123"/>
    </row>
    <row r="419" ht="18.75" customHeight="1">
      <c r="E419" s="123"/>
      <c r="H419" s="123"/>
    </row>
    <row r="420" ht="18.75" customHeight="1">
      <c r="E420" s="123"/>
      <c r="H420" s="123"/>
    </row>
    <row r="421" ht="18.75" customHeight="1">
      <c r="E421" s="123"/>
      <c r="H421" s="123"/>
    </row>
    <row r="422" ht="18.75" customHeight="1">
      <c r="E422" s="123"/>
      <c r="H422" s="123"/>
    </row>
    <row r="423" ht="18.75" customHeight="1">
      <c r="E423" s="123"/>
      <c r="H423" s="123"/>
    </row>
    <row r="424" ht="18.75" customHeight="1">
      <c r="E424" s="123"/>
      <c r="H424" s="123"/>
    </row>
    <row r="425" ht="18.75" customHeight="1">
      <c r="E425" s="123"/>
      <c r="H425" s="123"/>
    </row>
    <row r="426" ht="18.75" customHeight="1">
      <c r="E426" s="123"/>
      <c r="H426" s="123"/>
    </row>
    <row r="427" ht="18.75" customHeight="1">
      <c r="E427" s="123"/>
      <c r="H427" s="123"/>
    </row>
    <row r="428" ht="18.75" customHeight="1">
      <c r="E428" s="123"/>
      <c r="H428" s="123"/>
    </row>
    <row r="429" ht="18.75" customHeight="1">
      <c r="E429" s="123"/>
      <c r="H429" s="123"/>
    </row>
    <row r="430" ht="18.75" customHeight="1">
      <c r="E430" s="123"/>
      <c r="H430" s="123"/>
    </row>
    <row r="431" ht="18.75" customHeight="1">
      <c r="E431" s="123"/>
      <c r="H431" s="123"/>
    </row>
    <row r="432" ht="18.75" customHeight="1">
      <c r="E432" s="123"/>
      <c r="H432" s="123"/>
    </row>
    <row r="433" ht="18.75" customHeight="1">
      <c r="E433" s="123"/>
      <c r="H433" s="123"/>
    </row>
    <row r="434" ht="18.75" customHeight="1">
      <c r="E434" s="123"/>
      <c r="H434" s="123"/>
    </row>
    <row r="435" ht="18.75" customHeight="1">
      <c r="E435" s="123"/>
      <c r="H435" s="123"/>
    </row>
    <row r="436" ht="18.75" customHeight="1">
      <c r="E436" s="123"/>
      <c r="H436" s="123"/>
    </row>
    <row r="437" ht="18.75" customHeight="1">
      <c r="E437" s="123"/>
      <c r="H437" s="123"/>
    </row>
    <row r="438" ht="18.75" customHeight="1">
      <c r="E438" s="123"/>
      <c r="H438" s="123"/>
    </row>
    <row r="439" ht="18.75" customHeight="1">
      <c r="E439" s="123"/>
      <c r="H439" s="123"/>
    </row>
    <row r="440" ht="18.75" customHeight="1">
      <c r="E440" s="123"/>
      <c r="H440" s="123"/>
    </row>
    <row r="441" ht="18.75" customHeight="1">
      <c r="E441" s="123"/>
      <c r="H441" s="123"/>
    </row>
    <row r="442" ht="18.75" customHeight="1">
      <c r="E442" s="123"/>
      <c r="H442" s="123"/>
    </row>
    <row r="443" ht="18.75" customHeight="1">
      <c r="E443" s="123"/>
      <c r="H443" s="123"/>
    </row>
    <row r="444" ht="18.75" customHeight="1">
      <c r="E444" s="123"/>
      <c r="H444" s="123"/>
    </row>
    <row r="445" ht="18.75" customHeight="1">
      <c r="E445" s="123"/>
      <c r="H445" s="123"/>
    </row>
    <row r="446" ht="18.75" customHeight="1">
      <c r="E446" s="123"/>
      <c r="H446" s="123"/>
    </row>
    <row r="447" ht="18.75" customHeight="1">
      <c r="E447" s="123"/>
      <c r="H447" s="123"/>
    </row>
    <row r="448" ht="18.75" customHeight="1">
      <c r="E448" s="123"/>
      <c r="H448" s="123"/>
    </row>
    <row r="449" ht="18.75" customHeight="1">
      <c r="E449" s="123"/>
      <c r="H449" s="123"/>
    </row>
    <row r="450" ht="18.75" customHeight="1">
      <c r="E450" s="123"/>
      <c r="H450" s="123"/>
    </row>
    <row r="451" ht="18.75" customHeight="1">
      <c r="E451" s="123"/>
      <c r="H451" s="123"/>
    </row>
    <row r="452" ht="18.75" customHeight="1">
      <c r="E452" s="123"/>
      <c r="H452" s="123"/>
    </row>
    <row r="453" ht="18.75" customHeight="1">
      <c r="E453" s="123"/>
      <c r="H453" s="123"/>
    </row>
    <row r="454" ht="18.75" customHeight="1">
      <c r="E454" s="123"/>
      <c r="H454" s="123"/>
    </row>
    <row r="455" ht="18.75" customHeight="1">
      <c r="E455" s="123"/>
      <c r="H455" s="123"/>
    </row>
    <row r="456" ht="18.75" customHeight="1">
      <c r="E456" s="123"/>
      <c r="H456" s="123"/>
    </row>
    <row r="457" ht="18.75" customHeight="1">
      <c r="E457" s="123"/>
      <c r="H457" s="123"/>
    </row>
    <row r="458" ht="18.75" customHeight="1">
      <c r="E458" s="123"/>
      <c r="H458" s="123"/>
    </row>
    <row r="459" ht="18.75" customHeight="1">
      <c r="E459" s="123"/>
      <c r="H459" s="123"/>
    </row>
    <row r="460" ht="18.75" customHeight="1">
      <c r="E460" s="123"/>
      <c r="H460" s="123"/>
    </row>
    <row r="461" ht="18.75" customHeight="1">
      <c r="E461" s="123"/>
      <c r="H461" s="123"/>
    </row>
    <row r="462" ht="18.75" customHeight="1">
      <c r="E462" s="123"/>
      <c r="H462" s="123"/>
    </row>
    <row r="463" ht="18.75" customHeight="1">
      <c r="E463" s="123"/>
      <c r="H463" s="123"/>
    </row>
    <row r="464" ht="18.75" customHeight="1">
      <c r="E464" s="123"/>
      <c r="H464" s="123"/>
    </row>
    <row r="465" ht="18.75" customHeight="1">
      <c r="E465" s="123"/>
      <c r="H465" s="123"/>
    </row>
    <row r="466" ht="18.75" customHeight="1">
      <c r="E466" s="123"/>
      <c r="H466" s="123"/>
    </row>
    <row r="467" ht="18.75" customHeight="1">
      <c r="E467" s="123"/>
      <c r="H467" s="123"/>
    </row>
    <row r="468" ht="18.75" customHeight="1">
      <c r="E468" s="123"/>
      <c r="H468" s="123"/>
    </row>
    <row r="469" ht="18.75" customHeight="1">
      <c r="E469" s="123"/>
      <c r="H469" s="123"/>
    </row>
    <row r="470" ht="18.75" customHeight="1">
      <c r="E470" s="123"/>
      <c r="H470" s="123"/>
    </row>
    <row r="471" ht="18.75" customHeight="1">
      <c r="E471" s="123"/>
      <c r="H471" s="123"/>
    </row>
    <row r="472" ht="18.75" customHeight="1">
      <c r="E472" s="123"/>
      <c r="H472" s="123"/>
    </row>
    <row r="473" ht="18.75" customHeight="1">
      <c r="E473" s="123"/>
      <c r="H473" s="123"/>
    </row>
    <row r="474" ht="18.75" customHeight="1">
      <c r="E474" s="123"/>
      <c r="H474" s="123"/>
    </row>
    <row r="475" ht="18.75" customHeight="1">
      <c r="E475" s="123"/>
      <c r="H475" s="123"/>
    </row>
    <row r="476" ht="18.75" customHeight="1">
      <c r="E476" s="123"/>
      <c r="H476" s="123"/>
    </row>
    <row r="477" ht="18.75" customHeight="1">
      <c r="E477" s="123"/>
      <c r="H477" s="123"/>
    </row>
    <row r="478" ht="18.75" customHeight="1">
      <c r="E478" s="123"/>
      <c r="H478" s="123"/>
    </row>
    <row r="479" ht="18.75" customHeight="1">
      <c r="E479" s="123"/>
      <c r="H479" s="123"/>
    </row>
    <row r="480" ht="18.75" customHeight="1">
      <c r="E480" s="123"/>
      <c r="H480" s="123"/>
    </row>
    <row r="481" ht="18.75" customHeight="1">
      <c r="E481" s="123"/>
      <c r="H481" s="123"/>
    </row>
    <row r="482" ht="18.75" customHeight="1">
      <c r="E482" s="123"/>
      <c r="H482" s="123"/>
    </row>
    <row r="483" ht="18.75" customHeight="1">
      <c r="E483" s="123"/>
      <c r="H483" s="123"/>
    </row>
    <row r="484" ht="18.75" customHeight="1">
      <c r="E484" s="123"/>
      <c r="H484" s="123"/>
    </row>
    <row r="485" ht="18.75" customHeight="1">
      <c r="E485" s="123"/>
      <c r="H485" s="123"/>
    </row>
    <row r="486" ht="18.75" customHeight="1">
      <c r="E486" s="123"/>
      <c r="H486" s="123"/>
    </row>
    <row r="487" ht="18.75" customHeight="1">
      <c r="E487" s="123"/>
      <c r="H487" s="123"/>
    </row>
    <row r="488" ht="18.75" customHeight="1">
      <c r="E488" s="123"/>
      <c r="H488" s="123"/>
    </row>
    <row r="489" ht="18.75" customHeight="1">
      <c r="E489" s="123"/>
      <c r="H489" s="123"/>
    </row>
    <row r="490" ht="18.75" customHeight="1">
      <c r="E490" s="123"/>
      <c r="H490" s="123"/>
    </row>
    <row r="491" ht="18.75" customHeight="1">
      <c r="E491" s="123"/>
      <c r="H491" s="123"/>
    </row>
    <row r="492" ht="18.75" customHeight="1">
      <c r="E492" s="123"/>
      <c r="H492" s="123"/>
    </row>
    <row r="493" ht="18.75" customHeight="1">
      <c r="E493" s="123"/>
      <c r="H493" s="123"/>
    </row>
    <row r="494" ht="18.75" customHeight="1">
      <c r="E494" s="123"/>
      <c r="H494" s="123"/>
    </row>
    <row r="495" ht="18.75" customHeight="1">
      <c r="E495" s="123"/>
      <c r="H495" s="123"/>
    </row>
    <row r="496" ht="18.75" customHeight="1">
      <c r="E496" s="123"/>
      <c r="H496" s="123"/>
    </row>
    <row r="497" ht="18.75" customHeight="1">
      <c r="E497" s="123"/>
      <c r="H497" s="123"/>
    </row>
    <row r="498" ht="18.75" customHeight="1">
      <c r="E498" s="123"/>
      <c r="H498" s="123"/>
    </row>
    <row r="499" ht="18.75" customHeight="1">
      <c r="E499" s="123"/>
      <c r="H499" s="123"/>
    </row>
    <row r="500" ht="18.75" customHeight="1">
      <c r="E500" s="123"/>
      <c r="H500" s="123"/>
    </row>
    <row r="501" ht="18.75" customHeight="1">
      <c r="E501" s="123"/>
      <c r="H501" s="123"/>
    </row>
    <row r="502" ht="18.75" customHeight="1">
      <c r="E502" s="123"/>
      <c r="H502" s="123"/>
    </row>
    <row r="503" ht="18.75" customHeight="1">
      <c r="E503" s="123"/>
      <c r="H503" s="123"/>
    </row>
    <row r="504" ht="18.75" customHeight="1">
      <c r="E504" s="123"/>
      <c r="H504" s="123"/>
    </row>
    <row r="505" ht="18.75" customHeight="1">
      <c r="E505" s="123"/>
      <c r="H505" s="123"/>
    </row>
    <row r="506" ht="18.75" customHeight="1">
      <c r="E506" s="123"/>
      <c r="H506" s="123"/>
    </row>
    <row r="507" ht="18.75" customHeight="1">
      <c r="E507" s="123"/>
      <c r="H507" s="123"/>
    </row>
    <row r="508" ht="18.75" customHeight="1">
      <c r="E508" s="123"/>
      <c r="H508" s="123"/>
    </row>
    <row r="509" ht="18.75" customHeight="1">
      <c r="E509" s="123"/>
      <c r="H509" s="123"/>
    </row>
    <row r="510" ht="18.75" customHeight="1">
      <c r="E510" s="123"/>
      <c r="H510" s="123"/>
    </row>
    <row r="511" ht="18.75" customHeight="1">
      <c r="E511" s="123"/>
      <c r="H511" s="123"/>
    </row>
    <row r="512" ht="18.75" customHeight="1">
      <c r="E512" s="123"/>
      <c r="H512" s="123"/>
    </row>
    <row r="513" ht="18.75" customHeight="1">
      <c r="E513" s="123"/>
      <c r="H513" s="123"/>
    </row>
    <row r="514" ht="18.75" customHeight="1">
      <c r="E514" s="123"/>
      <c r="H514" s="123"/>
    </row>
    <row r="515" ht="18.75" customHeight="1">
      <c r="E515" s="123"/>
      <c r="H515" s="123"/>
    </row>
    <row r="516" ht="18.75" customHeight="1">
      <c r="E516" s="123"/>
      <c r="H516" s="123"/>
    </row>
    <row r="517" ht="18.75" customHeight="1">
      <c r="E517" s="123"/>
      <c r="H517" s="123"/>
    </row>
    <row r="518" ht="18.75" customHeight="1">
      <c r="E518" s="123"/>
      <c r="H518" s="123"/>
    </row>
    <row r="519" ht="18.75" customHeight="1">
      <c r="E519" s="123"/>
      <c r="H519" s="123"/>
    </row>
    <row r="520" ht="18.75" customHeight="1">
      <c r="E520" s="123"/>
      <c r="H520" s="123"/>
    </row>
    <row r="521" ht="18.75" customHeight="1">
      <c r="E521" s="123"/>
      <c r="H521" s="123"/>
    </row>
    <row r="522" ht="18.75" customHeight="1">
      <c r="E522" s="123"/>
      <c r="H522" s="123"/>
    </row>
    <row r="523" ht="18.75" customHeight="1">
      <c r="E523" s="123"/>
      <c r="H523" s="123"/>
    </row>
    <row r="524" ht="18.75" customHeight="1">
      <c r="E524" s="123"/>
      <c r="H524" s="123"/>
    </row>
    <row r="525" ht="18.75" customHeight="1">
      <c r="E525" s="123"/>
      <c r="H525" s="123"/>
    </row>
    <row r="526" ht="18.75" customHeight="1">
      <c r="E526" s="123"/>
      <c r="H526" s="123"/>
    </row>
    <row r="527" ht="18.75" customHeight="1">
      <c r="E527" s="123"/>
      <c r="H527" s="123"/>
    </row>
    <row r="528" ht="18.75" customHeight="1">
      <c r="E528" s="123"/>
      <c r="H528" s="123"/>
    </row>
    <row r="529" ht="18.75" customHeight="1">
      <c r="E529" s="123"/>
      <c r="H529" s="123"/>
    </row>
    <row r="530" ht="18.75" customHeight="1">
      <c r="E530" s="123"/>
      <c r="H530" s="123"/>
    </row>
    <row r="531" ht="18.75" customHeight="1">
      <c r="E531" s="123"/>
      <c r="H531" s="123"/>
    </row>
    <row r="532" ht="18.75" customHeight="1">
      <c r="E532" s="123"/>
      <c r="H532" s="123"/>
    </row>
    <row r="533" ht="18.75" customHeight="1">
      <c r="E533" s="123"/>
      <c r="H533" s="123"/>
    </row>
    <row r="534" ht="18.75" customHeight="1">
      <c r="E534" s="123"/>
      <c r="H534" s="123"/>
    </row>
    <row r="535" ht="18.75" customHeight="1">
      <c r="E535" s="123"/>
      <c r="H535" s="123"/>
    </row>
    <row r="536" ht="18.75" customHeight="1">
      <c r="E536" s="123"/>
      <c r="H536" s="123"/>
    </row>
    <row r="537" ht="18.75" customHeight="1">
      <c r="E537" s="123"/>
      <c r="H537" s="123"/>
    </row>
    <row r="538" ht="18.75" customHeight="1">
      <c r="E538" s="123"/>
      <c r="H538" s="123"/>
    </row>
    <row r="539" ht="18.75" customHeight="1">
      <c r="E539" s="123"/>
      <c r="H539" s="123"/>
    </row>
    <row r="540" ht="18.75" customHeight="1">
      <c r="E540" s="123"/>
      <c r="H540" s="123"/>
    </row>
    <row r="541" ht="18.75" customHeight="1">
      <c r="E541" s="123"/>
      <c r="H541" s="123"/>
    </row>
    <row r="542" ht="18.75" customHeight="1">
      <c r="E542" s="123"/>
      <c r="H542" s="123"/>
    </row>
    <row r="543" ht="18.75" customHeight="1">
      <c r="E543" s="123"/>
      <c r="H543" s="123"/>
    </row>
    <row r="544" ht="18.75" customHeight="1">
      <c r="E544" s="123"/>
      <c r="H544" s="123"/>
    </row>
    <row r="545" ht="18.75" customHeight="1">
      <c r="E545" s="123"/>
      <c r="H545" s="123"/>
    </row>
    <row r="546" ht="18.75" customHeight="1">
      <c r="E546" s="123"/>
      <c r="H546" s="123"/>
    </row>
    <row r="547" ht="18.75" customHeight="1">
      <c r="E547" s="123"/>
      <c r="H547" s="123"/>
    </row>
    <row r="548" ht="18.75" customHeight="1">
      <c r="E548" s="123"/>
      <c r="H548" s="123"/>
    </row>
    <row r="549" ht="18.75" customHeight="1">
      <c r="E549" s="123"/>
      <c r="H549" s="123"/>
    </row>
    <row r="550" ht="18.75" customHeight="1">
      <c r="E550" s="123"/>
      <c r="H550" s="123"/>
    </row>
    <row r="551" ht="18.75" customHeight="1">
      <c r="E551" s="123"/>
      <c r="H551" s="123"/>
    </row>
    <row r="552" ht="18.75" customHeight="1">
      <c r="E552" s="123"/>
      <c r="H552" s="123"/>
    </row>
    <row r="553" ht="18.75" customHeight="1">
      <c r="E553" s="123"/>
      <c r="H553" s="123"/>
    </row>
    <row r="554" ht="18.75" customHeight="1">
      <c r="E554" s="123"/>
      <c r="H554" s="123"/>
    </row>
    <row r="555" ht="18.75" customHeight="1">
      <c r="E555" s="123"/>
      <c r="H555" s="123"/>
    </row>
    <row r="556" ht="18.75" customHeight="1">
      <c r="E556" s="123"/>
      <c r="H556" s="123"/>
    </row>
    <row r="557" ht="18.75" customHeight="1">
      <c r="E557" s="123"/>
      <c r="H557" s="123"/>
    </row>
    <row r="558" ht="18.75" customHeight="1">
      <c r="E558" s="123"/>
      <c r="H558" s="123"/>
    </row>
    <row r="559" ht="18.75" customHeight="1">
      <c r="E559" s="123"/>
      <c r="H559" s="123"/>
    </row>
    <row r="560" ht="18.75" customHeight="1">
      <c r="E560" s="123"/>
      <c r="H560" s="123"/>
    </row>
    <row r="561" ht="18.75" customHeight="1">
      <c r="E561" s="123"/>
      <c r="H561" s="123"/>
    </row>
    <row r="562" ht="18.75" customHeight="1">
      <c r="E562" s="123"/>
      <c r="H562" s="123"/>
    </row>
    <row r="563" ht="18.75" customHeight="1">
      <c r="E563" s="123"/>
      <c r="H563" s="123"/>
    </row>
    <row r="564" ht="18.75" customHeight="1">
      <c r="E564" s="123"/>
      <c r="H564" s="123"/>
    </row>
    <row r="565" ht="18.75" customHeight="1">
      <c r="E565" s="123"/>
      <c r="H565" s="123"/>
    </row>
    <row r="566" ht="18.75" customHeight="1">
      <c r="E566" s="123"/>
      <c r="H566" s="123"/>
    </row>
    <row r="567" ht="18.75" customHeight="1">
      <c r="E567" s="123"/>
      <c r="H567" s="123"/>
    </row>
    <row r="568" ht="18.75" customHeight="1">
      <c r="E568" s="123"/>
      <c r="H568" s="123"/>
    </row>
    <row r="569" ht="18.75" customHeight="1">
      <c r="E569" s="123"/>
      <c r="H569" s="123"/>
    </row>
    <row r="570" ht="18.75" customHeight="1">
      <c r="E570" s="123"/>
      <c r="H570" s="123"/>
    </row>
    <row r="571" ht="18.75" customHeight="1">
      <c r="E571" s="123"/>
      <c r="H571" s="123"/>
    </row>
    <row r="572" ht="18.75" customHeight="1">
      <c r="E572" s="123"/>
      <c r="H572" s="123"/>
    </row>
    <row r="573" ht="18.75" customHeight="1">
      <c r="E573" s="123"/>
      <c r="H573" s="123"/>
    </row>
    <row r="574" ht="18.75" customHeight="1">
      <c r="E574" s="123"/>
      <c r="H574" s="123"/>
    </row>
    <row r="575" ht="18.75" customHeight="1">
      <c r="E575" s="123"/>
      <c r="H575" s="123"/>
    </row>
    <row r="576" ht="18.75" customHeight="1">
      <c r="E576" s="123"/>
      <c r="H576" s="123"/>
    </row>
    <row r="577" ht="18.75" customHeight="1">
      <c r="E577" s="123"/>
      <c r="H577" s="123"/>
    </row>
    <row r="578" ht="18.75" customHeight="1">
      <c r="E578" s="123"/>
      <c r="H578" s="123"/>
    </row>
    <row r="579" ht="18.75" customHeight="1">
      <c r="E579" s="123"/>
      <c r="H579" s="123"/>
    </row>
    <row r="580" ht="18.75" customHeight="1">
      <c r="E580" s="123"/>
      <c r="H580" s="123"/>
    </row>
    <row r="581" ht="18.75" customHeight="1">
      <c r="E581" s="123"/>
      <c r="H581" s="123"/>
    </row>
    <row r="582" ht="18.75" customHeight="1">
      <c r="E582" s="123"/>
      <c r="H582" s="123"/>
    </row>
    <row r="583" ht="18.75" customHeight="1">
      <c r="E583" s="123"/>
      <c r="H583" s="123"/>
    </row>
    <row r="584" ht="18.75" customHeight="1">
      <c r="E584" s="123"/>
      <c r="H584" s="123"/>
    </row>
    <row r="585" ht="18.75" customHeight="1">
      <c r="E585" s="123"/>
      <c r="H585" s="123"/>
    </row>
    <row r="586" ht="18.75" customHeight="1">
      <c r="E586" s="123"/>
      <c r="H586" s="123"/>
    </row>
    <row r="587" ht="18.75" customHeight="1">
      <c r="E587" s="123"/>
      <c r="H587" s="123"/>
    </row>
    <row r="588" ht="18.75" customHeight="1">
      <c r="E588" s="123"/>
      <c r="H588" s="123"/>
    </row>
    <row r="589" ht="18.75" customHeight="1">
      <c r="E589" s="123"/>
      <c r="H589" s="123"/>
    </row>
    <row r="590" ht="18.75" customHeight="1">
      <c r="E590" s="123"/>
      <c r="H590" s="123"/>
    </row>
    <row r="591" ht="18.75" customHeight="1">
      <c r="E591" s="123"/>
      <c r="H591" s="123"/>
    </row>
    <row r="592" ht="18.75" customHeight="1">
      <c r="E592" s="123"/>
      <c r="H592" s="123"/>
    </row>
    <row r="593" ht="18.75" customHeight="1">
      <c r="E593" s="123"/>
      <c r="H593" s="123"/>
    </row>
    <row r="594" ht="18.75" customHeight="1">
      <c r="E594" s="123"/>
      <c r="H594" s="123"/>
    </row>
    <row r="595" ht="18.75" customHeight="1">
      <c r="E595" s="123"/>
      <c r="H595" s="123"/>
    </row>
    <row r="596" ht="18.75" customHeight="1">
      <c r="E596" s="123"/>
      <c r="H596" s="123"/>
    </row>
    <row r="597" ht="18.75" customHeight="1">
      <c r="E597" s="123"/>
      <c r="H597" s="123"/>
    </row>
    <row r="598" ht="18.75" customHeight="1">
      <c r="E598" s="123"/>
      <c r="H598" s="123"/>
    </row>
    <row r="599" ht="18.75" customHeight="1">
      <c r="E599" s="123"/>
      <c r="H599" s="123"/>
    </row>
    <row r="600" ht="18.75" customHeight="1">
      <c r="E600" s="123"/>
      <c r="H600" s="123"/>
    </row>
    <row r="601" ht="18.75" customHeight="1">
      <c r="E601" s="123"/>
      <c r="H601" s="123"/>
    </row>
    <row r="602" ht="18.75" customHeight="1">
      <c r="E602" s="123"/>
      <c r="H602" s="123"/>
    </row>
    <row r="603" ht="18.75" customHeight="1">
      <c r="E603" s="123"/>
      <c r="H603" s="123"/>
    </row>
    <row r="604" ht="18.75" customHeight="1">
      <c r="E604" s="123"/>
      <c r="H604" s="123"/>
    </row>
    <row r="605" ht="18.75" customHeight="1">
      <c r="E605" s="123"/>
      <c r="H605" s="123"/>
    </row>
    <row r="606" ht="18.75" customHeight="1">
      <c r="E606" s="123"/>
      <c r="H606" s="123"/>
    </row>
    <row r="607" ht="18.75" customHeight="1">
      <c r="E607" s="123"/>
      <c r="H607" s="123"/>
    </row>
    <row r="608" ht="18.75" customHeight="1">
      <c r="E608" s="123"/>
      <c r="H608" s="123"/>
    </row>
    <row r="609" ht="18.75" customHeight="1">
      <c r="E609" s="123"/>
      <c r="H609" s="123"/>
    </row>
    <row r="610" ht="18.75" customHeight="1">
      <c r="E610" s="123"/>
      <c r="H610" s="123"/>
    </row>
    <row r="611" ht="18.75" customHeight="1">
      <c r="E611" s="123"/>
      <c r="H611" s="123"/>
    </row>
    <row r="612" ht="18.75" customHeight="1">
      <c r="E612" s="123"/>
      <c r="H612" s="123"/>
    </row>
    <row r="613" ht="18.75" customHeight="1">
      <c r="E613" s="123"/>
      <c r="H613" s="123"/>
    </row>
    <row r="614" ht="18.75" customHeight="1">
      <c r="E614" s="123"/>
      <c r="H614" s="123"/>
    </row>
    <row r="615" ht="18.75" customHeight="1">
      <c r="E615" s="123"/>
      <c r="H615" s="123"/>
    </row>
    <row r="616" ht="18.75" customHeight="1">
      <c r="E616" s="123"/>
      <c r="H616" s="123"/>
    </row>
    <row r="617" ht="18.75" customHeight="1">
      <c r="E617" s="123"/>
      <c r="H617" s="123"/>
    </row>
    <row r="618" ht="18.75" customHeight="1">
      <c r="E618" s="123"/>
      <c r="H618" s="123"/>
    </row>
    <row r="619" ht="18.75" customHeight="1">
      <c r="E619" s="123"/>
      <c r="H619" s="123"/>
    </row>
    <row r="620" ht="18.75" customHeight="1">
      <c r="E620" s="123"/>
      <c r="H620" s="123"/>
    </row>
    <row r="621" ht="18.75" customHeight="1">
      <c r="E621" s="123"/>
      <c r="H621" s="123"/>
    </row>
    <row r="622" ht="18.75" customHeight="1">
      <c r="E622" s="123"/>
      <c r="H622" s="123"/>
    </row>
    <row r="623" ht="18.75" customHeight="1">
      <c r="E623" s="123"/>
      <c r="H623" s="123"/>
    </row>
    <row r="624" ht="18.75" customHeight="1">
      <c r="E624" s="123"/>
      <c r="H624" s="123"/>
    </row>
    <row r="625" ht="18.75" customHeight="1">
      <c r="E625" s="123"/>
      <c r="H625" s="123"/>
    </row>
    <row r="626" ht="18.75" customHeight="1">
      <c r="E626" s="123"/>
      <c r="H626" s="123"/>
    </row>
    <row r="627" ht="18.75" customHeight="1">
      <c r="E627" s="123"/>
      <c r="H627" s="123"/>
    </row>
    <row r="628" ht="18.75" customHeight="1">
      <c r="E628" s="123"/>
      <c r="H628" s="123"/>
    </row>
    <row r="629" ht="18.75" customHeight="1">
      <c r="E629" s="123"/>
      <c r="H629" s="123"/>
    </row>
    <row r="630" ht="18.75" customHeight="1">
      <c r="E630" s="123"/>
      <c r="H630" s="123"/>
    </row>
    <row r="631" ht="18.75" customHeight="1">
      <c r="E631" s="123"/>
      <c r="H631" s="123"/>
    </row>
    <row r="632" ht="18.75" customHeight="1">
      <c r="E632" s="123"/>
      <c r="H632" s="123"/>
    </row>
    <row r="633" ht="18.75" customHeight="1">
      <c r="E633" s="123"/>
      <c r="H633" s="123"/>
    </row>
    <row r="634" ht="18.75" customHeight="1">
      <c r="E634" s="123"/>
      <c r="H634" s="123"/>
    </row>
    <row r="635" ht="18.75" customHeight="1">
      <c r="E635" s="123"/>
      <c r="H635" s="123"/>
    </row>
    <row r="636" ht="18.75" customHeight="1">
      <c r="E636" s="123"/>
      <c r="H636" s="123"/>
    </row>
    <row r="637" ht="18.75" customHeight="1">
      <c r="E637" s="123"/>
      <c r="H637" s="123"/>
    </row>
    <row r="638" ht="18.75" customHeight="1">
      <c r="E638" s="123"/>
      <c r="H638" s="123"/>
    </row>
    <row r="639" ht="18.75" customHeight="1">
      <c r="E639" s="123"/>
      <c r="H639" s="123"/>
    </row>
    <row r="640" ht="18.75" customHeight="1">
      <c r="E640" s="123"/>
      <c r="H640" s="123"/>
    </row>
    <row r="641" ht="18.75" customHeight="1">
      <c r="E641" s="123"/>
      <c r="H641" s="123"/>
    </row>
    <row r="642" ht="18.75" customHeight="1">
      <c r="E642" s="123"/>
      <c r="H642" s="123"/>
    </row>
    <row r="643" ht="18.75" customHeight="1">
      <c r="E643" s="123"/>
      <c r="H643" s="123"/>
    </row>
    <row r="644" ht="18.75" customHeight="1">
      <c r="E644" s="123"/>
      <c r="H644" s="123"/>
    </row>
    <row r="645" ht="18.75" customHeight="1">
      <c r="E645" s="123"/>
      <c r="H645" s="123"/>
    </row>
    <row r="646" ht="18.75" customHeight="1">
      <c r="E646" s="123"/>
      <c r="H646" s="123"/>
    </row>
    <row r="647" ht="18.75" customHeight="1">
      <c r="E647" s="123"/>
      <c r="H647" s="123"/>
    </row>
    <row r="648" ht="18.75" customHeight="1">
      <c r="E648" s="123"/>
      <c r="H648" s="123"/>
    </row>
    <row r="649" ht="18.75" customHeight="1">
      <c r="E649" s="123"/>
      <c r="H649" s="123"/>
    </row>
    <row r="650" ht="18.75" customHeight="1">
      <c r="E650" s="123"/>
      <c r="H650" s="123"/>
    </row>
    <row r="651" ht="18.75" customHeight="1">
      <c r="E651" s="123"/>
      <c r="H651" s="123"/>
    </row>
    <row r="652" ht="18.75" customHeight="1">
      <c r="E652" s="123"/>
      <c r="H652" s="123"/>
    </row>
    <row r="653" ht="18.75" customHeight="1">
      <c r="E653" s="123"/>
      <c r="H653" s="123"/>
    </row>
    <row r="654" ht="18.75" customHeight="1">
      <c r="E654" s="123"/>
      <c r="H654" s="123"/>
    </row>
    <row r="655" ht="18.75" customHeight="1">
      <c r="E655" s="123"/>
      <c r="H655" s="123"/>
    </row>
    <row r="656" ht="18.75" customHeight="1">
      <c r="E656" s="123"/>
      <c r="H656" s="123"/>
    </row>
    <row r="657" ht="18.75" customHeight="1">
      <c r="E657" s="123"/>
      <c r="H657" s="123"/>
    </row>
    <row r="658" ht="18.75" customHeight="1">
      <c r="E658" s="123"/>
      <c r="H658" s="123"/>
    </row>
    <row r="659" ht="18.75" customHeight="1">
      <c r="E659" s="123"/>
      <c r="H659" s="123"/>
    </row>
    <row r="660" ht="18.75" customHeight="1">
      <c r="E660" s="123"/>
      <c r="H660" s="123"/>
    </row>
    <row r="661" ht="18.75" customHeight="1">
      <c r="E661" s="123"/>
      <c r="H661" s="123"/>
    </row>
    <row r="662" ht="18.75" customHeight="1">
      <c r="E662" s="123"/>
      <c r="H662" s="123"/>
    </row>
    <row r="663" ht="18.75" customHeight="1">
      <c r="E663" s="123"/>
      <c r="H663" s="123"/>
    </row>
    <row r="664" ht="18.75" customHeight="1">
      <c r="E664" s="123"/>
      <c r="H664" s="123"/>
    </row>
    <row r="665" ht="18.75" customHeight="1">
      <c r="E665" s="123"/>
      <c r="H665" s="123"/>
    </row>
    <row r="666" ht="18.75" customHeight="1">
      <c r="E666" s="123"/>
      <c r="H666" s="123"/>
    </row>
    <row r="667" ht="18.75" customHeight="1">
      <c r="E667" s="123"/>
      <c r="H667" s="123"/>
    </row>
    <row r="668" ht="18.75" customHeight="1">
      <c r="E668" s="123"/>
      <c r="H668" s="123"/>
    </row>
    <row r="669" ht="18.75" customHeight="1">
      <c r="E669" s="123"/>
      <c r="H669" s="123"/>
    </row>
    <row r="670" ht="18.75" customHeight="1">
      <c r="E670" s="123"/>
      <c r="H670" s="123"/>
    </row>
    <row r="671" ht="18.75" customHeight="1">
      <c r="E671" s="123"/>
      <c r="H671" s="123"/>
    </row>
    <row r="672" ht="18.75" customHeight="1">
      <c r="E672" s="123"/>
      <c r="H672" s="123"/>
    </row>
    <row r="673" ht="18.75" customHeight="1">
      <c r="E673" s="123"/>
      <c r="H673" s="123"/>
    </row>
    <row r="674" ht="18.75" customHeight="1">
      <c r="E674" s="123"/>
      <c r="H674" s="123"/>
    </row>
    <row r="675" ht="18.75" customHeight="1">
      <c r="E675" s="123"/>
      <c r="H675" s="123"/>
    </row>
    <row r="676" ht="18.75" customHeight="1">
      <c r="E676" s="123"/>
      <c r="H676" s="123"/>
    </row>
    <row r="677" ht="18.75" customHeight="1">
      <c r="E677" s="123"/>
      <c r="H677" s="123"/>
    </row>
    <row r="678" ht="18.75" customHeight="1">
      <c r="E678" s="123"/>
      <c r="H678" s="123"/>
    </row>
    <row r="679" ht="18.75" customHeight="1">
      <c r="E679" s="123"/>
      <c r="H679" s="123"/>
    </row>
    <row r="680" ht="18.75" customHeight="1">
      <c r="E680" s="123"/>
      <c r="H680" s="123"/>
    </row>
    <row r="681" ht="18.75" customHeight="1">
      <c r="E681" s="123"/>
      <c r="H681" s="123"/>
    </row>
    <row r="682" ht="18.75" customHeight="1">
      <c r="E682" s="123"/>
      <c r="H682" s="123"/>
    </row>
    <row r="683" ht="18.75" customHeight="1">
      <c r="E683" s="123"/>
      <c r="H683" s="123"/>
    </row>
    <row r="684" ht="18.75" customHeight="1">
      <c r="E684" s="123"/>
      <c r="H684" s="123"/>
    </row>
    <row r="685" ht="18.75" customHeight="1">
      <c r="E685" s="123"/>
      <c r="H685" s="123"/>
    </row>
    <row r="686" ht="18.75" customHeight="1">
      <c r="E686" s="123"/>
      <c r="H686" s="123"/>
    </row>
    <row r="687" ht="18.75" customHeight="1">
      <c r="E687" s="123"/>
      <c r="H687" s="123"/>
    </row>
    <row r="688" ht="18.75" customHeight="1">
      <c r="E688" s="123"/>
      <c r="H688" s="123"/>
    </row>
    <row r="689" ht="18.75" customHeight="1">
      <c r="E689" s="123"/>
      <c r="H689" s="123"/>
    </row>
    <row r="690" ht="18.75" customHeight="1">
      <c r="E690" s="123"/>
      <c r="H690" s="123"/>
    </row>
    <row r="691" ht="18.75" customHeight="1">
      <c r="E691" s="123"/>
      <c r="H691" s="123"/>
    </row>
    <row r="692" ht="18.75" customHeight="1">
      <c r="E692" s="123"/>
      <c r="H692" s="123"/>
    </row>
    <row r="693" ht="18.75" customHeight="1">
      <c r="E693" s="123"/>
      <c r="H693" s="123"/>
    </row>
    <row r="694" ht="18.75" customHeight="1">
      <c r="E694" s="123"/>
      <c r="H694" s="123"/>
    </row>
    <row r="695" ht="18.75" customHeight="1">
      <c r="E695" s="123"/>
      <c r="H695" s="123"/>
    </row>
    <row r="696" ht="18.75" customHeight="1">
      <c r="E696" s="123"/>
      <c r="H696" s="123"/>
    </row>
    <row r="697" ht="18.75" customHeight="1">
      <c r="E697" s="123"/>
      <c r="H697" s="123"/>
    </row>
    <row r="698" ht="18.75" customHeight="1">
      <c r="E698" s="123"/>
      <c r="H698" s="123"/>
    </row>
    <row r="699" ht="18.75" customHeight="1">
      <c r="E699" s="123"/>
      <c r="H699" s="123"/>
    </row>
    <row r="700" ht="18.75" customHeight="1">
      <c r="E700" s="123"/>
      <c r="H700" s="123"/>
    </row>
    <row r="701" ht="18.75" customHeight="1">
      <c r="E701" s="123"/>
      <c r="H701" s="123"/>
    </row>
    <row r="702" ht="18.75" customHeight="1">
      <c r="E702" s="123"/>
      <c r="H702" s="123"/>
    </row>
    <row r="703" ht="18.75" customHeight="1">
      <c r="E703" s="123"/>
      <c r="H703" s="123"/>
    </row>
    <row r="704" ht="18.75" customHeight="1">
      <c r="E704" s="123"/>
      <c r="H704" s="123"/>
    </row>
    <row r="705" ht="18.75" customHeight="1">
      <c r="E705" s="123"/>
      <c r="H705" s="123"/>
    </row>
    <row r="706" ht="18.75" customHeight="1">
      <c r="E706" s="123"/>
      <c r="H706" s="123"/>
    </row>
    <row r="707" ht="18.75" customHeight="1">
      <c r="E707" s="123"/>
      <c r="H707" s="123"/>
    </row>
    <row r="708" ht="18.75" customHeight="1">
      <c r="E708" s="123"/>
      <c r="H708" s="123"/>
    </row>
    <row r="709" ht="18.75" customHeight="1">
      <c r="E709" s="123"/>
      <c r="H709" s="123"/>
    </row>
    <row r="710" ht="18.75" customHeight="1">
      <c r="E710" s="123"/>
      <c r="H710" s="123"/>
    </row>
    <row r="711" ht="18.75" customHeight="1">
      <c r="E711" s="123"/>
      <c r="H711" s="123"/>
    </row>
    <row r="712" ht="18.75" customHeight="1">
      <c r="E712" s="123"/>
      <c r="H712" s="123"/>
    </row>
    <row r="713" ht="18.75" customHeight="1">
      <c r="E713" s="123"/>
      <c r="H713" s="123"/>
    </row>
    <row r="714" ht="18.75" customHeight="1">
      <c r="E714" s="123"/>
      <c r="H714" s="123"/>
    </row>
    <row r="715" ht="18.75" customHeight="1">
      <c r="E715" s="123"/>
      <c r="H715" s="123"/>
    </row>
    <row r="716" ht="18.75" customHeight="1">
      <c r="E716" s="123"/>
      <c r="H716" s="123"/>
    </row>
    <row r="717" ht="18.75" customHeight="1">
      <c r="E717" s="123"/>
      <c r="H717" s="123"/>
    </row>
    <row r="718" ht="18.75" customHeight="1">
      <c r="E718" s="123"/>
      <c r="H718" s="123"/>
    </row>
    <row r="719" ht="18.75" customHeight="1">
      <c r="E719" s="123"/>
      <c r="H719" s="123"/>
    </row>
    <row r="720" ht="18.75" customHeight="1">
      <c r="E720" s="123"/>
      <c r="H720" s="123"/>
    </row>
    <row r="721" ht="18.75" customHeight="1">
      <c r="E721" s="123"/>
      <c r="H721" s="123"/>
    </row>
    <row r="722" ht="18.75" customHeight="1">
      <c r="E722" s="123"/>
      <c r="H722" s="123"/>
    </row>
    <row r="723" ht="18.75" customHeight="1">
      <c r="E723" s="123"/>
      <c r="H723" s="123"/>
    </row>
    <row r="724" ht="18.75" customHeight="1">
      <c r="E724" s="123"/>
      <c r="H724" s="123"/>
    </row>
    <row r="725" ht="18.75" customHeight="1">
      <c r="E725" s="123"/>
      <c r="H725" s="123"/>
    </row>
    <row r="726" ht="18.75" customHeight="1">
      <c r="E726" s="123"/>
      <c r="H726" s="123"/>
    </row>
    <row r="727" ht="18.75" customHeight="1">
      <c r="E727" s="123"/>
      <c r="H727" s="123"/>
    </row>
    <row r="728" ht="18.75" customHeight="1">
      <c r="E728" s="123"/>
      <c r="H728" s="123"/>
    </row>
    <row r="729" ht="18.75" customHeight="1">
      <c r="E729" s="123"/>
      <c r="H729" s="123"/>
    </row>
    <row r="730" ht="18.75" customHeight="1">
      <c r="E730" s="123"/>
      <c r="H730" s="123"/>
    </row>
    <row r="731" ht="18.75" customHeight="1">
      <c r="E731" s="123"/>
      <c r="H731" s="123"/>
    </row>
    <row r="732" ht="18.75" customHeight="1">
      <c r="E732" s="123"/>
      <c r="H732" s="123"/>
    </row>
    <row r="733" ht="18.75" customHeight="1">
      <c r="E733" s="123"/>
      <c r="H733" s="123"/>
    </row>
    <row r="734" ht="18.75" customHeight="1">
      <c r="E734" s="123"/>
      <c r="H734" s="123"/>
    </row>
    <row r="735" ht="18.75" customHeight="1">
      <c r="E735" s="123"/>
      <c r="H735" s="123"/>
    </row>
    <row r="736" ht="18.75" customHeight="1">
      <c r="E736" s="123"/>
      <c r="H736" s="123"/>
    </row>
    <row r="737" ht="18.75" customHeight="1">
      <c r="E737" s="123"/>
      <c r="H737" s="123"/>
    </row>
    <row r="738" ht="18.75" customHeight="1">
      <c r="E738" s="123"/>
      <c r="H738" s="123"/>
    </row>
    <row r="739" ht="18.75" customHeight="1">
      <c r="E739" s="123"/>
      <c r="H739" s="123"/>
    </row>
    <row r="740" ht="18.75" customHeight="1">
      <c r="E740" s="123"/>
      <c r="H740" s="123"/>
    </row>
    <row r="741" ht="18.75" customHeight="1">
      <c r="E741" s="123"/>
      <c r="H741" s="123"/>
    </row>
    <row r="742" ht="18.75" customHeight="1">
      <c r="E742" s="123"/>
      <c r="H742" s="123"/>
    </row>
    <row r="743" ht="18.75" customHeight="1">
      <c r="E743" s="123"/>
      <c r="H743" s="123"/>
    </row>
    <row r="744" ht="18.75" customHeight="1">
      <c r="E744" s="123"/>
      <c r="H744" s="123"/>
    </row>
    <row r="745" ht="18.75" customHeight="1">
      <c r="E745" s="123"/>
      <c r="H745" s="123"/>
    </row>
    <row r="746" ht="18.75" customHeight="1">
      <c r="E746" s="123"/>
      <c r="H746" s="123"/>
    </row>
    <row r="747" ht="18.75" customHeight="1">
      <c r="E747" s="123"/>
      <c r="H747" s="123"/>
    </row>
    <row r="748" ht="18.75" customHeight="1">
      <c r="E748" s="123"/>
      <c r="H748" s="123"/>
    </row>
    <row r="749" ht="18.75" customHeight="1">
      <c r="E749" s="123"/>
      <c r="H749" s="123"/>
    </row>
    <row r="750" ht="18.75" customHeight="1">
      <c r="E750" s="123"/>
      <c r="H750" s="123"/>
    </row>
    <row r="751" ht="18.75" customHeight="1">
      <c r="E751" s="123"/>
      <c r="H751" s="123"/>
    </row>
    <row r="752" ht="18.75" customHeight="1">
      <c r="E752" s="123"/>
      <c r="H752" s="123"/>
    </row>
    <row r="753" ht="18.75" customHeight="1">
      <c r="E753" s="123"/>
      <c r="H753" s="123"/>
    </row>
    <row r="754" ht="18.75" customHeight="1">
      <c r="E754" s="123"/>
      <c r="H754" s="123"/>
    </row>
    <row r="755" ht="18.75" customHeight="1">
      <c r="E755" s="123"/>
      <c r="H755" s="123"/>
    </row>
    <row r="756" ht="18.75" customHeight="1">
      <c r="E756" s="123"/>
      <c r="H756" s="123"/>
    </row>
    <row r="757" ht="18.75" customHeight="1">
      <c r="E757" s="123"/>
      <c r="H757" s="123"/>
    </row>
    <row r="758" ht="18.75" customHeight="1">
      <c r="E758" s="123"/>
      <c r="H758" s="123"/>
    </row>
    <row r="759" ht="18.75" customHeight="1">
      <c r="E759" s="123"/>
      <c r="H759" s="123"/>
    </row>
    <row r="760" ht="18.75" customHeight="1">
      <c r="E760" s="123"/>
      <c r="H760" s="123"/>
    </row>
    <row r="761" ht="18.75" customHeight="1">
      <c r="E761" s="123"/>
      <c r="H761" s="123"/>
    </row>
    <row r="762" ht="18.75" customHeight="1">
      <c r="E762" s="123"/>
      <c r="H762" s="123"/>
    </row>
    <row r="763" ht="18.75" customHeight="1">
      <c r="E763" s="123"/>
      <c r="H763" s="123"/>
    </row>
    <row r="764" ht="18.75" customHeight="1">
      <c r="E764" s="123"/>
      <c r="H764" s="123"/>
    </row>
    <row r="765" ht="18.75" customHeight="1">
      <c r="E765" s="123"/>
      <c r="H765" s="123"/>
    </row>
    <row r="766" ht="18.75" customHeight="1">
      <c r="E766" s="123"/>
      <c r="H766" s="123"/>
    </row>
    <row r="767" ht="18.75" customHeight="1">
      <c r="E767" s="123"/>
      <c r="H767" s="123"/>
    </row>
    <row r="768" ht="18.75" customHeight="1">
      <c r="E768" s="123"/>
      <c r="H768" s="123"/>
    </row>
    <row r="769" ht="18.75" customHeight="1">
      <c r="E769" s="123"/>
      <c r="H769" s="123"/>
    </row>
    <row r="770" ht="18.75" customHeight="1">
      <c r="E770" s="123"/>
      <c r="H770" s="123"/>
    </row>
    <row r="771" ht="18.75" customHeight="1">
      <c r="E771" s="123"/>
      <c r="H771" s="123"/>
    </row>
    <row r="772" ht="18.75" customHeight="1">
      <c r="E772" s="123"/>
      <c r="H772" s="123"/>
    </row>
    <row r="773" ht="18.75" customHeight="1">
      <c r="E773" s="123"/>
      <c r="H773" s="123"/>
    </row>
    <row r="774" ht="18.75" customHeight="1">
      <c r="E774" s="123"/>
      <c r="H774" s="123"/>
    </row>
    <row r="775" ht="18.75" customHeight="1">
      <c r="E775" s="123"/>
      <c r="H775" s="123"/>
    </row>
    <row r="776" ht="18.75" customHeight="1">
      <c r="E776" s="123"/>
      <c r="H776" s="123"/>
    </row>
    <row r="777" ht="18.75" customHeight="1">
      <c r="E777" s="123"/>
      <c r="H777" s="123"/>
    </row>
    <row r="778" ht="18.75" customHeight="1">
      <c r="E778" s="123"/>
      <c r="H778" s="123"/>
    </row>
    <row r="779" ht="18.75" customHeight="1">
      <c r="E779" s="123"/>
      <c r="H779" s="123"/>
    </row>
    <row r="780" ht="18.75" customHeight="1">
      <c r="E780" s="123"/>
      <c r="H780" s="123"/>
    </row>
    <row r="781" ht="18.75" customHeight="1">
      <c r="E781" s="123"/>
      <c r="H781" s="123"/>
    </row>
    <row r="782" ht="18.75" customHeight="1">
      <c r="E782" s="123"/>
      <c r="H782" s="123"/>
    </row>
    <row r="783" ht="18.75" customHeight="1">
      <c r="E783" s="123"/>
      <c r="H783" s="123"/>
    </row>
    <row r="784" ht="18.75" customHeight="1">
      <c r="E784" s="123"/>
      <c r="H784" s="123"/>
    </row>
    <row r="785" ht="18.75" customHeight="1">
      <c r="E785" s="123"/>
      <c r="H785" s="123"/>
    </row>
    <row r="786" ht="18.75" customHeight="1">
      <c r="E786" s="123"/>
      <c r="H786" s="123"/>
    </row>
    <row r="787" ht="18.75" customHeight="1">
      <c r="E787" s="123"/>
      <c r="H787" s="123"/>
    </row>
    <row r="788" ht="18.75" customHeight="1">
      <c r="E788" s="123"/>
      <c r="H788" s="123"/>
    </row>
    <row r="789" ht="18.75" customHeight="1">
      <c r="E789" s="123"/>
      <c r="H789" s="123"/>
    </row>
    <row r="790" ht="18.75" customHeight="1">
      <c r="E790" s="123"/>
      <c r="H790" s="123"/>
    </row>
    <row r="791" ht="18.75" customHeight="1">
      <c r="E791" s="123"/>
      <c r="H791" s="123"/>
    </row>
    <row r="792" ht="18.75" customHeight="1">
      <c r="E792" s="123"/>
      <c r="H792" s="123"/>
    </row>
    <row r="793" ht="18.75" customHeight="1">
      <c r="E793" s="123"/>
      <c r="H793" s="123"/>
    </row>
    <row r="794" ht="18.75" customHeight="1">
      <c r="E794" s="123"/>
      <c r="H794" s="123"/>
    </row>
    <row r="795" ht="18.75" customHeight="1">
      <c r="E795" s="123"/>
      <c r="H795" s="123"/>
    </row>
    <row r="796" ht="18.75" customHeight="1">
      <c r="E796" s="123"/>
      <c r="H796" s="123"/>
    </row>
    <row r="797" ht="18.75" customHeight="1">
      <c r="E797" s="123"/>
      <c r="H797" s="123"/>
    </row>
    <row r="798" ht="18.75" customHeight="1">
      <c r="E798" s="123"/>
      <c r="H798" s="123"/>
    </row>
    <row r="799" ht="18.75" customHeight="1">
      <c r="E799" s="123"/>
      <c r="H799" s="123"/>
    </row>
    <row r="800" ht="18.75" customHeight="1">
      <c r="E800" s="123"/>
      <c r="H800" s="123"/>
    </row>
    <row r="801" ht="18.75" customHeight="1">
      <c r="E801" s="123"/>
      <c r="H801" s="123"/>
    </row>
    <row r="802" ht="18.75" customHeight="1">
      <c r="E802" s="123"/>
      <c r="H802" s="123"/>
    </row>
    <row r="803" ht="18.75" customHeight="1">
      <c r="E803" s="123"/>
      <c r="H803" s="123"/>
    </row>
    <row r="804" ht="18.75" customHeight="1">
      <c r="E804" s="123"/>
      <c r="H804" s="123"/>
    </row>
    <row r="805" ht="18.75" customHeight="1">
      <c r="E805" s="123"/>
      <c r="H805" s="123"/>
    </row>
    <row r="806" ht="18.75" customHeight="1">
      <c r="E806" s="123"/>
      <c r="H806" s="123"/>
    </row>
    <row r="807" ht="18.75" customHeight="1">
      <c r="E807" s="123"/>
      <c r="H807" s="123"/>
    </row>
    <row r="808" ht="18.75" customHeight="1">
      <c r="E808" s="123"/>
      <c r="H808" s="123"/>
    </row>
    <row r="809" ht="18.75" customHeight="1">
      <c r="E809" s="123"/>
      <c r="H809" s="123"/>
    </row>
    <row r="810" ht="18.75" customHeight="1">
      <c r="E810" s="123"/>
      <c r="H810" s="123"/>
    </row>
    <row r="811" ht="18.75" customHeight="1">
      <c r="E811" s="123"/>
      <c r="H811" s="123"/>
    </row>
    <row r="812" ht="18.75" customHeight="1">
      <c r="E812" s="123"/>
      <c r="H812" s="123"/>
    </row>
    <row r="813" ht="18.75" customHeight="1">
      <c r="E813" s="123"/>
      <c r="H813" s="123"/>
    </row>
    <row r="814" ht="18.75" customHeight="1">
      <c r="E814" s="123"/>
      <c r="H814" s="123"/>
    </row>
    <row r="815" ht="18.75" customHeight="1">
      <c r="E815" s="123"/>
      <c r="H815" s="123"/>
    </row>
    <row r="816" ht="18.75" customHeight="1">
      <c r="E816" s="123"/>
      <c r="H816" s="123"/>
    </row>
    <row r="817" ht="18.75" customHeight="1">
      <c r="E817" s="123"/>
      <c r="H817" s="123"/>
    </row>
    <row r="818" ht="18.75" customHeight="1">
      <c r="E818" s="123"/>
      <c r="H818" s="123"/>
    </row>
    <row r="819" ht="18.75" customHeight="1">
      <c r="E819" s="123"/>
      <c r="H819" s="123"/>
    </row>
    <row r="820" ht="18.75" customHeight="1">
      <c r="E820" s="123"/>
      <c r="H820" s="123"/>
    </row>
    <row r="821" ht="18.75" customHeight="1">
      <c r="E821" s="123"/>
      <c r="H821" s="123"/>
    </row>
    <row r="822" ht="18.75" customHeight="1">
      <c r="E822" s="123"/>
      <c r="H822" s="123"/>
    </row>
    <row r="823" ht="18.75" customHeight="1">
      <c r="E823" s="123"/>
      <c r="H823" s="123"/>
    </row>
    <row r="824" ht="18.75" customHeight="1">
      <c r="E824" s="123"/>
      <c r="H824" s="123"/>
    </row>
    <row r="825" ht="18.75" customHeight="1">
      <c r="E825" s="123"/>
      <c r="H825" s="123"/>
    </row>
    <row r="826" ht="18.75" customHeight="1">
      <c r="E826" s="123"/>
      <c r="H826" s="123"/>
    </row>
    <row r="827" ht="18.75" customHeight="1">
      <c r="E827" s="123"/>
      <c r="H827" s="123"/>
    </row>
    <row r="828" ht="18.75" customHeight="1">
      <c r="E828" s="123"/>
      <c r="H828" s="123"/>
    </row>
    <row r="829" ht="18.75" customHeight="1">
      <c r="E829" s="123"/>
      <c r="H829" s="123"/>
    </row>
    <row r="830" ht="18.75" customHeight="1">
      <c r="E830" s="123"/>
      <c r="H830" s="123"/>
    </row>
    <row r="831" ht="18.75" customHeight="1">
      <c r="E831" s="123"/>
      <c r="H831" s="123"/>
    </row>
    <row r="832" ht="18.75" customHeight="1">
      <c r="E832" s="123"/>
      <c r="H832" s="123"/>
    </row>
    <row r="833" ht="18.75" customHeight="1">
      <c r="E833" s="123"/>
      <c r="H833" s="123"/>
    </row>
    <row r="834" ht="18.75" customHeight="1">
      <c r="E834" s="123"/>
      <c r="H834" s="123"/>
    </row>
    <row r="835" ht="18.75" customHeight="1">
      <c r="E835" s="123"/>
      <c r="H835" s="123"/>
    </row>
    <row r="836" ht="18.75" customHeight="1">
      <c r="E836" s="123"/>
      <c r="H836" s="123"/>
    </row>
    <row r="837" ht="18.75" customHeight="1">
      <c r="E837" s="123"/>
      <c r="H837" s="123"/>
    </row>
    <row r="838" ht="18.75" customHeight="1">
      <c r="E838" s="123"/>
      <c r="H838" s="123"/>
    </row>
    <row r="839" ht="18.75" customHeight="1">
      <c r="E839" s="123"/>
      <c r="H839" s="123"/>
    </row>
    <row r="840" ht="18.75" customHeight="1">
      <c r="E840" s="123"/>
      <c r="H840" s="123"/>
    </row>
    <row r="841" ht="18.75" customHeight="1">
      <c r="E841" s="123"/>
      <c r="H841" s="123"/>
    </row>
    <row r="842" ht="18.75" customHeight="1">
      <c r="E842" s="123"/>
      <c r="H842" s="123"/>
    </row>
    <row r="843" ht="18.75" customHeight="1">
      <c r="E843" s="123"/>
      <c r="H843" s="123"/>
    </row>
    <row r="844" ht="18.75" customHeight="1">
      <c r="E844" s="123"/>
      <c r="H844" s="123"/>
    </row>
    <row r="845" ht="18.75" customHeight="1">
      <c r="E845" s="123"/>
      <c r="H845" s="123"/>
    </row>
    <row r="846" ht="18.75" customHeight="1">
      <c r="E846" s="123"/>
      <c r="H846" s="123"/>
    </row>
    <row r="847" ht="18.75" customHeight="1">
      <c r="E847" s="123"/>
      <c r="H847" s="123"/>
    </row>
    <row r="848" ht="18.75" customHeight="1">
      <c r="E848" s="123"/>
      <c r="H848" s="123"/>
    </row>
    <row r="849" ht="18.75" customHeight="1">
      <c r="E849" s="123"/>
      <c r="H849" s="123"/>
    </row>
    <row r="850" ht="18.75" customHeight="1">
      <c r="E850" s="123"/>
      <c r="H850" s="123"/>
    </row>
    <row r="851" ht="18.75" customHeight="1">
      <c r="E851" s="123"/>
      <c r="H851" s="123"/>
    </row>
    <row r="852" ht="18.75" customHeight="1">
      <c r="E852" s="123"/>
      <c r="H852" s="123"/>
    </row>
    <row r="853" ht="18.75" customHeight="1">
      <c r="E853" s="123"/>
      <c r="H853" s="123"/>
    </row>
    <row r="854" ht="18.75" customHeight="1">
      <c r="E854" s="123"/>
      <c r="H854" s="123"/>
    </row>
    <row r="855" ht="18.75" customHeight="1">
      <c r="E855" s="123"/>
      <c r="H855" s="123"/>
    </row>
    <row r="856" ht="18.75" customHeight="1">
      <c r="E856" s="123"/>
      <c r="H856" s="123"/>
    </row>
    <row r="857" ht="18.75" customHeight="1">
      <c r="E857" s="123"/>
      <c r="H857" s="123"/>
    </row>
    <row r="858" ht="18.75" customHeight="1">
      <c r="E858" s="123"/>
      <c r="H858" s="123"/>
    </row>
    <row r="859" ht="18.75" customHeight="1">
      <c r="E859" s="123"/>
      <c r="H859" s="123"/>
    </row>
    <row r="860" ht="18.75" customHeight="1">
      <c r="E860" s="123"/>
      <c r="H860" s="123"/>
    </row>
    <row r="861" ht="18.75" customHeight="1">
      <c r="E861" s="123"/>
      <c r="H861" s="123"/>
    </row>
    <row r="862" ht="18.75" customHeight="1">
      <c r="E862" s="123"/>
      <c r="H862" s="123"/>
    </row>
    <row r="863" ht="18.75" customHeight="1">
      <c r="E863" s="123"/>
      <c r="H863" s="123"/>
    </row>
    <row r="864" ht="18.75" customHeight="1">
      <c r="E864" s="123"/>
      <c r="H864" s="123"/>
    </row>
    <row r="865" ht="18.75" customHeight="1">
      <c r="E865" s="123"/>
      <c r="H865" s="123"/>
    </row>
    <row r="866" ht="18.75" customHeight="1">
      <c r="E866" s="123"/>
      <c r="H866" s="123"/>
    </row>
    <row r="867" ht="18.75" customHeight="1">
      <c r="E867" s="123"/>
      <c r="H867" s="123"/>
    </row>
    <row r="868" ht="18.75" customHeight="1">
      <c r="E868" s="123"/>
      <c r="H868" s="123"/>
    </row>
    <row r="869" ht="18.75" customHeight="1">
      <c r="E869" s="123"/>
      <c r="H869" s="123"/>
    </row>
    <row r="870" ht="18.75" customHeight="1">
      <c r="E870" s="123"/>
      <c r="H870" s="123"/>
    </row>
    <row r="871" ht="18.75" customHeight="1">
      <c r="E871" s="123"/>
      <c r="H871" s="123"/>
    </row>
    <row r="872" ht="18.75" customHeight="1">
      <c r="E872" s="123"/>
      <c r="H872" s="123"/>
    </row>
    <row r="873" ht="18.75" customHeight="1">
      <c r="E873" s="123"/>
      <c r="H873" s="123"/>
    </row>
    <row r="874" ht="18.75" customHeight="1">
      <c r="E874" s="123"/>
      <c r="H874" s="123"/>
    </row>
    <row r="875" ht="18.75" customHeight="1">
      <c r="E875" s="123"/>
      <c r="H875" s="123"/>
    </row>
    <row r="876" ht="18.75" customHeight="1">
      <c r="E876" s="123"/>
      <c r="H876" s="123"/>
    </row>
    <row r="877" ht="18.75" customHeight="1">
      <c r="E877" s="123"/>
      <c r="H877" s="123"/>
    </row>
    <row r="878" ht="18.75" customHeight="1">
      <c r="E878" s="123"/>
      <c r="H878" s="123"/>
    </row>
    <row r="879" ht="18.75" customHeight="1">
      <c r="E879" s="123"/>
      <c r="H879" s="123"/>
    </row>
    <row r="880" ht="18.75" customHeight="1">
      <c r="E880" s="123"/>
      <c r="H880" s="123"/>
    </row>
    <row r="881" ht="18.75" customHeight="1">
      <c r="E881" s="123"/>
      <c r="H881" s="123"/>
    </row>
    <row r="882" ht="18.75" customHeight="1">
      <c r="E882" s="123"/>
      <c r="H882" s="123"/>
    </row>
    <row r="883" ht="18.75" customHeight="1">
      <c r="E883" s="123"/>
      <c r="H883" s="123"/>
    </row>
    <row r="884" ht="18.75" customHeight="1">
      <c r="E884" s="123"/>
      <c r="H884" s="123"/>
    </row>
    <row r="885" ht="18.75" customHeight="1">
      <c r="E885" s="123"/>
      <c r="H885" s="123"/>
    </row>
    <row r="886" ht="18.75" customHeight="1">
      <c r="E886" s="123"/>
      <c r="H886" s="123"/>
    </row>
    <row r="887" ht="18.75" customHeight="1">
      <c r="E887" s="123"/>
      <c r="H887" s="123"/>
    </row>
    <row r="888" ht="18.75" customHeight="1">
      <c r="E888" s="123"/>
      <c r="H888" s="123"/>
    </row>
    <row r="889" ht="18.75" customHeight="1">
      <c r="E889" s="123"/>
      <c r="H889" s="123"/>
    </row>
    <row r="890" ht="18.75" customHeight="1">
      <c r="E890" s="123"/>
      <c r="H890" s="123"/>
    </row>
    <row r="891" ht="18.75" customHeight="1">
      <c r="E891" s="123"/>
      <c r="H891" s="123"/>
    </row>
    <row r="892" ht="18.75" customHeight="1">
      <c r="E892" s="123"/>
      <c r="H892" s="123"/>
    </row>
    <row r="893" ht="18.75" customHeight="1">
      <c r="E893" s="123"/>
      <c r="H893" s="123"/>
    </row>
    <row r="894" ht="18.75" customHeight="1">
      <c r="E894" s="123"/>
      <c r="H894" s="123"/>
    </row>
    <row r="895" ht="18.75" customHeight="1">
      <c r="E895" s="123"/>
      <c r="H895" s="123"/>
    </row>
    <row r="896" ht="18.75" customHeight="1">
      <c r="E896" s="123"/>
      <c r="H896" s="123"/>
    </row>
    <row r="897" ht="18.75" customHeight="1">
      <c r="E897" s="123"/>
      <c r="H897" s="123"/>
    </row>
    <row r="898" ht="18.75" customHeight="1">
      <c r="E898" s="123"/>
      <c r="H898" s="123"/>
    </row>
    <row r="899" ht="18.75" customHeight="1">
      <c r="E899" s="123"/>
      <c r="H899" s="123"/>
    </row>
    <row r="900" ht="18.75" customHeight="1">
      <c r="E900" s="123"/>
      <c r="H900" s="123"/>
    </row>
    <row r="901" ht="18.75" customHeight="1">
      <c r="E901" s="123"/>
      <c r="H901" s="123"/>
    </row>
    <row r="902" ht="18.75" customHeight="1">
      <c r="E902" s="123"/>
      <c r="H902" s="123"/>
    </row>
    <row r="903" ht="18.75" customHeight="1">
      <c r="E903" s="123"/>
      <c r="H903" s="123"/>
    </row>
    <row r="904" ht="18.75" customHeight="1">
      <c r="E904" s="123"/>
      <c r="H904" s="123"/>
    </row>
    <row r="905" ht="18.75" customHeight="1">
      <c r="E905" s="123"/>
      <c r="H905" s="123"/>
    </row>
    <row r="906" ht="18.75" customHeight="1">
      <c r="H906" s="123"/>
    </row>
    <row r="907" ht="18.75" customHeight="1">
      <c r="H907" s="123"/>
    </row>
    <row r="908" ht="18.75" customHeight="1">
      <c r="H908" s="123"/>
    </row>
    <row r="909" ht="18.75" customHeight="1">
      <c r="H909" s="123"/>
    </row>
    <row r="910" ht="18.75" customHeight="1">
      <c r="H910" s="123"/>
    </row>
    <row r="911" ht="18.75" customHeight="1">
      <c r="H911" s="123"/>
    </row>
    <row r="912" ht="18.75" customHeight="1">
      <c r="H912" s="123"/>
    </row>
    <row r="913" ht="18.75" customHeight="1">
      <c r="H913" s="123"/>
    </row>
    <row r="914" ht="18.75" customHeight="1">
      <c r="H914" s="123"/>
    </row>
    <row r="915" ht="18.75" customHeight="1">
      <c r="H915" s="123"/>
    </row>
    <row r="916" ht="18.75" customHeight="1">
      <c r="H916" s="123"/>
    </row>
    <row r="917" ht="18.75" customHeight="1">
      <c r="H917" s="123"/>
    </row>
    <row r="918" ht="18.75" customHeight="1">
      <c r="H918" s="123"/>
    </row>
    <row r="919" ht="18.75" customHeight="1">
      <c r="H919" s="123"/>
    </row>
    <row r="920" ht="18.75" customHeight="1">
      <c r="H920" s="123"/>
    </row>
    <row r="921" ht="18.75" customHeight="1">
      <c r="H921" s="123"/>
    </row>
    <row r="922" ht="18.75" customHeight="1">
      <c r="H922" s="123"/>
    </row>
    <row r="923" ht="18.75" customHeight="1">
      <c r="H923" s="123"/>
    </row>
    <row r="924" ht="18.75" customHeight="1">
      <c r="H924" s="123"/>
    </row>
    <row r="925" ht="18.75" customHeight="1">
      <c r="H925" s="123"/>
    </row>
    <row r="926" ht="18.75" customHeight="1">
      <c r="H926" s="123"/>
    </row>
    <row r="927" ht="18.75" customHeight="1">
      <c r="H927" s="123"/>
    </row>
    <row r="928" ht="18.75" customHeight="1">
      <c r="H928" s="123"/>
    </row>
    <row r="929" ht="18.75" customHeight="1">
      <c r="H929" s="123"/>
    </row>
    <row r="930" ht="18.75" customHeight="1">
      <c r="H930" s="123"/>
    </row>
    <row r="931" ht="18.75" customHeight="1">
      <c r="H931" s="123"/>
    </row>
    <row r="932" ht="18.75" customHeight="1">
      <c r="H932" s="123"/>
    </row>
    <row r="933" ht="18.75" customHeight="1">
      <c r="H933" s="123"/>
    </row>
    <row r="934" ht="18.75" customHeight="1">
      <c r="H934" s="123"/>
    </row>
    <row r="935" ht="18.75" customHeight="1">
      <c r="H935" s="123"/>
    </row>
    <row r="936" ht="18.75" customHeight="1">
      <c r="H936" s="123"/>
    </row>
    <row r="937" ht="18.75" customHeight="1">
      <c r="H937" s="123"/>
    </row>
    <row r="938" ht="18.75" customHeight="1">
      <c r="H938" s="123"/>
    </row>
    <row r="939" ht="18.75" customHeight="1">
      <c r="H939" s="123"/>
    </row>
    <row r="940" ht="18.75" customHeight="1">
      <c r="H940" s="123"/>
    </row>
    <row r="941" ht="18.75" customHeight="1">
      <c r="H941" s="123"/>
    </row>
    <row r="942" ht="18.75" customHeight="1">
      <c r="H942" s="123"/>
    </row>
    <row r="943" ht="18.75" customHeight="1">
      <c r="H943" s="123"/>
    </row>
    <row r="944" ht="18.75" customHeight="1">
      <c r="H944" s="123"/>
    </row>
    <row r="945" ht="18.75" customHeight="1">
      <c r="H945" s="123"/>
    </row>
    <row r="946" ht="18.75" customHeight="1">
      <c r="H946" s="123"/>
    </row>
    <row r="947" ht="18.75" customHeight="1">
      <c r="H947" s="123"/>
    </row>
    <row r="948" ht="18.75" customHeight="1">
      <c r="H948" s="123"/>
    </row>
    <row r="949" ht="18.75" customHeight="1">
      <c r="H949" s="123"/>
    </row>
    <row r="950" ht="18.75" customHeight="1">
      <c r="H950" s="123"/>
    </row>
    <row r="951" ht="18.75" customHeight="1">
      <c r="H951" s="123"/>
    </row>
    <row r="952" ht="18.75" customHeight="1">
      <c r="H952" s="123"/>
    </row>
    <row r="953" ht="18.75" customHeight="1">
      <c r="H953" s="123"/>
    </row>
    <row r="954" ht="18.75" customHeight="1">
      <c r="H954" s="123"/>
    </row>
    <row r="955" ht="18.75" customHeight="1">
      <c r="H955" s="123"/>
    </row>
    <row r="956" ht="18.75" customHeight="1">
      <c r="H956" s="123"/>
    </row>
    <row r="957" ht="18.75" customHeight="1">
      <c r="H957" s="123"/>
    </row>
    <row r="958" ht="18.75" customHeight="1">
      <c r="H958" s="123"/>
    </row>
    <row r="959" ht="18.75" customHeight="1">
      <c r="H959" s="123"/>
    </row>
    <row r="960" ht="18.75" customHeight="1">
      <c r="H960" s="123"/>
    </row>
    <row r="961" ht="18.75" customHeight="1">
      <c r="H961" s="123"/>
    </row>
    <row r="962" ht="18.75" customHeight="1">
      <c r="H962" s="123"/>
    </row>
    <row r="963" ht="18.75" customHeight="1">
      <c r="H963" s="123"/>
    </row>
    <row r="964" ht="18.75" customHeight="1">
      <c r="H964" s="123"/>
    </row>
    <row r="965" ht="18.75" customHeight="1">
      <c r="H965" s="123"/>
    </row>
    <row r="966" ht="18.75" customHeight="1">
      <c r="H966" s="123"/>
    </row>
    <row r="967" ht="18.75" customHeight="1">
      <c r="H967" s="123"/>
    </row>
    <row r="968" ht="18.75" customHeight="1">
      <c r="H968" s="123"/>
    </row>
    <row r="969" ht="18.75" customHeight="1">
      <c r="H969" s="123"/>
    </row>
    <row r="970" ht="18.75" customHeight="1">
      <c r="H970" s="123"/>
    </row>
    <row r="971" ht="18.75" customHeight="1">
      <c r="H971" s="123"/>
    </row>
    <row r="972" ht="18.75" customHeight="1">
      <c r="H972" s="123"/>
    </row>
    <row r="973" ht="18.75" customHeight="1">
      <c r="H973" s="123"/>
    </row>
    <row r="974" ht="18.75" customHeight="1">
      <c r="H974" s="123"/>
    </row>
    <row r="975" ht="18.75" customHeight="1">
      <c r="H975" s="123"/>
    </row>
    <row r="976" ht="18.75" customHeight="1">
      <c r="H976" s="123"/>
    </row>
    <row r="977" ht="18.75" customHeight="1">
      <c r="H977" s="123"/>
    </row>
    <row r="978" ht="18.75" customHeight="1">
      <c r="H978" s="123"/>
    </row>
    <row r="979" ht="18.75" customHeight="1">
      <c r="H979" s="123"/>
    </row>
    <row r="980" ht="18.75" customHeight="1">
      <c r="H980" s="123"/>
    </row>
    <row r="981" ht="18.75" customHeight="1">
      <c r="H981" s="123"/>
    </row>
    <row r="982" ht="18.75" customHeight="1">
      <c r="H982" s="123"/>
    </row>
    <row r="983" ht="18.75" customHeight="1">
      <c r="H983" s="123"/>
    </row>
    <row r="984" ht="18.75" customHeight="1">
      <c r="H984" s="123"/>
    </row>
    <row r="985" ht="18.75" customHeight="1">
      <c r="H985" s="123"/>
    </row>
    <row r="986" ht="18.75" customHeight="1">
      <c r="H986" s="123"/>
    </row>
    <row r="987" ht="18.75" customHeight="1">
      <c r="H987" s="123"/>
    </row>
    <row r="988" ht="18.75" customHeight="1">
      <c r="H988" s="123"/>
    </row>
    <row r="989" ht="18.75" customHeight="1">
      <c r="H989" s="123"/>
    </row>
    <row r="990" ht="18.75" customHeight="1">
      <c r="H990" s="123"/>
    </row>
    <row r="991" ht="18.75" customHeight="1">
      <c r="H991" s="123"/>
    </row>
    <row r="992" ht="18.75" customHeight="1">
      <c r="H992" s="123"/>
    </row>
    <row r="993" ht="18.75" customHeight="1">
      <c r="H993" s="123"/>
    </row>
    <row r="994" ht="18.75" customHeight="1">
      <c r="H994" s="123"/>
    </row>
    <row r="995" ht="18.75" customHeight="1">
      <c r="H995" s="123"/>
    </row>
    <row r="996" ht="18.75" customHeight="1">
      <c r="H996" s="123"/>
    </row>
    <row r="997" ht="18.75" customHeight="1">
      <c r="H997" s="123"/>
    </row>
    <row r="998" ht="18.75" customHeight="1">
      <c r="H998" s="123"/>
    </row>
    <row r="999" ht="18.75" customHeight="1">
      <c r="H999" s="123"/>
    </row>
    <row r="1000" ht="18.75" customHeight="1">
      <c r="H1000" s="123"/>
    </row>
    <row r="1001" ht="18.75" customHeight="1">
      <c r="H1001" s="123"/>
    </row>
    <row r="1002" ht="18.75" customHeight="1">
      <c r="H1002" s="123"/>
    </row>
    <row r="1003" ht="18.75" customHeight="1">
      <c r="H1003" s="123"/>
    </row>
    <row r="1004" ht="18.75" customHeight="1">
      <c r="H1004" s="123"/>
    </row>
    <row r="1005" ht="18.75" customHeight="1">
      <c r="H1005" s="123"/>
    </row>
    <row r="1006" ht="18.75" customHeight="1">
      <c r="H1006" s="123"/>
    </row>
  </sheetData>
  <mergeCells count="23">
    <mergeCell ref="A1:F1"/>
    <mergeCell ref="H1:J1"/>
    <mergeCell ref="A2:F2"/>
    <mergeCell ref="A3:A6"/>
    <mergeCell ref="B3:B6"/>
    <mergeCell ref="E3:E6"/>
    <mergeCell ref="F3:F6"/>
    <mergeCell ref="L5:P5"/>
    <mergeCell ref="L26:M26"/>
    <mergeCell ref="H28:J28"/>
    <mergeCell ref="L33:L37"/>
    <mergeCell ref="L38:M38"/>
    <mergeCell ref="L39:L43"/>
    <mergeCell ref="L44:M44"/>
    <mergeCell ref="H50:K50"/>
    <mergeCell ref="C3:D3"/>
    <mergeCell ref="C4:C5"/>
    <mergeCell ref="D4:D5"/>
    <mergeCell ref="L7:L15"/>
    <mergeCell ref="L16:M16"/>
    <mergeCell ref="L17:L25"/>
    <mergeCell ref="L27:L31"/>
    <mergeCell ref="L32:M32"/>
  </mergeCells>
  <dataValidations>
    <dataValidation type="list" allowBlank="1" showErrorMessage="1" sqref="E8:E105">
      <formula1>"1,1,1,2,1,3,2,1,2,2,2,3,2,4,2,5,2,6,2,7,2,8,2,9,2,11,2,12"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