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09" sheetId="1" r:id="rId4"/>
    <sheet state="visible" name="Tháng 10" sheetId="2" r:id="rId5"/>
    <sheet state="visible" name="Tháng 11" sheetId="3" r:id="rId6"/>
    <sheet state="visible" name="Tháng 12" sheetId="4" r:id="rId7"/>
    <sheet state="visible" name="Tháng1" sheetId="5" r:id="rId8"/>
  </sheets>
  <definedNames/>
  <calcPr/>
  <extLst>
    <ext uri="GoogleSheetsCustomDataVersion2">
      <go:sheetsCustomData xmlns:go="http://customooxmlschemas.google.com/" r:id="rId9" roundtripDataChecksum="eOlcDZaxY1ABrX8zQAAO6kfw3Zs7rY1o0F9qxiDnuHw="/>
    </ext>
  </extLst>
</workbook>
</file>

<file path=xl/sharedStrings.xml><?xml version="1.0" encoding="utf-8"?>
<sst xmlns="http://schemas.openxmlformats.org/spreadsheetml/2006/main" count="458" uniqueCount="83">
  <si>
    <t>STT</t>
  </si>
  <si>
    <t>Ngày</t>
  </si>
  <si>
    <t>Số tiền</t>
  </si>
  <si>
    <t>KHOẢN</t>
  </si>
  <si>
    <t>TÀI KHOẢN QC</t>
  </si>
  <si>
    <t>DIỄN GIẢI</t>
  </si>
  <si>
    <t>THU</t>
  </si>
  <si>
    <t>CHI</t>
  </si>
  <si>
    <t>Thu</t>
  </si>
  <si>
    <t>Chi</t>
  </si>
  <si>
    <t>28/8/2025</t>
  </si>
  <si>
    <t>Không phải Facebook</t>
  </si>
  <si>
    <t>Facebook</t>
  </si>
  <si>
    <t>29/8/2025</t>
  </si>
  <si>
    <t>Facebook ngoại tệ</t>
  </si>
  <si>
    <t>Phí giao dịch nội tệ nước ngoài</t>
  </si>
  <si>
    <t>30/8/2025</t>
  </si>
  <si>
    <t>GPT - 10/10</t>
  </si>
  <si>
    <t>PKH - T09</t>
  </si>
  <si>
    <t>Tuyển dụng LHI - T09</t>
  </si>
  <si>
    <t>Đất Lâm Đồng Tháng 10</t>
  </si>
  <si>
    <t>31/8/2025</t>
  </si>
  <si>
    <t>1/9/2025</t>
  </si>
  <si>
    <t>3/9/2025</t>
  </si>
  <si>
    <t>2/9/2025</t>
  </si>
  <si>
    <t>4/9/2025</t>
  </si>
  <si>
    <t>5/9/2025</t>
  </si>
  <si>
    <t>6/9/2025</t>
  </si>
  <si>
    <t>7/9/2025</t>
  </si>
  <si>
    <t>8/9/2025</t>
  </si>
  <si>
    <t>9/9/2025</t>
  </si>
  <si>
    <t>11/9/2025</t>
  </si>
  <si>
    <t>10/9/2025</t>
  </si>
  <si>
    <t>12/9/2025</t>
  </si>
  <si>
    <t>13/9/2025</t>
  </si>
  <si>
    <t>15/9/2025</t>
  </si>
  <si>
    <t>14/9/2025</t>
  </si>
  <si>
    <t>16/9/2025</t>
  </si>
  <si>
    <t>17/9/2025</t>
  </si>
  <si>
    <t>18/9/2025</t>
  </si>
  <si>
    <t>TỔNG</t>
  </si>
  <si>
    <t xml:space="preserve">Dư nợ kỳ trước </t>
  </si>
  <si>
    <t>là nợ cũ còn sót lại của bạn bước sang kỳ mới.</t>
  </si>
  <si>
    <t>Số tiền đã thanh toán</t>
  </si>
  <si>
    <t>là số tiền chênh lệch giữa thu và chi trong kỳ</t>
  </si>
  <si>
    <t>Dư nợ cuối kỳ này</t>
  </si>
  <si>
    <t>là tổng nợ hiện tại bạn cần thanh toán.</t>
  </si>
  <si>
    <t>Ngày (cập nhật hệ thống)</t>
  </si>
  <si>
    <t>TÀI KHOẢN QUẢNG CÁO</t>
  </si>
  <si>
    <t>Đọc trong phần diễn giải giao dịch sẽ có nội dung của phân loại KHOẢN</t>
  </si>
  <si>
    <t>hoàn</t>
  </si>
  <si>
    <t>CTY TNHH DV TM D PHUC HO CHI MINH VN</t>
  </si>
  <si>
    <t>CMC PETROLECONIC M1 HO CHI MINH VN</t>
  </si>
  <si>
    <t>CMC PETROLECONIC M2 HO CHI MINH VN</t>
  </si>
  <si>
    <t>CT TNHH TH LOGICTICS 2 HO CHI MINH VN</t>
  </si>
  <si>
    <t>CHATGPT SUBSCR US</t>
  </si>
  <si>
    <t>Số dư khả dụng</t>
  </si>
  <si>
    <t>Ngày (giao dịch)</t>
  </si>
  <si>
    <t>Nội dung</t>
  </si>
  <si>
    <t>20/10/25</t>
  </si>
  <si>
    <t>GPT - 24/10</t>
  </si>
  <si>
    <t>Hoàn trừ 20/10</t>
  </si>
  <si>
    <t>Chị Hường 20/10</t>
  </si>
  <si>
    <t>vn 6</t>
  </si>
  <si>
    <t>vn 10</t>
  </si>
  <si>
    <t>Charm Long Hải - GPT - T10</t>
  </si>
  <si>
    <t>vn 7</t>
  </si>
  <si>
    <t>Đất Phương Nam - 12/10</t>
  </si>
  <si>
    <t>Các lệnh trừ không có trong app ngân hàng</t>
  </si>
  <si>
    <t>23/10/25</t>
  </si>
  <si>
    <t>21/10/25</t>
  </si>
  <si>
    <t>22/10/25</t>
  </si>
  <si>
    <t>Tổng</t>
  </si>
  <si>
    <t>Hoàn trừ ngày 19/10</t>
  </si>
  <si>
    <t>24/10/25</t>
  </si>
  <si>
    <t>Số tiền đã thanh toán theo sao kê</t>
  </si>
  <si>
    <t>không có hiển thị giao dịch trừ ngoại tệ trong biến động số dư app ngân hàng</t>
  </si>
  <si>
    <t>Phí nền tảng cấn trừ tự động 1,1%</t>
  </si>
  <si>
    <t>Trừ phí thường niên</t>
  </si>
  <si>
    <t>Hoàn phí thường niên</t>
  </si>
  <si>
    <t>Trừ tiền 22 đô</t>
  </si>
  <si>
    <t>Số dư khả dụng cuối kỳ</t>
  </si>
  <si>
    <t>là số dư khả dụng đầu kỳ và số tiền đã thanh toán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</si>
</sst>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#,##0&quot; ₫&quot;[$-vi-VN]_);(#,##0&quot; ₫&quot;[$-vi-VN])"/>
    <numFmt numFmtId="166" formatCode="#,##0\ [$đ-42A]"/>
    <numFmt numFmtId="167" formatCode="#,##0.00\ [$đ-42A]"/>
    <numFmt numFmtId="168" formatCode="0.0%"/>
  </numFmts>
  <fonts count="21">
    <font>
      <sz val="10.0"/>
      <color theme="1"/>
      <name val="Calibri"/>
      <scheme val="minor"/>
    </font>
    <font>
      <b/>
      <sz val="12.0"/>
      <color rgb="FF000000"/>
      <name val="Calibri"/>
    </font>
    <font/>
    <font>
      <sz val="9.0"/>
      <color rgb="FF000000"/>
      <name val="Calibri"/>
    </font>
    <font>
      <b/>
      <sz val="9.0"/>
      <color rgb="FF000000"/>
      <name val="Calibri"/>
    </font>
    <font>
      <sz val="10.0"/>
      <color rgb="FF000000"/>
      <name val="Calibri"/>
    </font>
    <font>
      <sz val="9.0"/>
      <color rgb="FF495700"/>
      <name val="Calibri"/>
    </font>
    <font>
      <sz val="9.0"/>
      <color rgb="FF037EAA"/>
      <name val="Calibri"/>
    </font>
    <font>
      <sz val="9.0"/>
      <color rgb="FFDC9B04"/>
      <name val="Calibri"/>
    </font>
    <font>
      <sz val="9.0"/>
      <color rgb="FF133C9A"/>
      <name val="Calibri"/>
    </font>
    <font>
      <sz val="9.0"/>
      <color rgb="FFF14BA9"/>
      <name val="Calibri"/>
    </font>
    <font>
      <sz val="9.0"/>
      <color rgb="FFF54A45"/>
      <name val="Calibri"/>
    </font>
    <font>
      <b/>
      <sz val="10.0"/>
      <color rgb="FF000000"/>
      <name val="Calibri"/>
    </font>
    <font>
      <b/>
      <sz val="9.0"/>
      <color rgb="FFF54A45"/>
      <name val="Calibri"/>
    </font>
    <font>
      <sz val="9.0"/>
      <color rgb="FFDE7802"/>
      <name val="Calibri"/>
    </font>
    <font>
      <sz val="9.0"/>
      <color rgb="FF3370FF"/>
      <name val="Calibri"/>
    </font>
    <font>
      <sz val="9.0"/>
      <color rgb="FF2EA121"/>
      <name val="Calibri"/>
    </font>
    <font>
      <sz val="9.0"/>
      <color rgb="FFD83931"/>
      <name val="Calibri"/>
    </font>
    <font>
      <sz val="9.0"/>
      <color rgb="FFFF8800"/>
      <name val="Calibri"/>
    </font>
    <font>
      <color theme="1"/>
      <name val="Calibri"/>
      <scheme val="minor"/>
    </font>
    <font>
      <b/>
      <sz val="10.0"/>
      <color rgb="FFF54A45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0504D"/>
        <bgColor rgb="FFC0504D"/>
      </patternFill>
    </fill>
    <fill>
      <patternFill patternType="solid">
        <fgColor rgb="FFFF66CC"/>
        <bgColor rgb="FFFF66CC"/>
      </patternFill>
    </fill>
    <fill>
      <patternFill patternType="solid">
        <fgColor rgb="FFFF0000"/>
        <bgColor rgb="FFFF0000"/>
      </patternFill>
    </fill>
    <fill>
      <patternFill patternType="solid">
        <fgColor rgb="FFD5F6F2"/>
        <bgColor rgb="FFD5F6F2"/>
      </patternFill>
    </fill>
    <fill>
      <patternFill patternType="solid">
        <fgColor rgb="FFFAD355"/>
        <bgColor rgb="FFFAD355"/>
      </patternFill>
    </fill>
    <fill>
      <patternFill patternType="solid">
        <fgColor rgb="FFFFFF00"/>
        <bgColor rgb="FFFFFF00"/>
      </patternFill>
    </fill>
    <fill>
      <patternFill patternType="solid">
        <fgColor rgb="FF14C0FF"/>
        <bgColor rgb="FF14C0FF"/>
      </patternFill>
    </fill>
    <fill>
      <patternFill patternType="solid">
        <fgColor rgb="FF8EE085"/>
        <bgColor rgb="FF8EE085"/>
      </patternFill>
    </fill>
    <fill>
      <patternFill patternType="solid">
        <fgColor rgb="FF00FFFF"/>
        <bgColor rgb="FF00FFFF"/>
      </patternFill>
    </fill>
  </fills>
  <borders count="22">
    <border/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top style="thin">
        <color rgb="FF1F2329"/>
      </top>
      <bottom style="thin">
        <color rgb="FF1F2329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</border>
    <border>
      <right style="thin">
        <color rgb="FF000000"/>
      </right>
      <top/>
    </border>
    <border>
      <left/>
      <bottom style="thin">
        <color rgb="FF000000"/>
      </bottom>
    </border>
    <border>
      <left style="thin">
        <color rgb="FF1F2329"/>
      </left>
      <right style="thin">
        <color rgb="FF1F2329"/>
      </right>
      <top style="thin">
        <color rgb="FF1F2329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164" xfId="0" applyAlignment="1" applyBorder="1" applyFont="1" applyNumberForma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vertical="center"/>
    </xf>
    <xf borderId="2" fillId="2" fontId="1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3" fontId="1" numFmtId="0" xfId="0" applyAlignment="1" applyBorder="1" applyFill="1" applyFont="1">
      <alignment horizontal="center" shrinkToFit="0" vertical="bottom" wrapText="1"/>
    </xf>
    <xf borderId="8" fillId="4" fontId="1" numFmtId="3" xfId="0" applyAlignment="1" applyBorder="1" applyFill="1" applyFont="1" applyNumberFormat="1">
      <alignment horizontal="center" shrinkToFit="0" vertical="bottom" wrapText="1"/>
    </xf>
    <xf borderId="9" fillId="0" fontId="3" numFmtId="0" xfId="0" applyAlignment="1" applyBorder="1" applyFont="1">
      <alignment horizontal="center" vertical="center"/>
    </xf>
    <xf borderId="9" fillId="5" fontId="4" numFmtId="0" xfId="0" applyAlignment="1" applyBorder="1" applyFill="1" applyFont="1">
      <alignment vertical="center"/>
    </xf>
    <xf borderId="9" fillId="5" fontId="4" numFmtId="165" xfId="0" applyAlignment="1" applyBorder="1" applyFont="1" applyNumberFormat="1">
      <alignment vertical="center"/>
    </xf>
    <xf borderId="5" fillId="0" fontId="5" numFmtId="0" xfId="0" applyAlignment="1" applyBorder="1" applyFont="1">
      <alignment horizontal="center" shrinkToFit="0" vertical="bottom" wrapText="1"/>
    </xf>
    <xf borderId="10" fillId="0" fontId="5" numFmtId="164" xfId="0" applyAlignment="1" applyBorder="1" applyFont="1" applyNumberFormat="1">
      <alignment horizontal="center" shrinkToFit="0" vertical="bottom" wrapText="1"/>
    </xf>
    <xf borderId="11" fillId="0" fontId="3" numFmtId="165" xfId="0" applyAlignment="1" applyBorder="1" applyFont="1" applyNumberFormat="1">
      <alignment shrinkToFit="0" vertical="bottom" wrapText="1"/>
    </xf>
    <xf borderId="9" fillId="0" fontId="3" numFmtId="165" xfId="0" applyAlignment="1" applyBorder="1" applyFont="1" applyNumberFormat="1">
      <alignment horizontal="right" vertical="center"/>
    </xf>
    <xf borderId="10" fillId="0" fontId="3" numFmtId="0" xfId="0" applyAlignment="1" applyBorder="1" applyFont="1">
      <alignment horizontal="center" shrinkToFit="0" vertical="bottom" wrapText="1"/>
    </xf>
    <xf borderId="10" fillId="0" fontId="5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vertical="center"/>
    </xf>
    <xf borderId="9" fillId="0" fontId="3" numFmtId="165" xfId="0" applyAlignment="1" applyBorder="1" applyFont="1" applyNumberFormat="1">
      <alignment vertical="center"/>
    </xf>
    <xf borderId="11" fillId="0" fontId="5" numFmtId="165" xfId="0" applyAlignment="1" applyBorder="1" applyFont="1" applyNumberFormat="1">
      <alignment horizontal="right" shrinkToFit="0" vertical="bottom" wrapText="1"/>
    </xf>
    <xf borderId="10" fillId="0" fontId="3" numFmtId="164" xfId="0" applyAlignment="1" applyBorder="1" applyFont="1" applyNumberFormat="1">
      <alignment horizontal="center" shrinkToFit="0" vertical="bottom" wrapText="1"/>
    </xf>
    <xf borderId="11" fillId="0" fontId="3" numFmtId="165" xfId="0" applyAlignment="1" applyBorder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shrinkToFit="0" vertical="bottom" wrapText="1"/>
    </xf>
    <xf borderId="12" fillId="0" fontId="3" numFmtId="165" xfId="0" applyAlignment="1" applyBorder="1" applyFont="1" applyNumberFormat="1">
      <alignment horizontal="right" vertical="center"/>
    </xf>
    <xf borderId="11" fillId="0" fontId="3" numFmtId="164" xfId="0" applyAlignment="1" applyBorder="1" applyFont="1" applyNumberFormat="1">
      <alignment horizontal="center" shrinkToFit="0" vertical="bottom" wrapText="1"/>
    </xf>
    <xf borderId="13" fillId="0" fontId="3" numFmtId="0" xfId="0" applyAlignment="1" applyBorder="1" applyFont="1">
      <alignment vertical="center"/>
    </xf>
    <xf borderId="9" fillId="0" fontId="3" numFmtId="165" xfId="0" applyAlignment="1" applyBorder="1" applyFont="1" applyNumberFormat="1">
      <alignment horizontal="right" shrinkToFit="0" vertical="bottom" wrapText="1"/>
    </xf>
    <xf borderId="0" fillId="0" fontId="3" numFmtId="165" xfId="0" applyAlignment="1" applyFont="1" applyNumberFormat="1">
      <alignment vertical="center"/>
    </xf>
    <xf borderId="10" fillId="0" fontId="3" numFmtId="165" xfId="0" applyAlignment="1" applyBorder="1" applyFont="1" applyNumberFormat="1">
      <alignment horizontal="right" shrinkToFit="0" vertical="bottom" wrapText="1"/>
    </xf>
    <xf borderId="9" fillId="6" fontId="4" numFmtId="0" xfId="0" applyAlignment="1" applyBorder="1" applyFill="1" applyFont="1">
      <alignment vertical="center"/>
    </xf>
    <xf borderId="9" fillId="6" fontId="4" numFmtId="165" xfId="0" applyAlignment="1" applyBorder="1" applyFont="1" applyNumberFormat="1">
      <alignment vertical="center"/>
    </xf>
    <xf borderId="14" fillId="0" fontId="3" numFmtId="164" xfId="0" applyAlignment="1" applyBorder="1" applyFont="1" applyNumberFormat="1">
      <alignment horizontal="center" shrinkToFit="0" vertical="bottom" wrapText="1"/>
    </xf>
    <xf borderId="14" fillId="0" fontId="3" numFmtId="165" xfId="0" applyAlignment="1" applyBorder="1" applyFont="1" applyNumberFormat="1">
      <alignment shrinkToFit="0" vertical="bottom" wrapText="1"/>
    </xf>
    <xf borderId="10" fillId="0" fontId="3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horizontal="center" shrinkToFit="0" vertical="bottom" wrapText="1"/>
    </xf>
    <xf borderId="9" fillId="0" fontId="3" numFmtId="164" xfId="0" applyAlignment="1" applyBorder="1" applyFont="1" applyNumberFormat="1">
      <alignment horizontal="center" vertical="center"/>
    </xf>
    <xf borderId="9" fillId="0" fontId="3" numFmtId="165" xfId="0" applyAlignment="1" applyBorder="1" applyFont="1" applyNumberFormat="1">
      <alignment shrinkToFit="0" vertical="bottom" wrapText="1"/>
    </xf>
    <xf borderId="9" fillId="0" fontId="3" numFmtId="164" xfId="0" applyAlignment="1" applyBorder="1" applyFont="1" applyNumberFormat="1">
      <alignment horizontal="center" shrinkToFit="0" vertical="bottom" wrapText="1"/>
    </xf>
    <xf borderId="10" fillId="0" fontId="3" numFmtId="165" xfId="0" applyAlignment="1" applyBorder="1" applyFont="1" applyNumberFormat="1">
      <alignment shrinkToFit="0" vertical="bottom" wrapText="1"/>
    </xf>
    <xf borderId="10" fillId="0" fontId="5" numFmtId="49" xfId="0" applyAlignment="1" applyBorder="1" applyFont="1" applyNumberFormat="1">
      <alignment horizontal="center" shrinkToFit="0" vertical="bottom" wrapText="1"/>
    </xf>
    <xf borderId="10" fillId="0" fontId="3" numFmtId="49" xfId="0" applyAlignment="1" applyBorder="1" applyFont="1" applyNumberFormat="1">
      <alignment horizontal="center" shrinkToFit="0" vertical="bottom" wrapText="1"/>
    </xf>
    <xf borderId="14" fillId="0" fontId="3" numFmtId="165" xfId="0" applyAlignment="1" applyBorder="1" applyFont="1" applyNumberFormat="1">
      <alignment horizontal="right" shrinkToFit="0" vertical="bottom" wrapText="1"/>
    </xf>
    <xf borderId="9" fillId="0" fontId="3" numFmtId="165" xfId="0" applyAlignment="1" applyBorder="1" applyFont="1" applyNumberFormat="1">
      <alignment horizontal="right" vertical="top"/>
    </xf>
    <xf borderId="14" fillId="0" fontId="5" numFmtId="0" xfId="0" applyAlignment="1" applyBorder="1" applyFont="1">
      <alignment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9" fillId="0" fontId="3" numFmtId="0" xfId="0" applyAlignment="1" applyBorder="1" applyFont="1">
      <alignment shrinkToFit="0" vertical="bottom" wrapText="1"/>
    </xf>
    <xf borderId="9" fillId="0" fontId="5" numFmtId="0" xfId="0" applyAlignment="1" applyBorder="1" applyFont="1">
      <alignment shrinkToFit="0" vertical="bottom" wrapText="1"/>
    </xf>
    <xf borderId="10" fillId="0" fontId="6" numFmtId="165" xfId="0" applyAlignment="1" applyBorder="1" applyFont="1" applyNumberFormat="1">
      <alignment horizontal="right" shrinkToFit="0" vertical="bottom" wrapText="1"/>
    </xf>
    <xf borderId="10" fillId="0" fontId="7" numFmtId="165" xfId="0" applyAlignment="1" applyBorder="1" applyFont="1" applyNumberFormat="1">
      <alignment horizontal="right" shrinkToFit="0" vertical="bottom" wrapText="1"/>
    </xf>
    <xf borderId="10" fillId="0" fontId="8" numFmtId="165" xfId="0" applyAlignment="1" applyBorder="1" applyFont="1" applyNumberFormat="1">
      <alignment horizontal="right" shrinkToFit="0" vertical="bottom" wrapText="1"/>
    </xf>
    <xf borderId="14" fillId="0" fontId="8" numFmtId="165" xfId="0" applyAlignment="1" applyBorder="1" applyFont="1" applyNumberFormat="1">
      <alignment horizontal="right" shrinkToFit="0" vertical="bottom" wrapText="1"/>
    </xf>
    <xf borderId="9" fillId="0" fontId="9" numFmtId="165" xfId="0" applyAlignment="1" applyBorder="1" applyFont="1" applyNumberFormat="1">
      <alignment horizontal="right" vertical="top"/>
    </xf>
    <xf borderId="10" fillId="0" fontId="10" numFmtId="165" xfId="0" applyAlignment="1" applyBorder="1" applyFont="1" applyNumberFormat="1">
      <alignment horizontal="right" shrinkToFit="0" vertical="bottom" wrapText="1"/>
    </xf>
    <xf borderId="10" fillId="0" fontId="11" numFmtId="165" xfId="0" applyAlignment="1" applyBorder="1" applyFont="1" applyNumberFormat="1">
      <alignment horizontal="right" shrinkToFit="0" vertical="bottom" wrapText="1"/>
    </xf>
    <xf borderId="5" fillId="0" fontId="12" numFmtId="0" xfId="0" applyAlignment="1" applyBorder="1" applyFont="1">
      <alignment horizontal="center" shrinkToFit="0" vertical="bottom" wrapText="1"/>
    </xf>
    <xf borderId="10" fillId="0" fontId="12" numFmtId="165" xfId="0" applyAlignment="1" applyBorder="1" applyFont="1" applyNumberFormat="1">
      <alignment horizontal="right" shrinkToFit="0" vertical="bottom" wrapText="1"/>
    </xf>
    <xf borderId="10" fillId="0" fontId="12" numFmtId="165" xfId="0" applyAlignment="1" applyBorder="1" applyFont="1" applyNumberFormat="1">
      <alignment horizontal="center" shrinkToFit="0" vertical="bottom" wrapText="1"/>
    </xf>
    <xf borderId="10" fillId="0" fontId="12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7" fillId="3" fontId="1" numFmtId="0" xfId="0" applyAlignment="1" applyBorder="1" applyFont="1">
      <alignment horizontal="center" shrinkToFit="0" vertical="center" wrapText="1"/>
    </xf>
    <xf borderId="8" fillId="4" fontId="1" numFmtId="3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bottom" wrapText="1"/>
    </xf>
    <xf borderId="9" fillId="0" fontId="5" numFmtId="0" xfId="0" applyAlignment="1" applyBorder="1" applyFont="1">
      <alignment horizontal="center" shrinkToFit="0" vertical="bottom" wrapText="1"/>
    </xf>
    <xf borderId="10" fillId="0" fontId="14" numFmtId="165" xfId="0" applyAlignment="1" applyBorder="1" applyFont="1" applyNumberFormat="1">
      <alignment horizontal="right" shrinkToFit="0" vertical="bottom" wrapText="1"/>
    </xf>
    <xf borderId="10" fillId="0" fontId="14" numFmtId="165" xfId="0" applyAlignment="1" applyBorder="1" applyFont="1" applyNumberFormat="1">
      <alignment shrinkToFit="0" vertical="bottom" wrapText="1"/>
    </xf>
    <xf borderId="10" fillId="0" fontId="15" numFmtId="165" xfId="0" applyAlignment="1" applyBorder="1" applyFont="1" applyNumberFormat="1">
      <alignment horizontal="right" shrinkToFit="0" vertical="bottom" wrapText="1"/>
    </xf>
    <xf borderId="10" fillId="0" fontId="16" numFmtId="165" xfId="0" applyAlignment="1" applyBorder="1" applyFont="1" applyNumberFormat="1">
      <alignment horizontal="right" shrinkToFit="0" vertical="bottom" wrapText="1"/>
    </xf>
    <xf borderId="10" fillId="0" fontId="17" numFmtId="165" xfId="0" applyAlignment="1" applyBorder="1" applyFont="1" applyNumberFormat="1">
      <alignment horizontal="right" shrinkToFit="0" vertical="bottom" wrapText="1"/>
    </xf>
    <xf borderId="14" fillId="0" fontId="9" numFmtId="165" xfId="0" applyAlignment="1" applyBorder="1" applyFont="1" applyNumberFormat="1">
      <alignment horizontal="right" shrinkToFit="0" vertical="bottom" wrapText="1"/>
    </xf>
    <xf borderId="10" fillId="0" fontId="9" numFmtId="165" xfId="0" applyAlignment="1" applyBorder="1" applyFont="1" applyNumberFormat="1">
      <alignment horizontal="right" shrinkToFit="0" vertical="bottom" wrapText="1"/>
    </xf>
    <xf borderId="10" fillId="0" fontId="18" numFmtId="165" xfId="0" applyAlignment="1" applyBorder="1" applyFont="1" applyNumberFormat="1">
      <alignment horizontal="right" shrinkToFit="0" vertical="bottom" wrapText="1"/>
    </xf>
    <xf borderId="0" fillId="0" fontId="19" numFmtId="0" xfId="0" applyAlignment="1" applyFont="1">
      <alignment vertical="center"/>
    </xf>
    <xf borderId="11" fillId="0" fontId="1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vertical="center"/>
    </xf>
    <xf borderId="10" fillId="0" fontId="12" numFmtId="3" xfId="0" applyAlignment="1" applyBorder="1" applyFont="1" applyNumberForma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14" fillId="0" fontId="1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0" numFmtId="0" xfId="0" applyAlignment="1" applyFont="1">
      <alignment vertical="center"/>
    </xf>
    <xf borderId="1" fillId="2" fontId="12" numFmtId="0" xfId="0" applyAlignment="1" applyBorder="1" applyFont="1">
      <alignment horizontal="center" shrinkToFit="0" vertical="center" wrapText="1"/>
    </xf>
    <xf borderId="2" fillId="2" fontId="12" numFmtId="164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17" fillId="2" fontId="12" numFmtId="0" xfId="0" applyAlignment="1" applyBorder="1" applyFont="1">
      <alignment horizontal="center" shrinkToFit="0" vertical="center" wrapText="1"/>
    </xf>
    <xf borderId="17" fillId="2" fontId="12" numFmtId="0" xfId="0" applyAlignment="1" applyBorder="1" applyFont="1">
      <alignment horizontal="center" readingOrder="0" shrinkToFit="0" vertical="center" wrapText="1"/>
    </xf>
    <xf borderId="18" fillId="2" fontId="12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1"/>
    </xf>
    <xf borderId="8" fillId="4" fontId="12" numFmtId="3" xfId="0" applyAlignment="1" applyBorder="1" applyFont="1" applyNumberFormat="1">
      <alignment horizontal="center" shrinkToFit="0" vertical="center" wrapText="1"/>
    </xf>
    <xf borderId="19" fillId="0" fontId="2" numFmtId="0" xfId="0" applyAlignment="1" applyBorder="1" applyFont="1">
      <alignment vertical="center"/>
    </xf>
    <xf borderId="9" fillId="5" fontId="12" numFmtId="0" xfId="0" applyAlignment="1" applyBorder="1" applyFont="1">
      <alignment vertical="center"/>
    </xf>
    <xf borderId="9" fillId="6" fontId="12" numFmtId="0" xfId="0" applyAlignment="1" applyBorder="1" applyFont="1">
      <alignment vertical="center"/>
    </xf>
    <xf borderId="9" fillId="6" fontId="12" numFmtId="165" xfId="0" applyAlignment="1" applyBorder="1" applyFont="1" applyNumberFormat="1">
      <alignment vertical="center"/>
    </xf>
    <xf borderId="11" fillId="7" fontId="5" numFmtId="165" xfId="0" applyAlignment="1" applyBorder="1" applyFill="1" applyFont="1" applyNumberFormat="1">
      <alignment shrinkToFit="0" vertical="bottom" wrapText="1"/>
    </xf>
    <xf borderId="9" fillId="0" fontId="5" numFmtId="165" xfId="0" applyAlignment="1" applyBorder="1" applyFont="1" applyNumberFormat="1">
      <alignment horizontal="right" vertical="center"/>
    </xf>
    <xf borderId="10" fillId="0" fontId="5" numFmtId="0" xfId="0" applyAlignment="1" applyBorder="1" applyFont="1">
      <alignment horizontal="center" shrinkToFit="0" vertical="bottom" wrapText="1"/>
    </xf>
    <xf borderId="0" fillId="0" fontId="0" numFmtId="0" xfId="0" applyAlignment="1" applyFont="1">
      <alignment readingOrder="0" vertical="center"/>
    </xf>
    <xf borderId="9" fillId="0" fontId="5" numFmtId="0" xfId="0" applyAlignment="1" applyBorder="1" applyFont="1">
      <alignment vertical="center"/>
    </xf>
    <xf borderId="9" fillId="0" fontId="5" numFmtId="165" xfId="0" applyAlignment="1" applyBorder="1" applyFont="1" applyNumberFormat="1">
      <alignment vertical="center"/>
    </xf>
    <xf borderId="9" fillId="8" fontId="5" numFmtId="165" xfId="0" applyAlignment="1" applyBorder="1" applyFill="1" applyFont="1" applyNumberFormat="1">
      <alignment horizontal="right" vertical="center"/>
    </xf>
    <xf borderId="20" fillId="8" fontId="5" numFmtId="165" xfId="0" applyAlignment="1" applyBorder="1" applyFont="1" applyNumberFormat="1">
      <alignment horizontal="right" vertical="center"/>
    </xf>
    <xf borderId="9" fillId="0" fontId="5" numFmtId="165" xfId="0" applyAlignment="1" applyBorder="1" applyFont="1" applyNumberFormat="1">
      <alignment horizontal="right" shrinkToFit="0" vertical="bottom" wrapText="1"/>
    </xf>
    <xf borderId="10" fillId="7" fontId="5" numFmtId="165" xfId="0" applyAlignment="1" applyBorder="1" applyFont="1" applyNumberFormat="1">
      <alignment horizontal="right" shrinkToFit="0" vertical="bottom" wrapText="1"/>
    </xf>
    <xf borderId="14" fillId="0" fontId="5" numFmtId="165" xfId="0" applyAlignment="1" applyBorder="1" applyFont="1" applyNumberFormat="1">
      <alignment shrinkToFit="0" vertical="bottom" wrapText="1"/>
    </xf>
    <xf borderId="7" fillId="8" fontId="5" numFmtId="165" xfId="0" applyAlignment="1" applyBorder="1" applyFont="1" applyNumberFormat="1">
      <alignment horizontal="right" shrinkToFit="0" vertical="bottom" wrapText="1"/>
    </xf>
    <xf borderId="9" fillId="8" fontId="5" numFmtId="165" xfId="0" applyAlignment="1" applyBorder="1" applyFont="1" applyNumberFormat="1">
      <alignment shrinkToFit="0" vertical="bottom" wrapText="1"/>
    </xf>
    <xf borderId="10" fillId="0" fontId="5" numFmtId="165" xfId="0" applyAlignment="1" applyBorder="1" applyFont="1" applyNumberFormat="1">
      <alignment horizontal="right" shrinkToFit="0" vertical="bottom" wrapText="1"/>
    </xf>
    <xf borderId="9" fillId="0" fontId="5" numFmtId="165" xfId="0" applyAlignment="1" applyBorder="1" applyFont="1" applyNumberFormat="1">
      <alignment shrinkToFit="0" vertical="bottom" wrapText="1"/>
    </xf>
    <xf borderId="7" fillId="8" fontId="5" numFmtId="165" xfId="0" applyAlignment="1" applyBorder="1" applyFont="1" applyNumberFormat="1">
      <alignment shrinkToFit="0" vertical="bottom" wrapText="1"/>
    </xf>
    <xf borderId="10" fillId="0" fontId="5" numFmtId="165" xfId="0" applyAlignment="1" applyBorder="1" applyFont="1" applyNumberFormat="1">
      <alignment shrinkToFit="0" vertical="bottom" wrapText="1"/>
    </xf>
    <xf borderId="20" fillId="9" fontId="12" numFmtId="0" xfId="0" applyAlignment="1" applyBorder="1" applyFill="1" applyFont="1">
      <alignment vertical="center"/>
    </xf>
    <xf borderId="20" fillId="9" fontId="12" numFmtId="165" xfId="0" applyAlignment="1" applyBorder="1" applyFont="1" applyNumberFormat="1">
      <alignment vertical="center"/>
    </xf>
    <xf borderId="9" fillId="0" fontId="5" numFmtId="164" xfId="0" applyAlignment="1" applyBorder="1" applyFont="1" applyNumberFormat="1">
      <alignment horizontal="center" shrinkToFit="0" vertical="bottom" wrapText="1"/>
    </xf>
    <xf borderId="14" fillId="7" fontId="5" numFmtId="165" xfId="0" applyAlignment="1" applyBorder="1" applyFont="1" applyNumberFormat="1">
      <alignment horizontal="right" shrinkToFit="0" vertical="bottom" wrapText="1"/>
    </xf>
    <xf borderId="11" fillId="0" fontId="5" numFmtId="165" xfId="0" applyAlignment="1" applyBorder="1" applyFont="1" applyNumberFormat="1">
      <alignment shrinkToFit="0" vertical="bottom" wrapText="1"/>
    </xf>
    <xf borderId="9" fillId="8" fontId="5" numFmtId="165" xfId="0" applyAlignment="1" applyBorder="1" applyFont="1" applyNumberFormat="1">
      <alignment horizontal="right" vertical="top"/>
    </xf>
    <xf borderId="9" fillId="0" fontId="5" numFmtId="165" xfId="0" applyAlignment="1" applyBorder="1" applyFont="1" applyNumberFormat="1">
      <alignment horizontal="right" vertical="top"/>
    </xf>
    <xf borderId="21" fillId="8" fontId="5" numFmtId="165" xfId="0" applyAlignment="1" applyBorder="1" applyFont="1" applyNumberFormat="1">
      <alignment shrinkToFit="0" vertical="bottom" wrapText="1"/>
    </xf>
    <xf borderId="9" fillId="7" fontId="5" numFmtId="165" xfId="0" applyAlignment="1" applyBorder="1" applyFont="1" applyNumberFormat="1">
      <alignment horizontal="right" vertical="top"/>
    </xf>
    <xf borderId="0" fillId="0" fontId="12" numFmtId="0" xfId="0" applyAlignment="1" applyFont="1">
      <alignment vertical="center"/>
    </xf>
    <xf borderId="0" fillId="0" fontId="12" numFmtId="165" xfId="0" applyAlignment="1" applyFont="1" applyNumberFormat="1">
      <alignment vertical="center"/>
    </xf>
    <xf borderId="14" fillId="0" fontId="5" numFmtId="0" xfId="0" applyAlignment="1" applyBorder="1" applyFont="1">
      <alignment horizontal="center" shrinkToFit="0" vertical="bottom" wrapText="1"/>
    </xf>
    <xf borderId="10" fillId="7" fontId="5" numFmtId="165" xfId="0" applyAlignment="1" applyBorder="1" applyFont="1" applyNumberFormat="1">
      <alignment shrinkToFit="0" vertical="bottom" wrapText="1"/>
    </xf>
    <xf borderId="10" fillId="0" fontId="5" numFmtId="164" xfId="0" applyAlignment="1" applyBorder="1" applyFont="1" applyNumberFormat="1">
      <alignment horizontal="center" readingOrder="0" shrinkToFit="0" vertical="bottom" wrapText="1"/>
    </xf>
    <xf borderId="10" fillId="7" fontId="5" numFmtId="165" xfId="0" applyAlignment="1" applyBorder="1" applyFont="1" applyNumberFormat="1">
      <alignment horizontal="right" readingOrder="0" shrinkToFit="0" vertical="bottom" wrapText="1"/>
    </xf>
    <xf borderId="10" fillId="8" fontId="5" numFmtId="165" xfId="0" applyAlignment="1" applyBorder="1" applyFont="1" applyNumberFormat="1">
      <alignment readingOrder="0" shrinkToFit="0" vertical="bottom" wrapText="1"/>
    </xf>
    <xf borderId="10" fillId="7" fontId="5" numFmtId="165" xfId="0" applyAlignment="1" applyBorder="1" applyFont="1" applyNumberFormat="1">
      <alignment readingOrder="0" shrinkToFit="0" vertical="bottom" wrapText="1"/>
    </xf>
    <xf borderId="10" fillId="0" fontId="5" numFmtId="165" xfId="0" applyAlignment="1" applyBorder="1" applyFont="1" applyNumberFormat="1">
      <alignment horizontal="right" readingOrder="0" shrinkToFit="0" vertical="bottom" wrapText="1"/>
    </xf>
    <xf borderId="10" fillId="0" fontId="5" numFmtId="0" xfId="0" applyAlignment="1" applyBorder="1" applyFont="1">
      <alignment horizontal="center" readingOrder="0" shrinkToFit="0" vertical="bottom" wrapText="1"/>
    </xf>
    <xf borderId="10" fillId="8" fontId="5" numFmtId="165" xfId="0" applyAlignment="1" applyBorder="1" applyFont="1" applyNumberFormat="1">
      <alignment horizontal="right" readingOrder="0" shrinkToFit="0" vertical="bottom" wrapText="1"/>
    </xf>
    <xf borderId="10" fillId="0" fontId="5" numFmtId="166" xfId="0" applyAlignment="1" applyBorder="1" applyFont="1" applyNumberFormat="1">
      <alignment horizontal="right" shrinkToFit="0" vertical="bottom" wrapText="1"/>
    </xf>
    <xf borderId="0" fillId="0" fontId="0" numFmtId="167" xfId="0" applyAlignment="1" applyFont="1" applyNumberFormat="1">
      <alignment vertical="center"/>
    </xf>
    <xf borderId="10" fillId="0" fontId="12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 vertical="center"/>
    </xf>
    <xf borderId="10" fillId="0" fontId="20" numFmtId="165" xfId="0" applyAlignment="1" applyBorder="1" applyFont="1" applyNumberFormat="1">
      <alignment horizontal="right" shrinkToFit="0" vertical="bottom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10" fillId="0" fontId="12" numFmtId="165" xfId="0" applyAlignment="1" applyBorder="1" applyFont="1" applyNumberFormat="1">
      <alignment horizontal="right" readingOrder="0" shrinkToFit="0" vertical="bottom" wrapText="1"/>
    </xf>
    <xf borderId="0" fillId="0" fontId="20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center" readingOrder="0" vertical="center"/>
    </xf>
    <xf borderId="0" fillId="0" fontId="0" numFmtId="9" xfId="0" applyAlignment="1" applyFont="1" applyNumberFormat="1">
      <alignment readingOrder="0" vertical="center"/>
    </xf>
    <xf borderId="0" fillId="0" fontId="0" numFmtId="10" xfId="0" applyAlignment="1" applyFont="1" applyNumberFormat="1">
      <alignment vertical="center"/>
    </xf>
    <xf borderId="0" fillId="0" fontId="0" numFmtId="168" xfId="0" applyAlignment="1" applyFont="1" applyNumberFormat="1">
      <alignment vertical="center"/>
    </xf>
    <xf borderId="10" fillId="0" fontId="5" numFmtId="165" xfId="0" applyAlignment="1" applyBorder="1" applyFont="1" applyNumberFormat="1">
      <alignment readingOrder="0" shrinkToFit="0" vertical="bottom" wrapText="1"/>
    </xf>
    <xf borderId="10" fillId="10" fontId="5" numFmtId="165" xfId="0" applyAlignment="1" applyBorder="1" applyFill="1" applyFont="1" applyNumberFormat="1">
      <alignment readingOrder="0" shrinkToFit="0" vertical="bottom" wrapText="1"/>
    </xf>
    <xf borderId="10" fillId="10" fontId="5" numFmtId="165" xfId="0" applyAlignment="1" applyBorder="1" applyFont="1" applyNumberFormat="1">
      <alignment horizontal="right" readingOrder="0" shrinkToFit="0" vertical="bottom" wrapText="1"/>
    </xf>
    <xf borderId="0" fillId="0" fontId="0" numFmtId="165" xfId="0" applyAlignment="1" applyFont="1" applyNumberFormat="1">
      <alignment vertical="center"/>
    </xf>
    <xf borderId="0" fillId="0" fontId="0" numFmtId="166" xfId="0" applyAlignment="1" applyFont="1" applyNumberFormat="1">
      <alignment readingOrder="0" vertical="center"/>
    </xf>
    <xf borderId="0" fillId="0" fontId="0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6" width="14.0"/>
    <col customWidth="1" min="7" max="7" width="33.0"/>
    <col customWidth="1" min="8" max="8" width="4.0"/>
    <col customWidth="1" min="9" max="9" width="5.0"/>
    <col customWidth="1" min="10" max="10" width="25.0"/>
    <col customWidth="1" min="11" max="11" width="14.0"/>
    <col customWidth="1" min="12" max="12" width="3.0"/>
    <col customWidth="1" min="13" max="13" width="4.0"/>
    <col customWidth="1" min="14" max="14" width="25.0"/>
    <col customWidth="1" min="15" max="26" width="14.0"/>
  </cols>
  <sheetData>
    <row r="1" ht="18.75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5" t="s">
        <v>4</v>
      </c>
      <c r="G1" s="5" t="s">
        <v>5</v>
      </c>
    </row>
    <row r="2" ht="18.75" customHeight="1">
      <c r="A2" s="6"/>
      <c r="B2" s="7"/>
      <c r="C2" s="8" t="s">
        <v>6</v>
      </c>
      <c r="D2" s="9" t="s">
        <v>7</v>
      </c>
      <c r="E2" s="7"/>
      <c r="F2" s="7"/>
      <c r="G2" s="7"/>
      <c r="I2" s="10"/>
      <c r="J2" s="11" t="s">
        <v>8</v>
      </c>
      <c r="K2" s="12" t="s">
        <v>2</v>
      </c>
      <c r="M2" s="10"/>
      <c r="N2" s="11" t="s">
        <v>9</v>
      </c>
      <c r="O2" s="12" t="s">
        <v>2</v>
      </c>
    </row>
    <row r="3" ht="18.75" customHeight="1">
      <c r="A3" s="13">
        <v>1.0</v>
      </c>
      <c r="B3" s="14" t="s">
        <v>10</v>
      </c>
      <c r="C3" s="15">
        <v>1.03E7</v>
      </c>
      <c r="D3" s="16"/>
      <c r="E3" s="17">
        <v>1.0</v>
      </c>
      <c r="F3" s="17"/>
      <c r="G3" s="18"/>
      <c r="I3" s="10">
        <v>1.0</v>
      </c>
      <c r="J3" s="19" t="s">
        <v>11</v>
      </c>
      <c r="K3" s="20">
        <f>SUMIF($E$3:$E$219,1,$C$3:$C$2234)</f>
        <v>70000000</v>
      </c>
      <c r="M3" s="10">
        <v>1.0</v>
      </c>
      <c r="N3" s="19" t="s">
        <v>11</v>
      </c>
      <c r="O3" s="20">
        <f>SUMIF($E$3:$E$223,1,$D$3:$D$2240)</f>
        <v>0</v>
      </c>
    </row>
    <row r="4" ht="18.75" customHeight="1">
      <c r="A4" s="13">
        <v>2.0</v>
      </c>
      <c r="B4" s="14" t="s">
        <v>10</v>
      </c>
      <c r="C4" s="21">
        <v>1.9783E7</v>
      </c>
      <c r="D4" s="16"/>
      <c r="E4" s="17">
        <v>1.0</v>
      </c>
      <c r="F4" s="17"/>
      <c r="G4" s="18"/>
      <c r="I4" s="10">
        <v>2.0</v>
      </c>
      <c r="J4" s="19" t="s">
        <v>12</v>
      </c>
      <c r="K4" s="20">
        <f>SUMIF($E$3:$E$219,2,$C$3:$C$2234)</f>
        <v>80800000</v>
      </c>
      <c r="M4" s="10">
        <v>2.0</v>
      </c>
      <c r="N4" s="19" t="s">
        <v>12</v>
      </c>
      <c r="O4" s="20">
        <f>SUMIF($E$3:$E$223,2,$D$3:$D$2240)</f>
        <v>138935925</v>
      </c>
    </row>
    <row r="5" ht="18.75" customHeight="1">
      <c r="A5" s="13">
        <v>3.0</v>
      </c>
      <c r="B5" s="22" t="s">
        <v>13</v>
      </c>
      <c r="C5" s="23">
        <v>1.8673E7</v>
      </c>
      <c r="D5" s="16"/>
      <c r="E5" s="17">
        <v>1.0</v>
      </c>
      <c r="F5" s="17"/>
      <c r="G5" s="18"/>
      <c r="I5" s="10">
        <v>3.0</v>
      </c>
      <c r="J5" s="19" t="s">
        <v>14</v>
      </c>
      <c r="K5" s="20">
        <f>SUMIF($E$3:$E$219,3,$C$3:$C$2234)</f>
        <v>104418</v>
      </c>
      <c r="M5" s="10">
        <v>3.0</v>
      </c>
      <c r="N5" s="19" t="s">
        <v>14</v>
      </c>
      <c r="O5" s="20">
        <f>SUMIF($E$3:$E$223,3,$D$3:$D$2240)</f>
        <v>40999</v>
      </c>
    </row>
    <row r="6" ht="18.75" customHeight="1">
      <c r="A6" s="13">
        <v>4.0</v>
      </c>
      <c r="B6" s="22" t="s">
        <v>13</v>
      </c>
      <c r="C6" s="24">
        <v>2.1244E7</v>
      </c>
      <c r="D6" s="25"/>
      <c r="E6" s="17">
        <v>1.0</v>
      </c>
      <c r="F6" s="17"/>
      <c r="G6" s="18"/>
      <c r="I6" s="10">
        <v>4.0</v>
      </c>
      <c r="J6" s="19" t="s">
        <v>15</v>
      </c>
      <c r="K6" s="20">
        <f>SUMIF($E$3:$E$219,4,$C$3:$C$2234)</f>
        <v>0</v>
      </c>
      <c r="M6" s="10">
        <v>4.0</v>
      </c>
      <c r="N6" s="19" t="s">
        <v>15</v>
      </c>
      <c r="O6" s="20">
        <f>SUMIF($E$3:$E$223,4,$D$3:$D$2240)</f>
        <v>744179</v>
      </c>
    </row>
    <row r="7" ht="18.75" customHeight="1">
      <c r="A7" s="13">
        <v>5.0</v>
      </c>
      <c r="B7" s="26" t="s">
        <v>10</v>
      </c>
      <c r="C7" s="27"/>
      <c r="D7" s="28">
        <v>1.0274E7</v>
      </c>
      <c r="E7" s="17">
        <v>2.0</v>
      </c>
      <c r="F7" s="17"/>
      <c r="G7" s="18"/>
      <c r="K7" s="29"/>
    </row>
    <row r="8" ht="18.75" customHeight="1">
      <c r="A8" s="13">
        <v>6.0</v>
      </c>
      <c r="B8" s="26" t="s">
        <v>10</v>
      </c>
      <c r="C8" s="19"/>
      <c r="D8" s="30">
        <v>1.9804E7</v>
      </c>
      <c r="E8" s="17">
        <v>2.0</v>
      </c>
      <c r="F8" s="17"/>
      <c r="G8" s="18"/>
      <c r="J8" s="31" t="s">
        <v>8</v>
      </c>
      <c r="K8" s="32" t="s">
        <v>2</v>
      </c>
      <c r="N8" s="31" t="s">
        <v>9</v>
      </c>
      <c r="O8" s="32" t="s">
        <v>2</v>
      </c>
    </row>
    <row r="9" ht="18.75" customHeight="1">
      <c r="A9" s="13">
        <v>7.0</v>
      </c>
      <c r="B9" s="33" t="s">
        <v>16</v>
      </c>
      <c r="C9" s="34">
        <v>200000.0</v>
      </c>
      <c r="D9" s="30"/>
      <c r="E9" s="17">
        <v>2.0</v>
      </c>
      <c r="F9" s="17"/>
      <c r="G9" s="35"/>
      <c r="J9" s="19" t="s">
        <v>17</v>
      </c>
      <c r="K9" s="20">
        <f t="shared" ref="K9:K12" si="1">SUMIF($F$3:$F$224,J9,$C$3:$C$2240)</f>
        <v>0</v>
      </c>
      <c r="N9" s="19" t="s">
        <v>17</v>
      </c>
      <c r="O9" s="20">
        <f t="shared" ref="O9:O12" si="2">SUMIF($F$3:$F$224,N9,$D$3:$D$2240)</f>
        <v>0</v>
      </c>
    </row>
    <row r="10" ht="18.75" customHeight="1">
      <c r="A10" s="36">
        <v>8.0</v>
      </c>
      <c r="B10" s="37" t="s">
        <v>16</v>
      </c>
      <c r="C10" s="38">
        <v>200000.0</v>
      </c>
      <c r="D10" s="30"/>
      <c r="E10" s="17">
        <v>2.0</v>
      </c>
      <c r="F10" s="17"/>
      <c r="G10" s="18"/>
      <c r="J10" s="19" t="s">
        <v>18</v>
      </c>
      <c r="K10" s="20">
        <f t="shared" si="1"/>
        <v>0</v>
      </c>
      <c r="N10" s="19" t="s">
        <v>18</v>
      </c>
      <c r="O10" s="20">
        <f t="shared" si="2"/>
        <v>0</v>
      </c>
    </row>
    <row r="11" ht="18.75" customHeight="1">
      <c r="A11" s="36">
        <v>9.0</v>
      </c>
      <c r="B11" s="39" t="s">
        <v>13</v>
      </c>
      <c r="C11" s="38"/>
      <c r="D11" s="30">
        <v>1.8472E7</v>
      </c>
      <c r="E11" s="17">
        <v>2.0</v>
      </c>
      <c r="F11" s="17"/>
      <c r="G11" s="18"/>
      <c r="J11" s="19" t="s">
        <v>19</v>
      </c>
      <c r="K11" s="20">
        <f t="shared" si="1"/>
        <v>0</v>
      </c>
      <c r="N11" s="19" t="s">
        <v>19</v>
      </c>
      <c r="O11" s="20">
        <f t="shared" si="2"/>
        <v>0</v>
      </c>
    </row>
    <row r="12" ht="18.75" customHeight="1">
      <c r="A12" s="13">
        <v>10.0</v>
      </c>
      <c r="B12" s="14" t="s">
        <v>13</v>
      </c>
      <c r="C12" s="40"/>
      <c r="D12" s="30">
        <v>2.1448E7</v>
      </c>
      <c r="E12" s="17">
        <v>2.0</v>
      </c>
      <c r="F12" s="17"/>
      <c r="G12" s="18"/>
      <c r="J12" s="19" t="s">
        <v>20</v>
      </c>
      <c r="K12" s="20">
        <f t="shared" si="1"/>
        <v>0</v>
      </c>
      <c r="N12" s="19" t="s">
        <v>20</v>
      </c>
      <c r="O12" s="20">
        <f t="shared" si="2"/>
        <v>0</v>
      </c>
    </row>
    <row r="13" ht="18.75" customHeight="1">
      <c r="A13" s="13">
        <v>11.0</v>
      </c>
      <c r="B13" s="22" t="s">
        <v>21</v>
      </c>
      <c r="C13" s="40">
        <v>400000.0</v>
      </c>
      <c r="D13" s="30"/>
      <c r="E13" s="17">
        <v>2.0</v>
      </c>
      <c r="F13" s="17"/>
      <c r="G13" s="18"/>
    </row>
    <row r="14" ht="18.75" customHeight="1">
      <c r="A14" s="13">
        <v>12.0</v>
      </c>
      <c r="B14" s="22" t="s">
        <v>16</v>
      </c>
      <c r="C14" s="40"/>
      <c r="D14" s="30">
        <v>114090.0</v>
      </c>
      <c r="E14" s="17">
        <v>2.0</v>
      </c>
      <c r="F14" s="17"/>
      <c r="G14" s="18"/>
    </row>
    <row r="15" ht="18.75" customHeight="1">
      <c r="A15" s="13">
        <v>13.0</v>
      </c>
      <c r="B15" s="22"/>
      <c r="C15" s="40"/>
      <c r="D15" s="30">
        <v>3366.0</v>
      </c>
      <c r="E15" s="17">
        <v>3.0</v>
      </c>
      <c r="F15" s="17"/>
      <c r="G15" s="18"/>
    </row>
    <row r="16" ht="18.75" customHeight="1">
      <c r="A16" s="13">
        <v>14.0</v>
      </c>
      <c r="B16" s="22" t="s">
        <v>21</v>
      </c>
      <c r="C16" s="40"/>
      <c r="D16" s="30">
        <v>110825.0</v>
      </c>
      <c r="E16" s="17">
        <v>2.0</v>
      </c>
      <c r="F16" s="17"/>
      <c r="G16" s="18"/>
    </row>
    <row r="17" ht="18.75" customHeight="1">
      <c r="A17" s="13">
        <v>15.0</v>
      </c>
      <c r="B17" s="22"/>
      <c r="C17" s="40"/>
      <c r="D17" s="30">
        <v>1219.0</v>
      </c>
      <c r="E17" s="17">
        <v>4.0</v>
      </c>
      <c r="F17" s="17"/>
      <c r="G17" s="18"/>
    </row>
    <row r="18" ht="18.75" customHeight="1">
      <c r="A18" s="13">
        <v>16.0</v>
      </c>
      <c r="B18" s="41" t="s">
        <v>22</v>
      </c>
      <c r="C18" s="40"/>
      <c r="D18" s="30">
        <v>142032.0</v>
      </c>
      <c r="E18" s="17">
        <v>2.0</v>
      </c>
      <c r="F18" s="17"/>
      <c r="G18" s="18"/>
    </row>
    <row r="19" ht="18.75" customHeight="1">
      <c r="A19" s="13">
        <v>17.0</v>
      </c>
      <c r="B19" s="22"/>
      <c r="C19" s="40"/>
      <c r="D19" s="30">
        <v>1562.0</v>
      </c>
      <c r="E19" s="17">
        <v>4.0</v>
      </c>
      <c r="F19" s="17"/>
      <c r="G19" s="18"/>
    </row>
    <row r="20" ht="18.75" customHeight="1">
      <c r="A20" s="13">
        <v>18.0</v>
      </c>
      <c r="B20" s="42" t="s">
        <v>23</v>
      </c>
      <c r="C20" s="40">
        <v>5000000.0</v>
      </c>
      <c r="D20" s="43"/>
      <c r="E20" s="17">
        <v>2.0</v>
      </c>
      <c r="F20" s="17"/>
      <c r="G20" s="18"/>
    </row>
    <row r="21" ht="18.75" customHeight="1">
      <c r="A21" s="13">
        <v>19.0</v>
      </c>
      <c r="B21" s="22">
        <v>45697.0</v>
      </c>
      <c r="C21" s="15"/>
      <c r="D21" s="44">
        <v>61303.0</v>
      </c>
      <c r="E21" s="17">
        <v>2.0</v>
      </c>
      <c r="F21" s="17"/>
      <c r="G21" s="18"/>
    </row>
    <row r="22" ht="18.75" customHeight="1">
      <c r="A22" s="13">
        <v>20.0</v>
      </c>
      <c r="B22" s="14"/>
      <c r="C22" s="15"/>
      <c r="D22" s="44">
        <v>674.0</v>
      </c>
      <c r="E22" s="17">
        <v>4.0</v>
      </c>
      <c r="F22" s="17"/>
      <c r="G22" s="18"/>
    </row>
    <row r="23" ht="18.75" customHeight="1">
      <c r="A23" s="13">
        <v>21.0</v>
      </c>
      <c r="B23" s="22" t="s">
        <v>21</v>
      </c>
      <c r="C23" s="15"/>
      <c r="D23" s="44">
        <v>232802.0</v>
      </c>
      <c r="E23" s="17">
        <v>2.0</v>
      </c>
      <c r="F23" s="17"/>
      <c r="G23" s="18"/>
    </row>
    <row r="24" ht="18.75" customHeight="1">
      <c r="A24" s="13">
        <v>22.0</v>
      </c>
      <c r="B24" s="14"/>
      <c r="C24" s="15"/>
      <c r="D24" s="44">
        <v>2561.0</v>
      </c>
      <c r="E24" s="17">
        <v>4.0</v>
      </c>
      <c r="F24" s="17"/>
      <c r="G24" s="18"/>
    </row>
    <row r="25" ht="18.75" customHeight="1">
      <c r="A25" s="13">
        <v>23.0</v>
      </c>
      <c r="B25" s="41" t="s">
        <v>24</v>
      </c>
      <c r="C25" s="15"/>
      <c r="D25" s="44">
        <v>122606.0</v>
      </c>
      <c r="E25" s="17">
        <v>2.0</v>
      </c>
      <c r="F25" s="17"/>
      <c r="G25" s="18"/>
    </row>
    <row r="26" ht="18.75" customHeight="1">
      <c r="A26" s="13">
        <v>24.0</v>
      </c>
      <c r="B26" s="42"/>
      <c r="C26" s="15"/>
      <c r="D26" s="44">
        <v>1349.0</v>
      </c>
      <c r="E26" s="17">
        <v>4.0</v>
      </c>
      <c r="F26" s="17"/>
      <c r="G26" s="18"/>
    </row>
    <row r="27" ht="18.75" customHeight="1">
      <c r="A27" s="13">
        <v>25.0</v>
      </c>
      <c r="B27" s="42" t="s">
        <v>23</v>
      </c>
      <c r="C27" s="15"/>
      <c r="D27" s="44">
        <v>803064.0</v>
      </c>
      <c r="E27" s="17">
        <v>2.0</v>
      </c>
      <c r="F27" s="17"/>
      <c r="G27" s="18"/>
    </row>
    <row r="28" ht="18.75" customHeight="1">
      <c r="A28" s="13">
        <v>26.0</v>
      </c>
      <c r="B28" s="41"/>
      <c r="C28" s="15"/>
      <c r="D28" s="44">
        <v>8834.0</v>
      </c>
      <c r="E28" s="17">
        <v>4.0</v>
      </c>
      <c r="F28" s="17"/>
      <c r="G28" s="18"/>
    </row>
    <row r="29" ht="18.75" customHeight="1">
      <c r="A29" s="13">
        <v>27.0</v>
      </c>
      <c r="B29" s="41" t="s">
        <v>23</v>
      </c>
      <c r="C29" s="40"/>
      <c r="D29" s="30">
        <v>116538.0</v>
      </c>
      <c r="E29" s="17">
        <v>2.0</v>
      </c>
      <c r="F29" s="17"/>
      <c r="G29" s="18"/>
    </row>
    <row r="30" ht="18.75" customHeight="1">
      <c r="A30" s="13">
        <v>28.0</v>
      </c>
      <c r="B30" s="41"/>
      <c r="C30" s="40"/>
      <c r="D30" s="30">
        <v>1282.0</v>
      </c>
      <c r="E30" s="17">
        <v>4.0</v>
      </c>
      <c r="F30" s="17"/>
      <c r="G30" s="18"/>
    </row>
    <row r="31" ht="18.75" customHeight="1">
      <c r="A31" s="13">
        <v>29.0</v>
      </c>
      <c r="B31" s="41" t="s">
        <v>23</v>
      </c>
      <c r="C31" s="40"/>
      <c r="D31" s="30">
        <v>329604.0</v>
      </c>
      <c r="E31" s="17">
        <v>2.0</v>
      </c>
      <c r="F31" s="17"/>
      <c r="G31" s="18"/>
    </row>
    <row r="32" ht="18.75" customHeight="1">
      <c r="A32" s="13">
        <v>30.0</v>
      </c>
      <c r="B32" s="41"/>
      <c r="C32" s="40"/>
      <c r="D32" s="30">
        <v>3626.0</v>
      </c>
      <c r="E32" s="17">
        <v>4.0</v>
      </c>
      <c r="F32" s="17"/>
      <c r="G32" s="18"/>
    </row>
    <row r="33" ht="18.75" customHeight="1">
      <c r="A33" s="13">
        <v>31.0</v>
      </c>
      <c r="B33" s="42" t="s">
        <v>25</v>
      </c>
      <c r="C33" s="40"/>
      <c r="D33" s="30">
        <v>114090.0</v>
      </c>
      <c r="E33" s="17">
        <v>2.0</v>
      </c>
      <c r="F33" s="17"/>
      <c r="G33" s="18"/>
    </row>
    <row r="34" ht="18.75" customHeight="1">
      <c r="A34" s="13">
        <v>32.0</v>
      </c>
      <c r="B34" s="41"/>
      <c r="C34" s="40"/>
      <c r="D34" s="30">
        <v>3366.0</v>
      </c>
      <c r="E34" s="17">
        <v>3.0</v>
      </c>
      <c r="F34" s="17"/>
      <c r="G34" s="18"/>
    </row>
    <row r="35" ht="18.75" customHeight="1">
      <c r="A35" s="13">
        <v>33.0</v>
      </c>
      <c r="B35" s="41" t="s">
        <v>25</v>
      </c>
      <c r="C35" s="40"/>
      <c r="D35" s="30">
        <v>348553.0</v>
      </c>
      <c r="E35" s="17">
        <v>2.0</v>
      </c>
      <c r="F35" s="17"/>
      <c r="G35" s="18"/>
    </row>
    <row r="36" ht="18.75" customHeight="1">
      <c r="A36" s="13">
        <v>34.0</v>
      </c>
      <c r="B36" s="42"/>
      <c r="C36" s="40"/>
      <c r="D36" s="30">
        <v>3834.0</v>
      </c>
      <c r="E36" s="17">
        <v>4.0</v>
      </c>
      <c r="F36" s="17"/>
      <c r="G36" s="18"/>
    </row>
    <row r="37" ht="18.75" customHeight="1">
      <c r="A37" s="13">
        <v>35.0</v>
      </c>
      <c r="B37" s="41" t="s">
        <v>25</v>
      </c>
      <c r="C37" s="40"/>
      <c r="D37" s="30">
        <v>98562.0</v>
      </c>
      <c r="E37" s="17">
        <v>2.0</v>
      </c>
      <c r="F37" s="17"/>
      <c r="G37" s="18"/>
    </row>
    <row r="38" ht="18.75" customHeight="1">
      <c r="A38" s="13">
        <v>36.0</v>
      </c>
      <c r="B38" s="41"/>
      <c r="C38" s="40"/>
      <c r="D38" s="30">
        <v>1084.0</v>
      </c>
      <c r="E38" s="17">
        <v>4.0</v>
      </c>
      <c r="F38" s="17"/>
      <c r="G38" s="18"/>
    </row>
    <row r="39" ht="18.75" customHeight="1">
      <c r="A39" s="13">
        <v>37.0</v>
      </c>
      <c r="B39" s="42" t="s">
        <v>25</v>
      </c>
      <c r="C39" s="40"/>
      <c r="D39" s="43">
        <v>454.0</v>
      </c>
      <c r="E39" s="17">
        <v>2.0</v>
      </c>
      <c r="F39" s="17"/>
      <c r="G39" s="18"/>
    </row>
    <row r="40" ht="18.75" customHeight="1">
      <c r="A40" s="13">
        <v>38.0</v>
      </c>
      <c r="B40" s="41"/>
      <c r="C40" s="15"/>
      <c r="D40" s="44">
        <v>5.0</v>
      </c>
      <c r="E40" s="17">
        <v>4.0</v>
      </c>
      <c r="F40" s="17"/>
      <c r="G40" s="18"/>
    </row>
    <row r="41" ht="18.75" customHeight="1">
      <c r="A41" s="13">
        <v>39.0</v>
      </c>
      <c r="B41" s="41" t="s">
        <v>25</v>
      </c>
      <c r="C41" s="15"/>
      <c r="D41" s="44">
        <v>629.0</v>
      </c>
      <c r="E41" s="17">
        <v>2.0</v>
      </c>
      <c r="F41" s="17"/>
      <c r="G41" s="18"/>
    </row>
    <row r="42" ht="18.75" customHeight="1">
      <c r="A42" s="13">
        <v>40.0</v>
      </c>
      <c r="B42" s="42"/>
      <c r="C42" s="15"/>
      <c r="D42" s="44">
        <v>7.0</v>
      </c>
      <c r="E42" s="17">
        <v>4.0</v>
      </c>
      <c r="F42" s="17"/>
      <c r="G42" s="45"/>
    </row>
    <row r="43" ht="18.75" customHeight="1">
      <c r="A43" s="13">
        <v>41.0</v>
      </c>
      <c r="B43" s="42" t="s">
        <v>25</v>
      </c>
      <c r="C43" s="15"/>
      <c r="D43" s="44">
        <v>124308.0</v>
      </c>
      <c r="E43" s="46">
        <v>2.0</v>
      </c>
      <c r="F43" s="46"/>
      <c r="G43" s="47"/>
    </row>
    <row r="44" ht="18.75" customHeight="1">
      <c r="A44" s="13">
        <v>42.0</v>
      </c>
      <c r="B44" s="41"/>
      <c r="C44" s="15"/>
      <c r="D44" s="44">
        <v>1367.0</v>
      </c>
      <c r="E44" s="46">
        <v>4.0</v>
      </c>
      <c r="F44" s="46"/>
      <c r="G44" s="48"/>
    </row>
    <row r="45" ht="18.75" customHeight="1">
      <c r="A45" s="13">
        <v>43.0</v>
      </c>
      <c r="B45" s="41" t="s">
        <v>25</v>
      </c>
      <c r="C45" s="23"/>
      <c r="D45" s="44">
        <v>103249.0</v>
      </c>
      <c r="E45" s="17">
        <v>2.0</v>
      </c>
      <c r="F45" s="17"/>
      <c r="G45" s="18"/>
    </row>
    <row r="46" ht="18.75" customHeight="1">
      <c r="A46" s="13">
        <v>44.0</v>
      </c>
      <c r="B46" s="42"/>
      <c r="C46" s="15"/>
      <c r="D46" s="44">
        <v>1136.0</v>
      </c>
      <c r="E46" s="17">
        <v>4.0</v>
      </c>
      <c r="F46" s="17"/>
      <c r="G46" s="18"/>
    </row>
    <row r="47" ht="18.75" customHeight="1">
      <c r="A47" s="13">
        <v>45.0</v>
      </c>
      <c r="B47" s="42" t="s">
        <v>26</v>
      </c>
      <c r="C47" s="15"/>
      <c r="D47" s="44">
        <v>466683.0</v>
      </c>
      <c r="E47" s="17">
        <v>2.0</v>
      </c>
      <c r="F47" s="17"/>
      <c r="G47" s="18"/>
    </row>
    <row r="48" ht="18.75" customHeight="1">
      <c r="A48" s="13">
        <v>46.0</v>
      </c>
      <c r="B48" s="42"/>
      <c r="C48" s="15"/>
      <c r="D48" s="44">
        <v>5134.0</v>
      </c>
      <c r="E48" s="17">
        <v>4.0</v>
      </c>
      <c r="F48" s="17"/>
      <c r="G48" s="18"/>
    </row>
    <row r="49" ht="18.75" customHeight="1">
      <c r="A49" s="13">
        <v>47.0</v>
      </c>
      <c r="B49" s="41" t="s">
        <v>27</v>
      </c>
      <c r="C49" s="40">
        <v>5000000.0</v>
      </c>
      <c r="D49" s="43"/>
      <c r="E49" s="17">
        <v>2.0</v>
      </c>
      <c r="F49" s="17"/>
      <c r="G49" s="18"/>
    </row>
    <row r="50" ht="18.75" customHeight="1">
      <c r="A50" s="13">
        <v>48.0</v>
      </c>
      <c r="B50" s="42" t="s">
        <v>26</v>
      </c>
      <c r="C50" s="15"/>
      <c r="D50" s="44">
        <v>185370.0</v>
      </c>
      <c r="E50" s="17">
        <v>2.0</v>
      </c>
      <c r="F50" s="17"/>
      <c r="G50" s="18"/>
    </row>
    <row r="51" ht="18.75" customHeight="1">
      <c r="A51" s="13">
        <v>49.0</v>
      </c>
      <c r="B51" s="41"/>
      <c r="C51" s="15"/>
      <c r="D51" s="44">
        <v>5468.0</v>
      </c>
      <c r="E51" s="17">
        <v>3.0</v>
      </c>
      <c r="F51" s="17"/>
      <c r="G51" s="18"/>
    </row>
    <row r="52" ht="18.75" customHeight="1">
      <c r="A52" s="13">
        <v>50.0</v>
      </c>
      <c r="B52" s="41" t="s">
        <v>26</v>
      </c>
      <c r="C52" s="15"/>
      <c r="D52" s="44">
        <v>871593.0</v>
      </c>
      <c r="E52" s="17">
        <v>2.0</v>
      </c>
      <c r="F52" s="17"/>
      <c r="G52" s="18"/>
    </row>
    <row r="53" ht="18.75" customHeight="1">
      <c r="A53" s="13">
        <v>51.0</v>
      </c>
      <c r="B53" s="42"/>
      <c r="C53" s="15"/>
      <c r="D53" s="44">
        <v>9588.0</v>
      </c>
      <c r="E53" s="17">
        <v>4.0</v>
      </c>
      <c r="F53" s="17"/>
      <c r="G53" s="18"/>
    </row>
    <row r="54" ht="18.75" customHeight="1">
      <c r="A54" s="13">
        <v>52.0</v>
      </c>
      <c r="B54" s="42" t="s">
        <v>26</v>
      </c>
      <c r="C54" s="15"/>
      <c r="D54" s="44">
        <v>330497.0</v>
      </c>
      <c r="E54" s="17">
        <v>2.0</v>
      </c>
      <c r="F54" s="17"/>
      <c r="G54" s="18"/>
    </row>
    <row r="55" ht="18.75" customHeight="1">
      <c r="A55" s="13">
        <v>53.0</v>
      </c>
      <c r="B55" s="42"/>
      <c r="C55" s="40"/>
      <c r="D55" s="30">
        <v>3635.0</v>
      </c>
      <c r="E55" s="17">
        <v>4.0</v>
      </c>
      <c r="F55" s="17"/>
      <c r="G55" s="18"/>
    </row>
    <row r="56" ht="18.75" customHeight="1">
      <c r="A56" s="13">
        <v>54.0</v>
      </c>
      <c r="B56" s="42" t="s">
        <v>28</v>
      </c>
      <c r="C56" s="40">
        <v>5000000.0</v>
      </c>
      <c r="D56" s="30"/>
      <c r="E56" s="17">
        <v>2.0</v>
      </c>
      <c r="F56" s="17"/>
      <c r="G56" s="18"/>
    </row>
    <row r="57" ht="18.75" customHeight="1">
      <c r="A57" s="13">
        <v>55.0</v>
      </c>
      <c r="B57" s="41" t="s">
        <v>27</v>
      </c>
      <c r="C57" s="40"/>
      <c r="D57" s="30">
        <v>114090.0</v>
      </c>
      <c r="E57" s="17">
        <v>2.0</v>
      </c>
      <c r="F57" s="17"/>
      <c r="G57" s="18"/>
    </row>
    <row r="58" ht="18.75" customHeight="1">
      <c r="A58" s="13">
        <v>56.0</v>
      </c>
      <c r="B58" s="41"/>
      <c r="C58" s="40"/>
      <c r="D58" s="30">
        <v>3366.0</v>
      </c>
      <c r="E58" s="17">
        <v>3.0</v>
      </c>
      <c r="F58" s="17"/>
      <c r="G58" s="18"/>
    </row>
    <row r="59" ht="18.75" customHeight="1">
      <c r="A59" s="13">
        <v>57.0</v>
      </c>
      <c r="B59" s="42" t="s">
        <v>27</v>
      </c>
      <c r="C59" s="40"/>
      <c r="D59" s="30">
        <v>114090.0</v>
      </c>
      <c r="E59" s="17">
        <v>2.0</v>
      </c>
      <c r="F59" s="17"/>
      <c r="G59" s="18"/>
    </row>
    <row r="60" ht="18.75" customHeight="1">
      <c r="A60" s="13">
        <v>58.0</v>
      </c>
      <c r="B60" s="41"/>
      <c r="C60" s="40"/>
      <c r="D60" s="30">
        <v>3366.0</v>
      </c>
      <c r="E60" s="17">
        <v>3.0</v>
      </c>
      <c r="F60" s="17"/>
      <c r="G60" s="18"/>
    </row>
    <row r="61" ht="19.5" customHeight="1">
      <c r="A61" s="13">
        <v>59.0</v>
      </c>
      <c r="B61" s="41" t="s">
        <v>27</v>
      </c>
      <c r="C61" s="40"/>
      <c r="D61" s="30">
        <v>114090.0</v>
      </c>
      <c r="E61" s="17">
        <v>2.0</v>
      </c>
      <c r="F61" s="17"/>
      <c r="G61" s="18"/>
    </row>
    <row r="62" ht="19.5" customHeight="1">
      <c r="A62" s="13">
        <v>60.0</v>
      </c>
      <c r="B62" s="41"/>
      <c r="C62" s="40"/>
      <c r="D62" s="30">
        <v>3366.0</v>
      </c>
      <c r="E62" s="17">
        <v>3.0</v>
      </c>
      <c r="F62" s="17"/>
      <c r="G62" s="18"/>
    </row>
    <row r="63" ht="18.75" customHeight="1">
      <c r="A63" s="13">
        <v>61.0</v>
      </c>
      <c r="B63" s="42" t="s">
        <v>27</v>
      </c>
      <c r="C63" s="40"/>
      <c r="D63" s="30">
        <v>163214.0</v>
      </c>
      <c r="E63" s="17">
        <v>2.0</v>
      </c>
      <c r="F63" s="17"/>
      <c r="G63" s="18"/>
    </row>
    <row r="64" ht="18.75" customHeight="1">
      <c r="A64" s="13">
        <v>62.0</v>
      </c>
      <c r="B64" s="41"/>
      <c r="C64" s="40"/>
      <c r="D64" s="30">
        <v>1795.0</v>
      </c>
      <c r="E64" s="17">
        <v>4.0</v>
      </c>
      <c r="F64" s="17"/>
      <c r="G64" s="18"/>
    </row>
    <row r="65" ht="18.75" customHeight="1">
      <c r="A65" s="13">
        <v>63.0</v>
      </c>
      <c r="B65" s="42" t="s">
        <v>27</v>
      </c>
      <c r="C65" s="40"/>
      <c r="D65" s="30">
        <v>3416842.0</v>
      </c>
      <c r="E65" s="17">
        <v>2.0</v>
      </c>
      <c r="F65" s="17"/>
      <c r="G65" s="18"/>
    </row>
    <row r="66" ht="18.75" customHeight="1">
      <c r="A66" s="13">
        <v>64.0</v>
      </c>
      <c r="B66" s="41"/>
      <c r="C66" s="40"/>
      <c r="D66" s="30">
        <v>37585.0</v>
      </c>
      <c r="E66" s="17">
        <v>4.0</v>
      </c>
      <c r="F66" s="17"/>
      <c r="G66" s="18"/>
    </row>
    <row r="67" ht="18.75" customHeight="1">
      <c r="A67" s="13">
        <v>65.0</v>
      </c>
      <c r="B67" s="42" t="s">
        <v>28</v>
      </c>
      <c r="C67" s="40"/>
      <c r="D67" s="30">
        <v>57750.0</v>
      </c>
      <c r="E67" s="17">
        <v>2.0</v>
      </c>
      <c r="F67" s="17"/>
      <c r="G67" s="18"/>
    </row>
    <row r="68" ht="18.75" customHeight="1">
      <c r="A68" s="13">
        <v>66.0</v>
      </c>
      <c r="B68" s="41"/>
      <c r="C68" s="40"/>
      <c r="D68" s="30">
        <v>635.0</v>
      </c>
      <c r="E68" s="17">
        <v>4.0</v>
      </c>
      <c r="F68" s="17"/>
      <c r="G68" s="18"/>
    </row>
    <row r="69" ht="18.75" customHeight="1">
      <c r="A69" s="13">
        <v>67.0</v>
      </c>
      <c r="B69" s="42" t="s">
        <v>28</v>
      </c>
      <c r="C69" s="40"/>
      <c r="D69" s="30">
        <v>103716.0</v>
      </c>
      <c r="E69" s="17">
        <v>2.0</v>
      </c>
      <c r="F69" s="17"/>
      <c r="G69" s="18"/>
    </row>
    <row r="70" ht="18.75" customHeight="1">
      <c r="A70" s="13">
        <v>68.0</v>
      </c>
      <c r="B70" s="41"/>
      <c r="C70" s="40"/>
      <c r="D70" s="30">
        <v>1141.0</v>
      </c>
      <c r="E70" s="17">
        <v>4.0</v>
      </c>
      <c r="F70" s="17"/>
      <c r="G70" s="18"/>
    </row>
    <row r="71" ht="18.75" customHeight="1">
      <c r="A71" s="13">
        <v>69.0</v>
      </c>
      <c r="B71" s="41" t="s">
        <v>28</v>
      </c>
      <c r="C71" s="40">
        <v>104418.0</v>
      </c>
      <c r="D71" s="30"/>
      <c r="E71" s="17">
        <v>3.0</v>
      </c>
      <c r="F71" s="17"/>
      <c r="G71" s="18"/>
    </row>
    <row r="72" ht="18.75" customHeight="1">
      <c r="A72" s="13">
        <v>70.0</v>
      </c>
      <c r="B72" s="42"/>
      <c r="C72" s="40"/>
      <c r="D72" s="30">
        <v>3080.0</v>
      </c>
      <c r="E72" s="17">
        <v>3.0</v>
      </c>
      <c r="F72" s="17"/>
      <c r="G72" s="18"/>
    </row>
    <row r="73" ht="18.75" customHeight="1">
      <c r="A73" s="13">
        <v>71.0</v>
      </c>
      <c r="B73" s="42" t="s">
        <v>28</v>
      </c>
      <c r="C73" s="40"/>
      <c r="D73" s="30">
        <v>36125.0</v>
      </c>
      <c r="E73" s="17">
        <v>2.0</v>
      </c>
      <c r="F73" s="17"/>
      <c r="G73" s="18"/>
    </row>
    <row r="74" ht="18.75" customHeight="1">
      <c r="A74" s="13">
        <v>72.0</v>
      </c>
      <c r="B74" s="42"/>
      <c r="C74" s="40"/>
      <c r="D74" s="30">
        <v>397.0</v>
      </c>
      <c r="E74" s="17">
        <v>4.0</v>
      </c>
      <c r="F74" s="17"/>
      <c r="G74" s="18"/>
    </row>
    <row r="75" ht="18.75" customHeight="1">
      <c r="A75" s="13">
        <v>73.0</v>
      </c>
      <c r="B75" s="42" t="s">
        <v>28</v>
      </c>
      <c r="C75" s="40"/>
      <c r="D75" s="30">
        <v>78519.0</v>
      </c>
      <c r="E75" s="17">
        <v>2.0</v>
      </c>
      <c r="F75" s="17"/>
      <c r="G75" s="35"/>
    </row>
    <row r="76" ht="18.75" customHeight="1">
      <c r="A76" s="13">
        <v>74.0</v>
      </c>
      <c r="B76" s="42"/>
      <c r="C76" s="40"/>
      <c r="D76" s="30">
        <v>864.0</v>
      </c>
      <c r="E76" s="17">
        <v>4.0</v>
      </c>
      <c r="F76" s="17"/>
      <c r="G76" s="35"/>
    </row>
    <row r="77" ht="18.75" customHeight="1">
      <c r="A77" s="13">
        <v>75.0</v>
      </c>
      <c r="B77" s="42" t="s">
        <v>28</v>
      </c>
      <c r="C77" s="40"/>
      <c r="D77" s="30">
        <v>114132.0</v>
      </c>
      <c r="E77" s="17">
        <v>2.0</v>
      </c>
      <c r="F77" s="17"/>
      <c r="G77" s="35"/>
    </row>
    <row r="78" ht="18.75" customHeight="1">
      <c r="A78" s="13">
        <v>76.0</v>
      </c>
      <c r="B78" s="42"/>
      <c r="C78" s="40"/>
      <c r="D78" s="30">
        <v>1255.0</v>
      </c>
      <c r="E78" s="17">
        <v>4.0</v>
      </c>
      <c r="F78" s="17"/>
      <c r="G78" s="35"/>
    </row>
    <row r="79" ht="18.75" customHeight="1">
      <c r="A79" s="13">
        <v>77.0</v>
      </c>
      <c r="B79" s="42" t="s">
        <v>28</v>
      </c>
      <c r="C79" s="40"/>
      <c r="D79" s="30">
        <v>145363.0</v>
      </c>
      <c r="E79" s="17">
        <v>2.0</v>
      </c>
      <c r="F79" s="17"/>
      <c r="G79" s="35"/>
    </row>
    <row r="80" ht="18.75" customHeight="1">
      <c r="A80" s="13">
        <v>78.0</v>
      </c>
      <c r="B80" s="22"/>
      <c r="C80" s="40"/>
      <c r="D80" s="30">
        <v>1599.0</v>
      </c>
      <c r="E80" s="17">
        <v>4.0</v>
      </c>
      <c r="F80" s="17"/>
      <c r="G80" s="35"/>
    </row>
    <row r="81" ht="18.75" customHeight="1">
      <c r="A81" s="13">
        <v>79.0</v>
      </c>
      <c r="B81" s="42" t="s">
        <v>28</v>
      </c>
      <c r="C81" s="40"/>
      <c r="D81" s="30">
        <v>87568.0</v>
      </c>
      <c r="E81" s="17">
        <v>2.0</v>
      </c>
      <c r="F81" s="17"/>
      <c r="G81" s="35"/>
    </row>
    <row r="82" ht="18.75" customHeight="1">
      <c r="A82" s="13">
        <v>80.0</v>
      </c>
      <c r="B82" s="42"/>
      <c r="C82" s="40"/>
      <c r="D82" s="30">
        <v>963.0</v>
      </c>
      <c r="E82" s="17">
        <v>4.0</v>
      </c>
      <c r="F82" s="17"/>
      <c r="G82" s="35"/>
    </row>
    <row r="83" ht="18.75" customHeight="1">
      <c r="A83" s="13">
        <v>81.0</v>
      </c>
      <c r="B83" s="42" t="s">
        <v>28</v>
      </c>
      <c r="C83" s="40"/>
      <c r="D83" s="30">
        <v>87568.0</v>
      </c>
      <c r="E83" s="17">
        <v>2.0</v>
      </c>
      <c r="F83" s="17"/>
      <c r="G83" s="35"/>
    </row>
    <row r="84" ht="18.75" customHeight="1">
      <c r="A84" s="13">
        <v>82.0</v>
      </c>
      <c r="B84" s="42"/>
      <c r="C84" s="40"/>
      <c r="D84" s="30">
        <v>963.0</v>
      </c>
      <c r="E84" s="17">
        <v>4.0</v>
      </c>
      <c r="F84" s="17"/>
      <c r="G84" s="35"/>
    </row>
    <row r="85" ht="18.75" customHeight="1">
      <c r="A85" s="13">
        <v>83.0</v>
      </c>
      <c r="B85" s="42" t="s">
        <v>28</v>
      </c>
      <c r="C85" s="40"/>
      <c r="D85" s="30">
        <v>36120.0</v>
      </c>
      <c r="E85" s="17">
        <v>2.0</v>
      </c>
      <c r="F85" s="17"/>
      <c r="G85" s="35"/>
    </row>
    <row r="86" ht="18.75" customHeight="1">
      <c r="A86" s="13">
        <v>84.0</v>
      </c>
      <c r="B86" s="42"/>
      <c r="C86" s="40"/>
      <c r="D86" s="30">
        <v>397.0</v>
      </c>
      <c r="E86" s="17">
        <v>4.0</v>
      </c>
      <c r="F86" s="17"/>
      <c r="G86" s="35"/>
    </row>
    <row r="87" ht="18.75" customHeight="1">
      <c r="A87" s="13">
        <v>85.0</v>
      </c>
      <c r="B87" s="42" t="s">
        <v>28</v>
      </c>
      <c r="C87" s="40"/>
      <c r="D87" s="30">
        <v>72239.0</v>
      </c>
      <c r="E87" s="17">
        <v>2.0</v>
      </c>
      <c r="F87" s="17"/>
      <c r="G87" s="35"/>
    </row>
    <row r="88" ht="18.75" customHeight="1">
      <c r="A88" s="13">
        <v>86.0</v>
      </c>
      <c r="B88" s="42"/>
      <c r="C88" s="40"/>
      <c r="D88" s="30">
        <v>795.0</v>
      </c>
      <c r="E88" s="17">
        <v>4.0</v>
      </c>
      <c r="F88" s="17"/>
      <c r="G88" s="35"/>
    </row>
    <row r="89" ht="18.75" customHeight="1">
      <c r="A89" s="13">
        <v>87.0</v>
      </c>
      <c r="B89" s="42" t="s">
        <v>28</v>
      </c>
      <c r="C89" s="40"/>
      <c r="D89" s="30">
        <v>144478.0</v>
      </c>
      <c r="E89" s="17">
        <v>2.0</v>
      </c>
      <c r="F89" s="17"/>
      <c r="G89" s="35"/>
    </row>
    <row r="90" ht="18.75" customHeight="1">
      <c r="A90" s="13">
        <v>88.0</v>
      </c>
      <c r="B90" s="42"/>
      <c r="C90" s="40"/>
      <c r="D90" s="30">
        <v>1589.0</v>
      </c>
      <c r="E90" s="17">
        <v>4.0</v>
      </c>
      <c r="F90" s="17"/>
      <c r="G90" s="35"/>
    </row>
    <row r="91" ht="18.75" customHeight="1">
      <c r="A91" s="13">
        <v>89.0</v>
      </c>
      <c r="B91" s="42" t="s">
        <v>28</v>
      </c>
      <c r="C91" s="40"/>
      <c r="D91" s="30">
        <v>288957.0</v>
      </c>
      <c r="E91" s="17">
        <v>2.0</v>
      </c>
      <c r="F91" s="17"/>
      <c r="G91" s="35"/>
    </row>
    <row r="92" ht="18.75" customHeight="1">
      <c r="A92" s="13">
        <v>90.0</v>
      </c>
      <c r="B92" s="42"/>
      <c r="C92" s="40"/>
      <c r="D92" s="30">
        <v>3179.0</v>
      </c>
      <c r="E92" s="17">
        <v>4.0</v>
      </c>
      <c r="F92" s="17"/>
      <c r="G92" s="35"/>
    </row>
    <row r="93" ht="18.75" customHeight="1">
      <c r="A93" s="13">
        <v>91.0</v>
      </c>
      <c r="B93" s="42" t="s">
        <v>28</v>
      </c>
      <c r="C93" s="40"/>
      <c r="D93" s="30">
        <v>175138.0</v>
      </c>
      <c r="E93" s="17">
        <v>2.0</v>
      </c>
      <c r="F93" s="17"/>
      <c r="G93" s="35"/>
    </row>
    <row r="94" ht="18.75" customHeight="1">
      <c r="A94" s="13">
        <v>92.0</v>
      </c>
      <c r="B94" s="42"/>
      <c r="C94" s="40"/>
      <c r="D94" s="30">
        <v>1927.0</v>
      </c>
      <c r="E94" s="17">
        <v>4.0</v>
      </c>
      <c r="F94" s="17"/>
      <c r="G94" s="35"/>
    </row>
    <row r="95" ht="18.75" customHeight="1">
      <c r="A95" s="13">
        <v>93.0</v>
      </c>
      <c r="B95" s="42" t="s">
        <v>28</v>
      </c>
      <c r="C95" s="40"/>
      <c r="D95" s="30">
        <v>262705.0</v>
      </c>
      <c r="E95" s="17">
        <v>2.0</v>
      </c>
      <c r="F95" s="17"/>
      <c r="G95" s="35"/>
    </row>
    <row r="96" ht="18.75" customHeight="1">
      <c r="A96" s="13">
        <v>94.0</v>
      </c>
      <c r="B96" s="42"/>
      <c r="C96" s="40"/>
      <c r="D96" s="30">
        <v>2890.0</v>
      </c>
      <c r="E96" s="17">
        <v>4.0</v>
      </c>
      <c r="F96" s="17"/>
      <c r="G96" s="35"/>
    </row>
    <row r="97" ht="18.75" customHeight="1">
      <c r="A97" s="13">
        <v>95.0</v>
      </c>
      <c r="B97" s="42" t="s">
        <v>28</v>
      </c>
      <c r="C97" s="40"/>
      <c r="D97" s="30">
        <v>204325.0</v>
      </c>
      <c r="E97" s="17">
        <v>2.0</v>
      </c>
      <c r="F97" s="17"/>
      <c r="G97" s="35"/>
    </row>
    <row r="98" ht="18.75" customHeight="1">
      <c r="A98" s="13">
        <v>96.0</v>
      </c>
      <c r="B98" s="42"/>
      <c r="C98" s="40"/>
      <c r="D98" s="30">
        <v>2248.0</v>
      </c>
      <c r="E98" s="17">
        <v>4.0</v>
      </c>
      <c r="F98" s="17"/>
      <c r="G98" s="35"/>
    </row>
    <row r="99" ht="18.75" customHeight="1">
      <c r="A99" s="13">
        <v>97.0</v>
      </c>
      <c r="B99" s="42" t="s">
        <v>28</v>
      </c>
      <c r="C99" s="40"/>
      <c r="D99" s="30">
        <v>233516.0</v>
      </c>
      <c r="E99" s="17">
        <v>2.0</v>
      </c>
      <c r="F99" s="17"/>
      <c r="G99" s="35"/>
    </row>
    <row r="100" ht="18.75" customHeight="1">
      <c r="A100" s="13">
        <v>98.0</v>
      </c>
      <c r="B100" s="42"/>
      <c r="C100" s="40"/>
      <c r="D100" s="30">
        <v>2569.0</v>
      </c>
      <c r="E100" s="17">
        <v>4.0</v>
      </c>
      <c r="F100" s="17"/>
      <c r="G100" s="35"/>
    </row>
    <row r="101" ht="18.75" customHeight="1">
      <c r="A101" s="13">
        <v>99.0</v>
      </c>
      <c r="B101" s="42" t="s">
        <v>28</v>
      </c>
      <c r="C101" s="40"/>
      <c r="D101" s="30">
        <v>321083.0</v>
      </c>
      <c r="E101" s="17">
        <v>2.0</v>
      </c>
      <c r="F101" s="17"/>
      <c r="G101" s="35"/>
    </row>
    <row r="102" ht="18.75" customHeight="1">
      <c r="A102" s="13">
        <v>100.0</v>
      </c>
      <c r="B102" s="42"/>
      <c r="C102" s="40"/>
      <c r="D102" s="30">
        <v>3532.0</v>
      </c>
      <c r="E102" s="17">
        <v>4.0</v>
      </c>
      <c r="F102" s="17"/>
      <c r="G102" s="35"/>
    </row>
    <row r="103" ht="18.75" customHeight="1">
      <c r="A103" s="13">
        <v>101.0</v>
      </c>
      <c r="B103" s="42" t="s">
        <v>28</v>
      </c>
      <c r="C103" s="40"/>
      <c r="D103" s="30">
        <v>379463.0</v>
      </c>
      <c r="E103" s="17">
        <v>2.0</v>
      </c>
      <c r="F103" s="17"/>
      <c r="G103" s="35"/>
    </row>
    <row r="104" ht="18.75" customHeight="1">
      <c r="A104" s="13">
        <v>102.0</v>
      </c>
      <c r="B104" s="42"/>
      <c r="C104" s="40"/>
      <c r="D104" s="30">
        <v>4174.0</v>
      </c>
      <c r="E104" s="17">
        <v>4.0</v>
      </c>
      <c r="F104" s="17"/>
      <c r="G104" s="35"/>
    </row>
    <row r="105" ht="18.75" customHeight="1">
      <c r="A105" s="13">
        <v>103.0</v>
      </c>
      <c r="B105" s="42" t="s">
        <v>28</v>
      </c>
      <c r="C105" s="40"/>
      <c r="D105" s="30">
        <v>291894.0</v>
      </c>
      <c r="E105" s="17">
        <v>2.0</v>
      </c>
      <c r="F105" s="17"/>
      <c r="G105" s="35"/>
    </row>
    <row r="106" ht="18.75" customHeight="1">
      <c r="A106" s="13">
        <v>104.0</v>
      </c>
      <c r="B106" s="42"/>
      <c r="C106" s="40"/>
      <c r="D106" s="49">
        <v>3211.0</v>
      </c>
      <c r="E106" s="17">
        <v>4.0</v>
      </c>
      <c r="F106" s="17"/>
      <c r="G106" s="35"/>
    </row>
    <row r="107" ht="18.75" customHeight="1">
      <c r="A107" s="13">
        <v>105.0</v>
      </c>
      <c r="B107" s="42" t="s">
        <v>28</v>
      </c>
      <c r="C107" s="40"/>
      <c r="D107" s="49">
        <v>437841.0</v>
      </c>
      <c r="E107" s="17">
        <v>2.0</v>
      </c>
      <c r="F107" s="17"/>
      <c r="G107" s="35"/>
    </row>
    <row r="108" ht="18.75" customHeight="1">
      <c r="A108" s="13">
        <v>106.0</v>
      </c>
      <c r="B108" s="42"/>
      <c r="C108" s="40"/>
      <c r="D108" s="49">
        <v>4816.0</v>
      </c>
      <c r="E108" s="17">
        <v>4.0</v>
      </c>
      <c r="F108" s="17"/>
      <c r="G108" s="35"/>
    </row>
    <row r="109" ht="18.75" customHeight="1">
      <c r="A109" s="13">
        <v>107.0</v>
      </c>
      <c r="B109" s="42" t="s">
        <v>28</v>
      </c>
      <c r="C109" s="40"/>
      <c r="D109" s="49">
        <v>496219.0</v>
      </c>
      <c r="E109" s="17">
        <v>2.0</v>
      </c>
      <c r="F109" s="17"/>
      <c r="G109" s="35"/>
    </row>
    <row r="110" ht="18.75" customHeight="1">
      <c r="A110" s="13">
        <v>108.0</v>
      </c>
      <c r="B110" s="42"/>
      <c r="C110" s="40"/>
      <c r="D110" s="49">
        <v>5458.0</v>
      </c>
      <c r="E110" s="17">
        <v>4.0</v>
      </c>
      <c r="F110" s="17"/>
      <c r="G110" s="35"/>
    </row>
    <row r="111" ht="18.75" customHeight="1">
      <c r="A111" s="13">
        <v>109.0</v>
      </c>
      <c r="B111" s="42" t="s">
        <v>29</v>
      </c>
      <c r="C111" s="40">
        <v>1.0E7</v>
      </c>
      <c r="D111" s="49"/>
      <c r="E111" s="17">
        <v>2.0</v>
      </c>
      <c r="F111" s="17"/>
      <c r="G111" s="35"/>
    </row>
    <row r="112" ht="18.75" customHeight="1">
      <c r="A112" s="13">
        <v>110.0</v>
      </c>
      <c r="B112" s="42" t="s">
        <v>29</v>
      </c>
      <c r="C112" s="40"/>
      <c r="D112" s="49">
        <v>554598.0</v>
      </c>
      <c r="E112" s="17">
        <v>2.0</v>
      </c>
      <c r="F112" s="17"/>
      <c r="G112" s="35"/>
    </row>
    <row r="113" ht="18.75" customHeight="1">
      <c r="A113" s="13">
        <v>111.0</v>
      </c>
      <c r="B113" s="42"/>
      <c r="C113" s="40"/>
      <c r="D113" s="49">
        <v>6101.0</v>
      </c>
      <c r="E113" s="17">
        <v>4.0</v>
      </c>
      <c r="F113" s="17"/>
      <c r="G113" s="35"/>
    </row>
    <row r="114" ht="18.75" customHeight="1">
      <c r="A114" s="13">
        <v>112.0</v>
      </c>
      <c r="B114" s="42" t="s">
        <v>29</v>
      </c>
      <c r="C114" s="40"/>
      <c r="D114" s="49">
        <v>287025.0</v>
      </c>
      <c r="E114" s="17">
        <v>2.0</v>
      </c>
      <c r="F114" s="17"/>
      <c r="G114" s="35"/>
    </row>
    <row r="115" ht="18.75" customHeight="1">
      <c r="A115" s="13">
        <v>113.0</v>
      </c>
      <c r="B115" s="42"/>
      <c r="C115" s="40"/>
      <c r="D115" s="49">
        <v>3157.0</v>
      </c>
      <c r="E115" s="17">
        <v>4.0</v>
      </c>
      <c r="F115" s="17"/>
      <c r="G115" s="35"/>
    </row>
    <row r="116" ht="18.75" customHeight="1">
      <c r="A116" s="13">
        <v>114.0</v>
      </c>
      <c r="B116" s="42" t="s">
        <v>29</v>
      </c>
      <c r="C116" s="40"/>
      <c r="D116" s="49">
        <v>612976.0</v>
      </c>
      <c r="E116" s="17">
        <v>2.0</v>
      </c>
      <c r="F116" s="17"/>
      <c r="G116" s="35"/>
    </row>
    <row r="117" ht="18.75" customHeight="1">
      <c r="A117" s="13">
        <v>115.0</v>
      </c>
      <c r="B117" s="42"/>
      <c r="C117" s="40"/>
      <c r="D117" s="49">
        <v>6743.0</v>
      </c>
      <c r="E117" s="17">
        <v>4.0</v>
      </c>
      <c r="F117" s="17"/>
      <c r="G117" s="35"/>
    </row>
    <row r="118" ht="18.75" customHeight="1">
      <c r="A118" s="13">
        <v>116.0</v>
      </c>
      <c r="B118" s="42" t="s">
        <v>29</v>
      </c>
      <c r="C118" s="40"/>
      <c r="D118" s="49">
        <v>700544.0</v>
      </c>
      <c r="E118" s="17">
        <v>2.0</v>
      </c>
      <c r="F118" s="17"/>
      <c r="G118" s="35"/>
    </row>
    <row r="119" ht="18.75" customHeight="1">
      <c r="A119" s="13">
        <v>117.0</v>
      </c>
      <c r="B119" s="42"/>
      <c r="C119" s="40"/>
      <c r="D119" s="49">
        <v>7706.0</v>
      </c>
      <c r="E119" s="17">
        <v>4.0</v>
      </c>
      <c r="F119" s="17"/>
      <c r="G119" s="35"/>
    </row>
    <row r="120" ht="18.75" customHeight="1">
      <c r="A120" s="13">
        <v>118.0</v>
      </c>
      <c r="B120" s="42" t="s">
        <v>30</v>
      </c>
      <c r="C120" s="40"/>
      <c r="D120" s="49">
        <v>136642.0</v>
      </c>
      <c r="E120" s="17">
        <v>2.0</v>
      </c>
      <c r="F120" s="17"/>
      <c r="G120" s="35"/>
    </row>
    <row r="121" ht="18.75" customHeight="1">
      <c r="A121" s="13">
        <v>119.0</v>
      </c>
      <c r="B121" s="42"/>
      <c r="C121" s="40"/>
      <c r="D121" s="49">
        <v>1503.0</v>
      </c>
      <c r="E121" s="17">
        <v>4.0</v>
      </c>
      <c r="F121" s="17"/>
      <c r="G121" s="35"/>
    </row>
    <row r="122" ht="18.75" customHeight="1">
      <c r="A122" s="13">
        <v>120.0</v>
      </c>
      <c r="B122" s="42" t="s">
        <v>30</v>
      </c>
      <c r="C122" s="40"/>
      <c r="D122" s="49">
        <v>788113.0</v>
      </c>
      <c r="E122" s="17">
        <v>2.0</v>
      </c>
      <c r="F122" s="17"/>
      <c r="G122" s="35"/>
    </row>
    <row r="123" ht="18.75" customHeight="1">
      <c r="A123" s="13">
        <v>121.0</v>
      </c>
      <c r="B123" s="42"/>
      <c r="C123" s="40"/>
      <c r="D123" s="49">
        <v>8669.0</v>
      </c>
      <c r="E123" s="17">
        <v>4.0</v>
      </c>
      <c r="F123" s="17"/>
      <c r="G123" s="35"/>
    </row>
    <row r="124" ht="18.75" customHeight="1">
      <c r="A124" s="13">
        <v>122.0</v>
      </c>
      <c r="B124" s="42" t="s">
        <v>30</v>
      </c>
      <c r="C124" s="40"/>
      <c r="D124" s="49">
        <v>172225.0</v>
      </c>
      <c r="E124" s="17">
        <v>2.0</v>
      </c>
      <c r="F124" s="17"/>
      <c r="G124" s="35"/>
    </row>
    <row r="125" ht="18.75" customHeight="1">
      <c r="A125" s="13">
        <v>123.0</v>
      </c>
      <c r="B125" s="42"/>
      <c r="C125" s="40"/>
      <c r="D125" s="49">
        <v>1894.0</v>
      </c>
      <c r="E125" s="17">
        <v>4.0</v>
      </c>
      <c r="F125" s="17"/>
      <c r="G125" s="35"/>
    </row>
    <row r="126" ht="18.75" customHeight="1">
      <c r="A126" s="13">
        <v>124.0</v>
      </c>
      <c r="B126" s="42" t="s">
        <v>30</v>
      </c>
      <c r="C126" s="40"/>
      <c r="D126" s="49">
        <v>210081.0</v>
      </c>
      <c r="E126" s="17">
        <v>2.0</v>
      </c>
      <c r="F126" s="17"/>
      <c r="G126" s="35"/>
    </row>
    <row r="127" ht="18.75" customHeight="1">
      <c r="A127" s="13">
        <v>125.0</v>
      </c>
      <c r="B127" s="42"/>
      <c r="C127" s="40"/>
      <c r="D127" s="49">
        <v>2311.0</v>
      </c>
      <c r="E127" s="17">
        <v>4.0</v>
      </c>
      <c r="F127" s="17"/>
      <c r="G127" s="35"/>
    </row>
    <row r="128" ht="18.75" customHeight="1">
      <c r="A128" s="13">
        <v>126.0</v>
      </c>
      <c r="B128" s="42" t="s">
        <v>30</v>
      </c>
      <c r="C128" s="40"/>
      <c r="D128" s="50">
        <v>876192.0</v>
      </c>
      <c r="E128" s="17">
        <v>2.0</v>
      </c>
      <c r="F128" s="17"/>
      <c r="G128" s="35"/>
    </row>
    <row r="129" ht="18.75" customHeight="1">
      <c r="A129" s="13">
        <v>127.0</v>
      </c>
      <c r="B129" s="42"/>
      <c r="C129" s="40"/>
      <c r="D129" s="50">
        <v>9638.0</v>
      </c>
      <c r="E129" s="17">
        <v>4.0</v>
      </c>
      <c r="F129" s="17"/>
      <c r="G129" s="35"/>
    </row>
    <row r="130" ht="18.75" customHeight="1">
      <c r="A130" s="13">
        <v>128.0</v>
      </c>
      <c r="B130" s="42" t="s">
        <v>30</v>
      </c>
      <c r="C130" s="40"/>
      <c r="D130" s="50">
        <v>963810.0</v>
      </c>
      <c r="E130" s="17">
        <v>2.0</v>
      </c>
      <c r="F130" s="17"/>
      <c r="G130" s="35"/>
    </row>
    <row r="131" ht="18.75" customHeight="1">
      <c r="A131" s="13">
        <v>129.0</v>
      </c>
      <c r="B131" s="42"/>
      <c r="C131" s="40"/>
      <c r="D131" s="50">
        <v>10602.0</v>
      </c>
      <c r="E131" s="17">
        <v>4.0</v>
      </c>
      <c r="F131" s="17"/>
      <c r="G131" s="35"/>
    </row>
    <row r="132" ht="18.75" customHeight="1">
      <c r="A132" s="13">
        <v>130.0</v>
      </c>
      <c r="B132" s="42" t="s">
        <v>31</v>
      </c>
      <c r="C132" s="40">
        <v>1.0E7</v>
      </c>
      <c r="D132" s="50"/>
      <c r="E132" s="17">
        <v>2.0</v>
      </c>
      <c r="F132" s="17"/>
      <c r="G132" s="35"/>
    </row>
    <row r="133" ht="18.75" customHeight="1">
      <c r="A133" s="13">
        <v>131.0</v>
      </c>
      <c r="B133" s="42" t="s">
        <v>32</v>
      </c>
      <c r="C133" s="40"/>
      <c r="D133" s="50">
        <v>69068.0</v>
      </c>
      <c r="E133" s="17">
        <v>2.0</v>
      </c>
      <c r="F133" s="17"/>
      <c r="G133" s="35"/>
    </row>
    <row r="134" ht="18.75" customHeight="1">
      <c r="A134" s="13">
        <v>132.0</v>
      </c>
      <c r="B134" s="42"/>
      <c r="C134" s="40"/>
      <c r="D134" s="50">
        <v>760.0</v>
      </c>
      <c r="E134" s="17">
        <v>4.0</v>
      </c>
      <c r="F134" s="17"/>
      <c r="G134" s="35"/>
    </row>
    <row r="135" ht="18.75" customHeight="1">
      <c r="A135" s="13">
        <v>133.0</v>
      </c>
      <c r="B135" s="42" t="s">
        <v>32</v>
      </c>
      <c r="C135" s="40"/>
      <c r="D135" s="50">
        <v>1080637.0</v>
      </c>
      <c r="E135" s="17">
        <v>2.0</v>
      </c>
      <c r="F135" s="17"/>
      <c r="G135" s="35"/>
    </row>
    <row r="136" ht="18.75" customHeight="1">
      <c r="A136" s="13">
        <v>134.0</v>
      </c>
      <c r="B136" s="42"/>
      <c r="C136" s="40"/>
      <c r="D136" s="50">
        <v>11887.0</v>
      </c>
      <c r="E136" s="17">
        <v>4.0</v>
      </c>
      <c r="F136" s="17"/>
      <c r="G136" s="35"/>
    </row>
    <row r="137" ht="18.75" customHeight="1">
      <c r="A137" s="13">
        <v>135.0</v>
      </c>
      <c r="B137" s="42" t="s">
        <v>32</v>
      </c>
      <c r="C137" s="40"/>
      <c r="D137" s="50">
        <v>60022.0</v>
      </c>
      <c r="E137" s="17">
        <v>2.0</v>
      </c>
      <c r="F137" s="17"/>
      <c r="G137" s="35"/>
    </row>
    <row r="138" ht="18.75" customHeight="1">
      <c r="A138" s="13">
        <v>136.0</v>
      </c>
      <c r="B138" s="42"/>
      <c r="C138" s="40"/>
      <c r="D138" s="50">
        <v>660.0</v>
      </c>
      <c r="E138" s="17">
        <v>4.0</v>
      </c>
      <c r="F138" s="17"/>
      <c r="G138" s="35"/>
    </row>
    <row r="139" ht="18.75" customHeight="1">
      <c r="A139" s="13">
        <v>137.0</v>
      </c>
      <c r="B139" s="42" t="s">
        <v>32</v>
      </c>
      <c r="C139" s="40"/>
      <c r="D139" s="50">
        <v>1196985.0</v>
      </c>
      <c r="E139" s="17">
        <v>2.0</v>
      </c>
      <c r="F139" s="17"/>
      <c r="G139" s="35"/>
    </row>
    <row r="140" ht="18.75" customHeight="1">
      <c r="A140" s="13">
        <v>138.0</v>
      </c>
      <c r="B140" s="42"/>
      <c r="C140" s="40"/>
      <c r="D140" s="50">
        <v>13167.0</v>
      </c>
      <c r="E140" s="17">
        <v>4.0</v>
      </c>
      <c r="F140" s="17"/>
      <c r="G140" s="35"/>
    </row>
    <row r="141" ht="18.75" customHeight="1">
      <c r="A141" s="13">
        <v>139.0</v>
      </c>
      <c r="B141" s="42" t="s">
        <v>32</v>
      </c>
      <c r="C141" s="40"/>
      <c r="D141" s="50">
        <v>1342960.0</v>
      </c>
      <c r="E141" s="17">
        <v>2.0</v>
      </c>
      <c r="F141" s="17"/>
      <c r="G141" s="35"/>
    </row>
    <row r="142" ht="18.75" customHeight="1">
      <c r="A142" s="13">
        <v>140.0</v>
      </c>
      <c r="B142" s="42"/>
      <c r="C142" s="40"/>
      <c r="D142" s="50">
        <v>14773.0</v>
      </c>
      <c r="E142" s="17">
        <v>4.0</v>
      </c>
      <c r="F142" s="17"/>
      <c r="G142" s="35"/>
    </row>
    <row r="143" ht="18.75" customHeight="1">
      <c r="A143" s="13">
        <v>141.0</v>
      </c>
      <c r="B143" s="42" t="s">
        <v>31</v>
      </c>
      <c r="C143" s="40"/>
      <c r="D143" s="50">
        <v>46697.0</v>
      </c>
      <c r="E143" s="17">
        <v>2.0</v>
      </c>
      <c r="F143" s="17"/>
      <c r="G143" s="35"/>
    </row>
    <row r="144" ht="18.75" customHeight="1">
      <c r="A144" s="13">
        <v>142.0</v>
      </c>
      <c r="B144" s="42"/>
      <c r="C144" s="40"/>
      <c r="D144" s="50">
        <v>514.0</v>
      </c>
      <c r="E144" s="17">
        <v>4.0</v>
      </c>
      <c r="F144" s="17"/>
      <c r="G144" s="35"/>
    </row>
    <row r="145" ht="18.75" customHeight="1">
      <c r="A145" s="13">
        <v>143.0</v>
      </c>
      <c r="B145" s="42" t="s">
        <v>31</v>
      </c>
      <c r="C145" s="40"/>
      <c r="D145" s="50">
        <v>158884.0</v>
      </c>
      <c r="E145" s="17">
        <v>2.0</v>
      </c>
      <c r="F145" s="17"/>
      <c r="G145" s="35"/>
    </row>
    <row r="146" ht="18.75" customHeight="1">
      <c r="A146" s="13">
        <v>144.0</v>
      </c>
      <c r="B146" s="42"/>
      <c r="C146" s="40"/>
      <c r="D146" s="50">
        <v>1748.0</v>
      </c>
      <c r="E146" s="17">
        <v>4.0</v>
      </c>
      <c r="F146" s="17"/>
      <c r="G146" s="35"/>
    </row>
    <row r="147" ht="18.75" customHeight="1">
      <c r="A147" s="13">
        <v>145.0</v>
      </c>
      <c r="B147" s="42" t="s">
        <v>31</v>
      </c>
      <c r="C147" s="40"/>
      <c r="D147" s="50">
        <v>175090.0</v>
      </c>
      <c r="E147" s="17">
        <v>2.0</v>
      </c>
      <c r="F147" s="17"/>
      <c r="G147" s="35"/>
    </row>
    <row r="148" ht="18.75" customHeight="1">
      <c r="A148" s="13">
        <v>146.0</v>
      </c>
      <c r="B148" s="42"/>
      <c r="C148" s="40"/>
      <c r="D148" s="50">
        <v>1926.0</v>
      </c>
      <c r="E148" s="17">
        <v>4.0</v>
      </c>
      <c r="F148" s="17"/>
      <c r="G148" s="35"/>
    </row>
    <row r="149" ht="18.75" customHeight="1">
      <c r="A149" s="13">
        <v>147.0</v>
      </c>
      <c r="B149" s="42" t="s">
        <v>31</v>
      </c>
      <c r="C149" s="40"/>
      <c r="D149" s="50">
        <v>1488934.0</v>
      </c>
      <c r="E149" s="17">
        <v>2.0</v>
      </c>
      <c r="F149" s="17"/>
      <c r="G149" s="35"/>
    </row>
    <row r="150" ht="19.5" customHeight="1">
      <c r="A150" s="13">
        <v>148.0</v>
      </c>
      <c r="B150" s="42"/>
      <c r="C150" s="40"/>
      <c r="D150" s="51">
        <v>16378.0</v>
      </c>
      <c r="E150" s="17">
        <v>4.0</v>
      </c>
      <c r="F150" s="17"/>
      <c r="G150" s="35"/>
    </row>
    <row r="151" ht="19.5" customHeight="1">
      <c r="A151" s="13">
        <v>149.0</v>
      </c>
      <c r="B151" s="42" t="s">
        <v>31</v>
      </c>
      <c r="C151" s="40"/>
      <c r="D151" s="51">
        <v>1664102.0</v>
      </c>
      <c r="E151" s="17">
        <v>2.0</v>
      </c>
      <c r="F151" s="17"/>
      <c r="G151" s="35"/>
    </row>
    <row r="152" ht="19.5" customHeight="1">
      <c r="A152" s="13">
        <v>150.0</v>
      </c>
      <c r="B152" s="42"/>
      <c r="C152" s="40"/>
      <c r="D152" s="51">
        <v>18305.0</v>
      </c>
      <c r="E152" s="17">
        <v>4.0</v>
      </c>
      <c r="F152" s="17"/>
      <c r="G152" s="35"/>
    </row>
    <row r="153" ht="19.5" customHeight="1">
      <c r="A153" s="13">
        <v>151.0</v>
      </c>
      <c r="B153" s="42" t="s">
        <v>31</v>
      </c>
      <c r="C153" s="40"/>
      <c r="D153" s="51">
        <v>56783.0</v>
      </c>
      <c r="E153" s="17">
        <v>2.0</v>
      </c>
      <c r="F153" s="17"/>
      <c r="G153" s="35"/>
    </row>
    <row r="154" ht="19.5" customHeight="1">
      <c r="A154" s="13">
        <v>152.0</v>
      </c>
      <c r="B154" s="42"/>
      <c r="C154" s="40"/>
      <c r="D154" s="51">
        <v>625.0</v>
      </c>
      <c r="E154" s="17">
        <v>4.0</v>
      </c>
      <c r="F154" s="17"/>
      <c r="G154" s="35"/>
    </row>
    <row r="155" ht="19.5" customHeight="1">
      <c r="A155" s="13">
        <v>153.0</v>
      </c>
      <c r="B155" s="42" t="s">
        <v>33</v>
      </c>
      <c r="C155" s="40"/>
      <c r="D155" s="51">
        <v>1838441.0</v>
      </c>
      <c r="E155" s="17">
        <v>2.0</v>
      </c>
      <c r="F155" s="17"/>
      <c r="G155" s="35"/>
    </row>
    <row r="156" ht="19.5" customHeight="1">
      <c r="A156" s="13">
        <v>154.0</v>
      </c>
      <c r="B156" s="42"/>
      <c r="C156" s="40"/>
      <c r="D156" s="51">
        <v>20223.0</v>
      </c>
      <c r="E156" s="17">
        <v>4.0</v>
      </c>
      <c r="F156" s="17"/>
      <c r="G156" s="35"/>
    </row>
    <row r="157" ht="19.5" customHeight="1">
      <c r="A157" s="13">
        <v>155.0</v>
      </c>
      <c r="B157" s="42" t="s">
        <v>34</v>
      </c>
      <c r="C157" s="40">
        <v>1.0E7</v>
      </c>
      <c r="D157" s="51"/>
      <c r="E157" s="17">
        <v>2.0</v>
      </c>
      <c r="F157" s="17"/>
      <c r="G157" s="35"/>
    </row>
    <row r="158" ht="19.5" customHeight="1">
      <c r="A158" s="13">
        <v>156.0</v>
      </c>
      <c r="B158" s="42" t="s">
        <v>31</v>
      </c>
      <c r="C158" s="40"/>
      <c r="D158" s="51">
        <v>328900.0</v>
      </c>
      <c r="E158" s="17">
        <v>2.0</v>
      </c>
      <c r="F158" s="17"/>
      <c r="G158" s="35"/>
    </row>
    <row r="159" ht="19.5" customHeight="1">
      <c r="A159" s="13">
        <v>157.0</v>
      </c>
      <c r="B159" s="42"/>
      <c r="C159" s="40"/>
      <c r="D159" s="51">
        <v>3618.0</v>
      </c>
      <c r="E159" s="17">
        <v>4.0</v>
      </c>
      <c r="F159" s="17"/>
      <c r="G159" s="35"/>
    </row>
    <row r="160" ht="19.5" customHeight="1">
      <c r="A160" s="13">
        <v>158.0</v>
      </c>
      <c r="B160" s="42" t="s">
        <v>33</v>
      </c>
      <c r="C160" s="40"/>
      <c r="D160" s="51">
        <v>525019.0</v>
      </c>
      <c r="E160" s="17">
        <v>2.0</v>
      </c>
      <c r="F160" s="17"/>
      <c r="G160" s="35"/>
    </row>
    <row r="161" ht="19.5" customHeight="1">
      <c r="A161" s="13">
        <v>159.0</v>
      </c>
      <c r="B161" s="42"/>
      <c r="C161" s="40"/>
      <c r="D161" s="51">
        <v>5775.0</v>
      </c>
      <c r="E161" s="17">
        <v>4.0</v>
      </c>
      <c r="F161" s="17"/>
      <c r="G161" s="35"/>
    </row>
    <row r="162" ht="19.5" customHeight="1">
      <c r="A162" s="13">
        <v>160.0</v>
      </c>
      <c r="B162" s="42" t="s">
        <v>33</v>
      </c>
      <c r="C162" s="40"/>
      <c r="D162" s="51">
        <v>2042711.0</v>
      </c>
      <c r="E162" s="17">
        <v>2.0</v>
      </c>
      <c r="F162" s="17"/>
      <c r="G162" s="35"/>
    </row>
    <row r="163" ht="19.5" customHeight="1">
      <c r="A163" s="13">
        <v>161.0</v>
      </c>
      <c r="B163" s="42"/>
      <c r="C163" s="40"/>
      <c r="D163" s="51">
        <v>22470.0</v>
      </c>
      <c r="E163" s="17">
        <v>4.0</v>
      </c>
      <c r="F163" s="17"/>
      <c r="G163" s="35"/>
    </row>
    <row r="164" ht="19.5" customHeight="1">
      <c r="A164" s="13">
        <v>162.0</v>
      </c>
      <c r="B164" s="42" t="s">
        <v>33</v>
      </c>
      <c r="C164" s="40"/>
      <c r="D164" s="51">
        <v>894748.0</v>
      </c>
      <c r="E164" s="17">
        <v>2.0</v>
      </c>
      <c r="F164" s="17"/>
      <c r="G164" s="35"/>
    </row>
    <row r="165" ht="19.5" customHeight="1">
      <c r="A165" s="13">
        <v>163.0</v>
      </c>
      <c r="B165" s="42"/>
      <c r="C165" s="40"/>
      <c r="D165" s="51">
        <v>9842.0</v>
      </c>
      <c r="E165" s="17">
        <v>4.0</v>
      </c>
      <c r="F165" s="17"/>
      <c r="G165" s="35"/>
    </row>
    <row r="166" ht="19.5" customHeight="1">
      <c r="A166" s="13">
        <v>164.0</v>
      </c>
      <c r="B166" s="42" t="s">
        <v>33</v>
      </c>
      <c r="C166" s="40"/>
      <c r="D166" s="51">
        <v>583788.0</v>
      </c>
      <c r="E166" s="17">
        <v>2.0</v>
      </c>
      <c r="F166" s="17"/>
      <c r="G166" s="35"/>
    </row>
    <row r="167" ht="19.5" customHeight="1">
      <c r="A167" s="13">
        <v>165.0</v>
      </c>
      <c r="B167" s="42"/>
      <c r="C167" s="40"/>
      <c r="D167" s="51">
        <v>6422.0</v>
      </c>
      <c r="E167" s="17">
        <v>4.0</v>
      </c>
      <c r="F167" s="17"/>
      <c r="G167" s="35"/>
    </row>
    <row r="168" ht="19.5" customHeight="1">
      <c r="A168" s="13">
        <v>166.0</v>
      </c>
      <c r="B168" s="42" t="s">
        <v>35</v>
      </c>
      <c r="C168" s="40">
        <v>1.0E7</v>
      </c>
      <c r="D168" s="51"/>
      <c r="E168" s="17">
        <v>2.0</v>
      </c>
      <c r="F168" s="17"/>
      <c r="G168" s="35"/>
    </row>
    <row r="169" ht="19.5" customHeight="1">
      <c r="A169" s="13">
        <v>167.0</v>
      </c>
      <c r="B169" s="42" t="s">
        <v>34</v>
      </c>
      <c r="C169" s="40"/>
      <c r="D169" s="51">
        <v>642166.0</v>
      </c>
      <c r="E169" s="17">
        <v>2.0</v>
      </c>
      <c r="F169" s="17"/>
      <c r="G169" s="35"/>
    </row>
    <row r="170" ht="19.5" customHeight="1">
      <c r="A170" s="13">
        <v>168.0</v>
      </c>
      <c r="B170" s="42"/>
      <c r="C170" s="40"/>
      <c r="D170" s="51">
        <v>7064.0</v>
      </c>
      <c r="E170" s="17">
        <v>4.0</v>
      </c>
      <c r="F170" s="17"/>
      <c r="G170" s="35"/>
    </row>
    <row r="171" ht="19.5" customHeight="1">
      <c r="A171" s="13">
        <v>169.0</v>
      </c>
      <c r="B171" s="42" t="s">
        <v>34</v>
      </c>
      <c r="C171" s="40"/>
      <c r="D171" s="52">
        <v>47029.0</v>
      </c>
      <c r="E171" s="17">
        <v>2.0</v>
      </c>
      <c r="F171" s="17"/>
      <c r="G171" s="35"/>
    </row>
    <row r="172" ht="19.5" customHeight="1">
      <c r="A172" s="13">
        <v>170.0</v>
      </c>
      <c r="B172" s="42"/>
      <c r="C172" s="15"/>
      <c r="D172" s="53">
        <v>517.0</v>
      </c>
      <c r="E172" s="17">
        <v>4.0</v>
      </c>
      <c r="F172" s="17"/>
      <c r="G172" s="35"/>
    </row>
    <row r="173" ht="19.5" customHeight="1">
      <c r="A173" s="13">
        <v>171.0</v>
      </c>
      <c r="B173" s="42" t="s">
        <v>34</v>
      </c>
      <c r="C173" s="15"/>
      <c r="D173" s="53">
        <v>2247579.0</v>
      </c>
      <c r="E173" s="17">
        <v>2.0</v>
      </c>
      <c r="F173" s="17"/>
      <c r="G173" s="35"/>
    </row>
    <row r="174" ht="19.5" customHeight="1">
      <c r="A174" s="13">
        <v>172.0</v>
      </c>
      <c r="B174" s="42"/>
      <c r="C174" s="15"/>
      <c r="D174" s="53">
        <v>24723.0</v>
      </c>
      <c r="E174" s="17">
        <v>4.0</v>
      </c>
      <c r="F174" s="17"/>
      <c r="G174" s="35"/>
    </row>
    <row r="175" ht="19.5" customHeight="1">
      <c r="A175" s="13">
        <v>173.0</v>
      </c>
      <c r="B175" s="42" t="s">
        <v>33</v>
      </c>
      <c r="C175" s="15"/>
      <c r="D175" s="53">
        <v>1366644.0</v>
      </c>
      <c r="E175" s="17">
        <v>2.0</v>
      </c>
      <c r="F175" s="17"/>
      <c r="G175" s="35"/>
    </row>
    <row r="176" ht="19.5" customHeight="1">
      <c r="A176" s="13">
        <v>174.0</v>
      </c>
      <c r="B176" s="42"/>
      <c r="C176" s="15"/>
      <c r="D176" s="53">
        <v>15033.0</v>
      </c>
      <c r="E176" s="17">
        <v>4.0</v>
      </c>
      <c r="F176" s="17"/>
      <c r="G176" s="35"/>
    </row>
    <row r="177" ht="19.5" customHeight="1">
      <c r="A177" s="13">
        <v>175.0</v>
      </c>
      <c r="B177" s="42" t="s">
        <v>36</v>
      </c>
      <c r="C177" s="15"/>
      <c r="D177" s="53">
        <v>1681849.0</v>
      </c>
      <c r="E177" s="17">
        <v>2.0</v>
      </c>
      <c r="F177" s="17"/>
      <c r="G177" s="35"/>
    </row>
    <row r="178" ht="19.5" customHeight="1">
      <c r="A178" s="13">
        <v>176.0</v>
      </c>
      <c r="B178" s="42"/>
      <c r="C178" s="15"/>
      <c r="D178" s="53">
        <v>18500.0</v>
      </c>
      <c r="E178" s="17">
        <v>4.0</v>
      </c>
      <c r="F178" s="17"/>
      <c r="G178" s="35"/>
    </row>
    <row r="179" ht="19.5" customHeight="1">
      <c r="A179" s="13">
        <v>177.0</v>
      </c>
      <c r="B179" s="42" t="s">
        <v>36</v>
      </c>
      <c r="C179" s="15"/>
      <c r="D179" s="53">
        <v>1517282.0</v>
      </c>
      <c r="E179" s="17">
        <v>2.0</v>
      </c>
      <c r="F179" s="17"/>
      <c r="G179" s="35"/>
    </row>
    <row r="180" ht="19.5" customHeight="1">
      <c r="A180" s="13">
        <v>178.0</v>
      </c>
      <c r="B180" s="42"/>
      <c r="C180" s="15"/>
      <c r="D180" s="53">
        <v>16690.0</v>
      </c>
      <c r="E180" s="17">
        <v>4.0</v>
      </c>
      <c r="F180" s="17"/>
      <c r="G180" s="35"/>
    </row>
    <row r="181" ht="19.5" customHeight="1">
      <c r="A181" s="13">
        <v>179.0</v>
      </c>
      <c r="B181" s="42" t="s">
        <v>35</v>
      </c>
      <c r="C181" s="15"/>
      <c r="D181" s="53">
        <v>343025.0</v>
      </c>
      <c r="E181" s="17">
        <v>2.0</v>
      </c>
      <c r="F181" s="17"/>
      <c r="G181" s="35"/>
    </row>
    <row r="182" ht="19.5" customHeight="1">
      <c r="A182" s="13">
        <v>180.0</v>
      </c>
      <c r="B182" s="42"/>
      <c r="C182" s="15"/>
      <c r="D182" s="53">
        <v>3773.0</v>
      </c>
      <c r="E182" s="17">
        <v>4.0</v>
      </c>
      <c r="F182" s="17"/>
      <c r="G182" s="35"/>
    </row>
    <row r="183" ht="19.5" customHeight="1">
      <c r="A183" s="13">
        <v>181.0</v>
      </c>
      <c r="B183" s="42" t="s">
        <v>35</v>
      </c>
      <c r="C183" s="15"/>
      <c r="D183" s="53">
        <v>2401183.0</v>
      </c>
      <c r="E183" s="17">
        <v>2.0</v>
      </c>
      <c r="F183" s="17"/>
      <c r="G183" s="35"/>
    </row>
    <row r="184" ht="19.5" customHeight="1">
      <c r="A184" s="13">
        <v>182.0</v>
      </c>
      <c r="B184" s="42"/>
      <c r="C184" s="15"/>
      <c r="D184" s="53">
        <v>26413.0</v>
      </c>
      <c r="E184" s="17">
        <v>4.0</v>
      </c>
      <c r="F184" s="17"/>
      <c r="G184" s="35"/>
    </row>
    <row r="185" ht="19.5" customHeight="1">
      <c r="A185" s="13">
        <v>183.0</v>
      </c>
      <c r="B185" s="42" t="s">
        <v>36</v>
      </c>
      <c r="C185" s="15"/>
      <c r="D185" s="53">
        <v>729463.0</v>
      </c>
      <c r="E185" s="17">
        <v>2.0</v>
      </c>
      <c r="F185" s="17"/>
      <c r="G185" s="35"/>
    </row>
    <row r="186" ht="19.5" customHeight="1">
      <c r="A186" s="13">
        <v>184.0</v>
      </c>
      <c r="B186" s="42"/>
      <c r="C186" s="15"/>
      <c r="D186" s="53">
        <v>8024.0</v>
      </c>
      <c r="E186" s="17">
        <v>4.0</v>
      </c>
      <c r="F186" s="17"/>
      <c r="G186" s="35"/>
    </row>
    <row r="187" ht="19.5" customHeight="1">
      <c r="A187" s="13">
        <v>185.0</v>
      </c>
      <c r="B187" s="42" t="s">
        <v>36</v>
      </c>
      <c r="C187" s="15"/>
      <c r="D187" s="53">
        <v>2480173.0</v>
      </c>
      <c r="E187" s="17">
        <v>2.0</v>
      </c>
      <c r="F187" s="17"/>
      <c r="G187" s="35"/>
    </row>
    <row r="188" ht="19.5" customHeight="1">
      <c r="A188" s="13">
        <v>186.0</v>
      </c>
      <c r="B188" s="42"/>
      <c r="C188" s="15"/>
      <c r="D188" s="53">
        <v>27282.0</v>
      </c>
      <c r="E188" s="17">
        <v>4.0</v>
      </c>
      <c r="F188" s="17"/>
      <c r="G188" s="35"/>
    </row>
    <row r="189" ht="19.5" customHeight="1">
      <c r="A189" s="13">
        <v>187.0</v>
      </c>
      <c r="B189" s="42" t="s">
        <v>36</v>
      </c>
      <c r="C189" s="15"/>
      <c r="D189" s="53">
        <v>816999.0</v>
      </c>
      <c r="E189" s="17">
        <v>2.0</v>
      </c>
      <c r="F189" s="17"/>
      <c r="G189" s="35"/>
    </row>
    <row r="190" ht="19.5" customHeight="1">
      <c r="A190" s="13">
        <v>188.0</v>
      </c>
      <c r="B190" s="42"/>
      <c r="C190" s="15"/>
      <c r="D190" s="53">
        <v>8987.0</v>
      </c>
      <c r="E190" s="17">
        <v>4.0</v>
      </c>
      <c r="F190" s="17"/>
      <c r="G190" s="35"/>
    </row>
    <row r="191" ht="19.5" customHeight="1">
      <c r="A191" s="13">
        <v>189.0</v>
      </c>
      <c r="B191" s="42" t="s">
        <v>35</v>
      </c>
      <c r="C191" s="15"/>
      <c r="D191" s="53">
        <v>529520.0</v>
      </c>
      <c r="E191" s="17">
        <v>2.0</v>
      </c>
      <c r="F191" s="17"/>
      <c r="G191" s="35"/>
    </row>
    <row r="192" ht="19.5" customHeight="1">
      <c r="A192" s="13">
        <v>190.0</v>
      </c>
      <c r="B192" s="42"/>
      <c r="C192" s="15"/>
      <c r="D192" s="44">
        <v>15621.0</v>
      </c>
      <c r="E192" s="17">
        <v>3.0</v>
      </c>
      <c r="F192" s="17"/>
      <c r="G192" s="35"/>
    </row>
    <row r="193" ht="19.5" customHeight="1">
      <c r="A193" s="13">
        <v>191.0</v>
      </c>
      <c r="B193" s="42" t="s">
        <v>37</v>
      </c>
      <c r="C193" s="40">
        <v>5000000.0</v>
      </c>
      <c r="D193" s="30"/>
      <c r="E193" s="17">
        <v>2.0</v>
      </c>
      <c r="F193" s="17"/>
      <c r="G193" s="35"/>
    </row>
    <row r="194" ht="19.5" customHeight="1">
      <c r="A194" s="13">
        <v>192.0</v>
      </c>
      <c r="B194" s="42" t="s">
        <v>36</v>
      </c>
      <c r="C194" s="40"/>
      <c r="D194" s="54">
        <v>1857504.0</v>
      </c>
      <c r="E194" s="17">
        <v>2.0</v>
      </c>
      <c r="F194" s="17"/>
      <c r="G194" s="35"/>
    </row>
    <row r="195" ht="19.5" customHeight="1">
      <c r="A195" s="13">
        <v>193.0</v>
      </c>
      <c r="B195" s="42"/>
      <c r="C195" s="40"/>
      <c r="D195" s="54">
        <v>20433.0</v>
      </c>
      <c r="E195" s="17">
        <v>4.0</v>
      </c>
      <c r="F195" s="17"/>
      <c r="G195" s="35"/>
    </row>
    <row r="196" ht="19.5" customHeight="1">
      <c r="A196" s="13">
        <v>194.0</v>
      </c>
      <c r="B196" s="42" t="s">
        <v>35</v>
      </c>
      <c r="C196" s="40"/>
      <c r="D196" s="54">
        <v>2738986.0</v>
      </c>
      <c r="E196" s="17">
        <v>2.0</v>
      </c>
      <c r="F196" s="17"/>
      <c r="G196" s="35"/>
    </row>
    <row r="197" ht="19.5" customHeight="1">
      <c r="A197" s="13">
        <v>195.0</v>
      </c>
      <c r="B197" s="42"/>
      <c r="C197" s="40"/>
      <c r="D197" s="54">
        <v>30129.0</v>
      </c>
      <c r="E197" s="17">
        <v>4.0</v>
      </c>
      <c r="F197" s="17"/>
      <c r="G197" s="35"/>
    </row>
    <row r="198" ht="19.5" customHeight="1">
      <c r="A198" s="13">
        <v>196.0</v>
      </c>
      <c r="B198" s="42" t="s">
        <v>38</v>
      </c>
      <c r="C198" s="40">
        <v>1.0E7</v>
      </c>
      <c r="D198" s="54"/>
      <c r="E198" s="17">
        <v>2.0</v>
      </c>
      <c r="F198" s="17"/>
      <c r="G198" s="35"/>
    </row>
    <row r="199" ht="19.5" customHeight="1">
      <c r="A199" s="13">
        <v>197.0</v>
      </c>
      <c r="B199" s="42" t="s">
        <v>35</v>
      </c>
      <c r="C199" s="40"/>
      <c r="D199" s="54">
        <v>2043954.0</v>
      </c>
      <c r="E199" s="17">
        <v>2.0</v>
      </c>
      <c r="F199" s="17"/>
      <c r="G199" s="35"/>
    </row>
    <row r="200" ht="19.5" customHeight="1">
      <c r="A200" s="13">
        <v>198.0</v>
      </c>
      <c r="B200" s="42"/>
      <c r="C200" s="40"/>
      <c r="D200" s="54">
        <v>22483.0</v>
      </c>
      <c r="E200" s="17">
        <v>4.0</v>
      </c>
      <c r="F200" s="17"/>
      <c r="G200" s="35"/>
    </row>
    <row r="201" ht="19.5" customHeight="1">
      <c r="A201" s="13">
        <v>199.0</v>
      </c>
      <c r="B201" s="42" t="s">
        <v>37</v>
      </c>
      <c r="C201" s="40"/>
      <c r="D201" s="54">
        <v>3029954.0</v>
      </c>
      <c r="E201" s="17">
        <v>2.0</v>
      </c>
      <c r="F201" s="17"/>
      <c r="G201" s="35"/>
    </row>
    <row r="202" ht="19.5" customHeight="1">
      <c r="A202" s="13">
        <v>200.0</v>
      </c>
      <c r="B202" s="42"/>
      <c r="C202" s="40"/>
      <c r="D202" s="54">
        <v>33329.0</v>
      </c>
      <c r="E202" s="17">
        <v>4.0</v>
      </c>
      <c r="F202" s="17"/>
      <c r="G202" s="35"/>
    </row>
    <row r="203" ht="19.5" customHeight="1">
      <c r="A203" s="13">
        <v>201.0</v>
      </c>
      <c r="B203" s="42" t="s">
        <v>37</v>
      </c>
      <c r="C203" s="40"/>
      <c r="D203" s="54">
        <v>2242827.0</v>
      </c>
      <c r="E203" s="17">
        <v>2.0</v>
      </c>
      <c r="F203" s="17"/>
      <c r="G203" s="35"/>
    </row>
    <row r="204" ht="19.5" customHeight="1">
      <c r="A204" s="13">
        <v>202.0</v>
      </c>
      <c r="B204" s="42"/>
      <c r="C204" s="40"/>
      <c r="D204" s="54">
        <v>24671.0</v>
      </c>
      <c r="E204" s="17">
        <v>4.0</v>
      </c>
      <c r="F204" s="17"/>
      <c r="G204" s="35"/>
    </row>
    <row r="205" ht="19.5" customHeight="1">
      <c r="A205" s="13">
        <v>203.0</v>
      </c>
      <c r="B205" s="42" t="s">
        <v>37</v>
      </c>
      <c r="C205" s="40"/>
      <c r="D205" s="54">
        <v>904534.0</v>
      </c>
      <c r="E205" s="17">
        <v>2.0</v>
      </c>
      <c r="F205" s="17"/>
      <c r="G205" s="35"/>
    </row>
    <row r="206" ht="19.5" customHeight="1">
      <c r="A206" s="13">
        <v>204.0</v>
      </c>
      <c r="B206" s="42"/>
      <c r="C206" s="40"/>
      <c r="D206" s="54">
        <v>9950.0</v>
      </c>
      <c r="E206" s="17">
        <v>4.0</v>
      </c>
      <c r="F206" s="17"/>
      <c r="G206" s="35"/>
    </row>
    <row r="207" ht="19.5" customHeight="1">
      <c r="A207" s="13">
        <v>205.0</v>
      </c>
      <c r="B207" s="42" t="s">
        <v>39</v>
      </c>
      <c r="C207" s="40">
        <v>1.0E7</v>
      </c>
      <c r="D207" s="54"/>
      <c r="E207" s="17">
        <v>2.0</v>
      </c>
      <c r="F207" s="17"/>
      <c r="G207" s="35"/>
    </row>
    <row r="208" ht="19.5" customHeight="1">
      <c r="A208" s="13">
        <v>206.0</v>
      </c>
      <c r="B208" s="42" t="s">
        <v>38</v>
      </c>
      <c r="C208" s="40"/>
      <c r="D208" s="54">
        <v>2454331.0</v>
      </c>
      <c r="E208" s="17">
        <v>2.0</v>
      </c>
      <c r="F208" s="17"/>
      <c r="G208" s="35"/>
    </row>
    <row r="209" ht="19.5" customHeight="1">
      <c r="A209" s="13">
        <v>207.0</v>
      </c>
      <c r="B209" s="42"/>
      <c r="C209" s="40"/>
      <c r="D209" s="54">
        <v>26998.0</v>
      </c>
      <c r="E209" s="17">
        <v>4.0</v>
      </c>
      <c r="F209" s="17"/>
      <c r="G209" s="35"/>
    </row>
    <row r="210" ht="19.5" customHeight="1">
      <c r="A210" s="13">
        <v>208.0</v>
      </c>
      <c r="B210" s="42" t="s">
        <v>39</v>
      </c>
      <c r="C210" s="40"/>
      <c r="D210" s="54">
        <v>2073479.0</v>
      </c>
      <c r="E210" s="17">
        <v>2.0</v>
      </c>
      <c r="F210" s="17"/>
      <c r="G210" s="35"/>
    </row>
    <row r="211" ht="19.5" customHeight="1">
      <c r="A211" s="13">
        <v>209.0</v>
      </c>
      <c r="B211" s="42"/>
      <c r="C211" s="40"/>
      <c r="D211" s="54">
        <v>22808.0</v>
      </c>
      <c r="E211" s="17">
        <v>4.0</v>
      </c>
      <c r="F211" s="17"/>
      <c r="G211" s="35"/>
    </row>
    <row r="212" ht="19.5" customHeight="1">
      <c r="A212" s="13">
        <v>210.0</v>
      </c>
      <c r="B212" s="42" t="s">
        <v>38</v>
      </c>
      <c r="C212" s="40"/>
      <c r="D212" s="54">
        <v>3015889.0</v>
      </c>
      <c r="E212" s="17">
        <v>2.0</v>
      </c>
      <c r="F212" s="17"/>
      <c r="G212" s="35"/>
    </row>
    <row r="213" ht="19.5" customHeight="1">
      <c r="A213" s="13">
        <v>211.0</v>
      </c>
      <c r="B213" s="42"/>
      <c r="C213" s="40"/>
      <c r="D213" s="54">
        <v>33175.0</v>
      </c>
      <c r="E213" s="17">
        <v>4.0</v>
      </c>
      <c r="F213" s="17"/>
      <c r="G213" s="35"/>
    </row>
    <row r="214" ht="19.5" customHeight="1">
      <c r="A214" s="13">
        <v>212.0</v>
      </c>
      <c r="B214" s="42" t="s">
        <v>38</v>
      </c>
      <c r="C214" s="40"/>
      <c r="D214" s="54">
        <v>1019599.0</v>
      </c>
      <c r="E214" s="17">
        <v>2.0</v>
      </c>
      <c r="F214" s="17"/>
      <c r="G214" s="35"/>
    </row>
    <row r="215" ht="19.5" customHeight="1">
      <c r="A215" s="13">
        <v>213.0</v>
      </c>
      <c r="B215" s="42"/>
      <c r="C215" s="40"/>
      <c r="D215" s="54">
        <v>11216.0</v>
      </c>
      <c r="E215" s="17">
        <v>4.0</v>
      </c>
      <c r="F215" s="17"/>
      <c r="G215" s="35"/>
    </row>
    <row r="216" ht="19.5" customHeight="1">
      <c r="A216" s="13">
        <v>214.0</v>
      </c>
      <c r="B216" s="42" t="s">
        <v>38</v>
      </c>
      <c r="C216" s="40"/>
      <c r="D216" s="55">
        <v>414695.0</v>
      </c>
      <c r="E216" s="17">
        <v>2.0</v>
      </c>
      <c r="F216" s="17"/>
      <c r="G216" s="35"/>
    </row>
    <row r="217" ht="19.5" customHeight="1">
      <c r="A217" s="13">
        <v>215.0</v>
      </c>
      <c r="B217" s="42"/>
      <c r="C217" s="40"/>
      <c r="D217" s="55">
        <v>4562.0</v>
      </c>
      <c r="E217" s="17">
        <v>4.0</v>
      </c>
      <c r="F217" s="17"/>
      <c r="G217" s="35"/>
    </row>
    <row r="218" ht="19.5" customHeight="1">
      <c r="A218" s="13">
        <v>216.0</v>
      </c>
      <c r="B218" s="42" t="s">
        <v>38</v>
      </c>
      <c r="C218" s="40"/>
      <c r="D218" s="55">
        <v>829389.0</v>
      </c>
      <c r="E218" s="17">
        <v>2.0</v>
      </c>
      <c r="F218" s="17"/>
      <c r="G218" s="35"/>
    </row>
    <row r="219" ht="19.5" customHeight="1">
      <c r="A219" s="13">
        <v>217.0</v>
      </c>
      <c r="B219" s="42"/>
      <c r="C219" s="40"/>
      <c r="D219" s="55">
        <v>9123.0</v>
      </c>
      <c r="E219" s="17">
        <v>4.0</v>
      </c>
      <c r="F219" s="17"/>
      <c r="G219" s="35"/>
    </row>
    <row r="220" ht="18.75" customHeight="1">
      <c r="A220" s="56" t="s">
        <v>40</v>
      </c>
      <c r="B220" s="42"/>
      <c r="C220" s="57">
        <f t="shared" ref="C220:D220" si="3">SUM(C3:C219)</f>
        <v>150904418</v>
      </c>
      <c r="D220" s="57">
        <f t="shared" si="3"/>
        <v>139721103</v>
      </c>
      <c r="E220" s="58"/>
      <c r="F220" s="58"/>
      <c r="G220" s="59"/>
    </row>
    <row r="221" ht="18.75" customHeight="1">
      <c r="A221" s="60" t="s">
        <v>41</v>
      </c>
      <c r="C221" s="57">
        <v>-6.9918258E7</v>
      </c>
      <c r="D221" s="60" t="s">
        <v>42</v>
      </c>
      <c r="E221" s="29"/>
      <c r="F221" s="29"/>
    </row>
    <row r="222" ht="18.75" customHeight="1">
      <c r="A222" s="60" t="s">
        <v>43</v>
      </c>
      <c r="C222" s="57">
        <f>C220-D220</f>
        <v>11183315</v>
      </c>
      <c r="D222" s="60" t="s">
        <v>44</v>
      </c>
      <c r="F222" s="29"/>
    </row>
    <row r="223" ht="18.75" customHeight="1">
      <c r="A223" s="60" t="s">
        <v>45</v>
      </c>
      <c r="C223" s="57">
        <f>C221+C222</f>
        <v>-58734943</v>
      </c>
      <c r="D223" s="60" t="s">
        <v>46</v>
      </c>
    </row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6">
    <mergeCell ref="A1:A2"/>
    <mergeCell ref="B1:B2"/>
    <mergeCell ref="C1:D1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8.0"/>
    <col customWidth="1" min="3" max="4" width="14.0"/>
    <col customWidth="1" min="5" max="5" width="10.0"/>
    <col customWidth="1" min="6" max="6" width="15.0"/>
    <col customWidth="1" min="7" max="7" width="21.0"/>
    <col customWidth="1" min="8" max="8" width="4.0"/>
    <col customWidth="1" min="9" max="9" width="5.0"/>
    <col customWidth="1" min="10" max="10" width="27.0"/>
    <col customWidth="1" min="11" max="11" width="14.0"/>
    <col customWidth="1" min="12" max="13" width="5.0"/>
    <col customWidth="1" min="14" max="14" width="27.0"/>
    <col customWidth="1" min="15" max="26" width="14.0"/>
  </cols>
  <sheetData>
    <row r="1" ht="18.75" customHeight="1">
      <c r="A1" s="61" t="s">
        <v>0</v>
      </c>
      <c r="B1" s="62" t="s">
        <v>47</v>
      </c>
      <c r="C1" s="63" t="s">
        <v>2</v>
      </c>
      <c r="D1" s="4"/>
      <c r="E1" s="64" t="s">
        <v>3</v>
      </c>
      <c r="F1" s="64" t="s">
        <v>48</v>
      </c>
      <c r="G1" s="64" t="s">
        <v>5</v>
      </c>
      <c r="I1" s="65" t="s">
        <v>49</v>
      </c>
      <c r="K1" s="29"/>
    </row>
    <row r="2" ht="18.75" customHeight="1">
      <c r="A2" s="6"/>
      <c r="B2" s="7"/>
      <c r="C2" s="66" t="s">
        <v>6</v>
      </c>
      <c r="D2" s="67" t="s">
        <v>7</v>
      </c>
      <c r="E2" s="7"/>
      <c r="F2" s="7"/>
      <c r="G2" s="7"/>
      <c r="I2" s="10"/>
      <c r="J2" s="11" t="s">
        <v>8</v>
      </c>
      <c r="K2" s="12" t="s">
        <v>2</v>
      </c>
      <c r="M2" s="10"/>
      <c r="N2" s="11" t="s">
        <v>9</v>
      </c>
      <c r="O2" s="12" t="s">
        <v>2</v>
      </c>
    </row>
    <row r="3" ht="18.75" customHeight="1">
      <c r="A3" s="13">
        <v>1.0</v>
      </c>
      <c r="B3" s="14">
        <v>45919.0</v>
      </c>
      <c r="C3" s="15"/>
      <c r="D3" s="16">
        <v>2678090.0</v>
      </c>
      <c r="E3" s="17">
        <v>2.0</v>
      </c>
      <c r="F3" s="17"/>
      <c r="G3" s="18"/>
      <c r="I3" s="10">
        <v>1.0</v>
      </c>
      <c r="J3" s="19" t="s">
        <v>11</v>
      </c>
      <c r="K3" s="20">
        <f>SUMIF($E$3:$E$222,1,$C$3:$C$2238)</f>
        <v>0</v>
      </c>
      <c r="M3" s="10">
        <v>1.0</v>
      </c>
      <c r="N3" s="19" t="s">
        <v>11</v>
      </c>
      <c r="O3" s="20">
        <f>SUMIF($E$3:$E$228,1,$D$3:$D$2244)</f>
        <v>70570118</v>
      </c>
    </row>
    <row r="4" ht="18.75" customHeight="1">
      <c r="A4" s="13">
        <v>2.0</v>
      </c>
      <c r="B4" s="14">
        <v>45919.0</v>
      </c>
      <c r="C4" s="21"/>
      <c r="D4" s="16">
        <v>29459.0</v>
      </c>
      <c r="E4" s="17">
        <v>4.0</v>
      </c>
      <c r="F4" s="17"/>
      <c r="G4" s="18"/>
      <c r="I4" s="10">
        <v>2.0</v>
      </c>
      <c r="J4" s="19" t="s">
        <v>12</v>
      </c>
      <c r="K4" s="20">
        <f>SUMIF($E$3:$E$222,2,$C$3:$C$2238)</f>
        <v>162314280</v>
      </c>
      <c r="M4" s="10">
        <v>2.0</v>
      </c>
      <c r="N4" s="19" t="s">
        <v>12</v>
      </c>
      <c r="O4" s="20">
        <f>SUMIF($E$3:$E$228,2,$D$3:$D$2244)</f>
        <v>82003525</v>
      </c>
    </row>
    <row r="5" ht="18.75" customHeight="1">
      <c r="A5" s="13">
        <v>3.0</v>
      </c>
      <c r="B5" s="14">
        <v>45919.0</v>
      </c>
      <c r="C5" s="23"/>
      <c r="D5" s="16">
        <v>1137750.0</v>
      </c>
      <c r="E5" s="17">
        <v>2.0</v>
      </c>
      <c r="F5" s="17"/>
      <c r="G5" s="18"/>
      <c r="I5" s="10">
        <v>3.0</v>
      </c>
      <c r="J5" s="19" t="s">
        <v>14</v>
      </c>
      <c r="K5" s="20">
        <f>SUMIF($E$3:$E$222,3,$C$3:$C$2238)</f>
        <v>0</v>
      </c>
      <c r="M5" s="10">
        <v>3.0</v>
      </c>
      <c r="N5" s="19" t="s">
        <v>14</v>
      </c>
      <c r="O5" s="20">
        <f>SUMIF($E$3:$E$228,3,$D$3:$D$2244)</f>
        <v>26383</v>
      </c>
    </row>
    <row r="6" ht="18.75" customHeight="1">
      <c r="A6" s="13">
        <v>4.0</v>
      </c>
      <c r="B6" s="14">
        <v>45919.0</v>
      </c>
      <c r="C6" s="24"/>
      <c r="D6" s="25">
        <v>12515.0</v>
      </c>
      <c r="E6" s="17">
        <v>4.0</v>
      </c>
      <c r="F6" s="17"/>
      <c r="G6" s="18"/>
      <c r="I6" s="10">
        <v>4.0</v>
      </c>
      <c r="J6" s="19" t="s">
        <v>15</v>
      </c>
      <c r="K6" s="20">
        <f>SUMIF($E$3:$E$222,4,$C$3:$C$2238)</f>
        <v>0</v>
      </c>
      <c r="M6" s="10">
        <v>4.0</v>
      </c>
      <c r="N6" s="19" t="s">
        <v>15</v>
      </c>
      <c r="O6" s="20">
        <f>SUMIF($E$3:$E$228,4,$D$3:$D$2244)</f>
        <v>907446</v>
      </c>
    </row>
    <row r="7" ht="18.75" customHeight="1">
      <c r="A7" s="13">
        <v>5.0</v>
      </c>
      <c r="B7" s="14">
        <v>45919.0</v>
      </c>
      <c r="C7" s="27"/>
      <c r="D7" s="28">
        <v>3310270.0</v>
      </c>
      <c r="E7" s="17">
        <v>2.0</v>
      </c>
      <c r="F7" s="17"/>
      <c r="G7" s="18"/>
      <c r="K7" s="29"/>
    </row>
    <row r="8" ht="18.75" customHeight="1">
      <c r="A8" s="13">
        <v>6.0</v>
      </c>
      <c r="B8" s="14">
        <v>45919.0</v>
      </c>
      <c r="C8" s="19"/>
      <c r="D8" s="30">
        <v>36413.0</v>
      </c>
      <c r="E8" s="17">
        <v>4.0</v>
      </c>
      <c r="F8" s="17"/>
      <c r="G8" s="18"/>
      <c r="J8" s="31" t="s">
        <v>8</v>
      </c>
      <c r="K8" s="32" t="s">
        <v>2</v>
      </c>
      <c r="N8" s="31" t="s">
        <v>9</v>
      </c>
      <c r="O8" s="32" t="s">
        <v>2</v>
      </c>
    </row>
    <row r="9" ht="18.75" customHeight="1">
      <c r="A9" s="68">
        <v>7.0</v>
      </c>
      <c r="B9" s="14">
        <v>45919.0</v>
      </c>
      <c r="C9" s="34"/>
      <c r="D9" s="30">
        <v>1254443.0</v>
      </c>
      <c r="E9" s="17">
        <v>2.0</v>
      </c>
      <c r="F9" s="17"/>
      <c r="G9" s="35"/>
      <c r="J9" s="19" t="s">
        <v>17</v>
      </c>
      <c r="K9" s="20">
        <f t="shared" ref="K9:K12" si="1">SUMIF($F$3:$F$228,J9,$C$3:$C$2244)</f>
        <v>0</v>
      </c>
      <c r="N9" s="19" t="s">
        <v>17</v>
      </c>
      <c r="O9" s="20">
        <f t="shared" ref="O9:O12" si="2">SUMIF($F$3:$F$228,N9,$D$3:$D$2244)</f>
        <v>0</v>
      </c>
    </row>
    <row r="10" ht="18.75" customHeight="1">
      <c r="A10" s="69">
        <v>8.0</v>
      </c>
      <c r="B10" s="14">
        <v>45919.0</v>
      </c>
      <c r="C10" s="38"/>
      <c r="D10" s="30">
        <v>13799.0</v>
      </c>
      <c r="E10" s="17">
        <v>4.0</v>
      </c>
      <c r="F10" s="17"/>
      <c r="G10" s="18"/>
      <c r="J10" s="19" t="s">
        <v>18</v>
      </c>
      <c r="K10" s="20">
        <f t="shared" si="1"/>
        <v>0</v>
      </c>
      <c r="N10" s="19" t="s">
        <v>18</v>
      </c>
      <c r="O10" s="20">
        <f t="shared" si="2"/>
        <v>0</v>
      </c>
    </row>
    <row r="11" ht="18.75" customHeight="1">
      <c r="A11" s="69">
        <v>9.0</v>
      </c>
      <c r="B11" s="14">
        <v>45920.0</v>
      </c>
      <c r="C11" s="38">
        <v>5000000.0</v>
      </c>
      <c r="D11" s="30"/>
      <c r="E11" s="17">
        <v>2.0</v>
      </c>
      <c r="F11" s="17"/>
      <c r="G11" s="18"/>
      <c r="J11" s="19" t="s">
        <v>19</v>
      </c>
      <c r="K11" s="20">
        <f t="shared" si="1"/>
        <v>0</v>
      </c>
      <c r="N11" s="19" t="s">
        <v>19</v>
      </c>
      <c r="O11" s="20">
        <f t="shared" si="2"/>
        <v>0</v>
      </c>
    </row>
    <row r="12" ht="18.75" customHeight="1">
      <c r="A12" s="13">
        <v>10.0</v>
      </c>
      <c r="B12" s="14">
        <v>45920.0</v>
      </c>
      <c r="C12" s="40">
        <v>1000000.0</v>
      </c>
      <c r="D12" s="30"/>
      <c r="E12" s="17">
        <v>2.0</v>
      </c>
      <c r="F12" s="17"/>
      <c r="G12" s="18"/>
      <c r="J12" s="19" t="s">
        <v>20</v>
      </c>
      <c r="K12" s="20">
        <f t="shared" si="1"/>
        <v>0</v>
      </c>
      <c r="N12" s="19" t="s">
        <v>20</v>
      </c>
      <c r="O12" s="20">
        <f t="shared" si="2"/>
        <v>0</v>
      </c>
    </row>
    <row r="13" ht="18.75" customHeight="1">
      <c r="A13" s="13">
        <v>11.0</v>
      </c>
      <c r="B13" s="14">
        <v>45920.0</v>
      </c>
      <c r="C13" s="40"/>
      <c r="D13" s="30">
        <v>1398716.0</v>
      </c>
      <c r="E13" s="17">
        <v>2.0</v>
      </c>
      <c r="F13" s="17"/>
      <c r="G13" s="18"/>
      <c r="K13" s="29"/>
    </row>
    <row r="14" ht="18.75" customHeight="1">
      <c r="A14" s="13">
        <v>12.0</v>
      </c>
      <c r="B14" s="14">
        <v>45920.0</v>
      </c>
      <c r="C14" s="40"/>
      <c r="D14" s="30">
        <v>15386.0</v>
      </c>
      <c r="E14" s="17">
        <v>4.0</v>
      </c>
      <c r="F14" s="17"/>
      <c r="G14" s="18"/>
    </row>
    <row r="15" ht="18.75" customHeight="1">
      <c r="A15" s="13">
        <v>13.0</v>
      </c>
      <c r="B15" s="14">
        <v>45920.0</v>
      </c>
      <c r="C15" s="40"/>
      <c r="D15" s="30">
        <v>3781009.0</v>
      </c>
      <c r="E15" s="17">
        <v>2.0</v>
      </c>
      <c r="F15" s="17"/>
      <c r="G15" s="18"/>
    </row>
    <row r="16" ht="18.75" customHeight="1">
      <c r="A16" s="13">
        <v>14.0</v>
      </c>
      <c r="B16" s="14">
        <v>45920.0</v>
      </c>
      <c r="C16" s="40"/>
      <c r="D16" s="30">
        <v>41591.0</v>
      </c>
      <c r="E16" s="17">
        <v>4.0</v>
      </c>
      <c r="F16" s="17"/>
      <c r="G16" s="18"/>
    </row>
    <row r="17" ht="18.75" customHeight="1">
      <c r="A17" s="13">
        <v>15.0</v>
      </c>
      <c r="B17" s="14">
        <v>45922.0</v>
      </c>
      <c r="C17" s="38">
        <v>5000000.0</v>
      </c>
      <c r="D17" s="30"/>
      <c r="E17" s="17">
        <v>2.0</v>
      </c>
      <c r="F17" s="17"/>
      <c r="G17" s="18"/>
    </row>
    <row r="18" ht="18.75" customHeight="1">
      <c r="A18" s="13">
        <v>16.0</v>
      </c>
      <c r="B18" s="14">
        <v>45922.0</v>
      </c>
      <c r="C18" s="40"/>
      <c r="D18" s="30">
        <v>99567.0</v>
      </c>
      <c r="E18" s="17">
        <v>2.0</v>
      </c>
      <c r="F18" s="17"/>
      <c r="G18" s="18"/>
    </row>
    <row r="19" ht="18.75" customHeight="1">
      <c r="A19" s="13">
        <v>17.0</v>
      </c>
      <c r="B19" s="14">
        <v>45922.0</v>
      </c>
      <c r="C19" s="40"/>
      <c r="D19" s="30">
        <v>1095.0</v>
      </c>
      <c r="E19" s="17">
        <v>4.0</v>
      </c>
      <c r="F19" s="17"/>
      <c r="G19" s="18"/>
      <c r="K19" s="29"/>
    </row>
    <row r="20" ht="18.75" customHeight="1">
      <c r="A20" s="13">
        <v>18.0</v>
      </c>
      <c r="B20" s="14">
        <v>45922.0</v>
      </c>
      <c r="C20" s="40"/>
      <c r="D20" s="43">
        <v>199133.0</v>
      </c>
      <c r="E20" s="17">
        <v>2.0</v>
      </c>
      <c r="F20" s="17"/>
      <c r="G20" s="18"/>
    </row>
    <row r="21" ht="18.75" customHeight="1">
      <c r="A21" s="13">
        <v>19.0</v>
      </c>
      <c r="B21" s="14">
        <v>45922.0</v>
      </c>
      <c r="C21" s="15"/>
      <c r="D21" s="44">
        <v>2190.0</v>
      </c>
      <c r="E21" s="17">
        <v>4.0</v>
      </c>
      <c r="F21" s="17"/>
      <c r="G21" s="18"/>
    </row>
    <row r="22" ht="18.75" customHeight="1">
      <c r="A22" s="13">
        <v>20.0</v>
      </c>
      <c r="B22" s="14">
        <v>45922.0</v>
      </c>
      <c r="C22" s="15"/>
      <c r="D22" s="44">
        <v>398266.0</v>
      </c>
      <c r="E22" s="17">
        <v>2.0</v>
      </c>
      <c r="F22" s="17"/>
      <c r="G22" s="18"/>
    </row>
    <row r="23" ht="18.75" customHeight="1">
      <c r="A23" s="13">
        <v>21.0</v>
      </c>
      <c r="B23" s="14">
        <v>45922.0</v>
      </c>
      <c r="C23" s="15"/>
      <c r="D23" s="44">
        <v>4381.0</v>
      </c>
      <c r="E23" s="17">
        <v>4.0</v>
      </c>
      <c r="F23" s="17"/>
      <c r="G23" s="18"/>
    </row>
    <row r="24" ht="18.75" customHeight="1">
      <c r="A24" s="13">
        <v>22.0</v>
      </c>
      <c r="B24" s="14">
        <v>45922.0</v>
      </c>
      <c r="C24" s="15"/>
      <c r="D24" s="44">
        <v>3631599.0</v>
      </c>
      <c r="E24" s="17">
        <v>2.0</v>
      </c>
      <c r="F24" s="17"/>
      <c r="G24" s="18"/>
    </row>
    <row r="25" ht="18.75" customHeight="1">
      <c r="A25" s="13">
        <v>23.0</v>
      </c>
      <c r="B25" s="14">
        <v>45922.0</v>
      </c>
      <c r="C25" s="15"/>
      <c r="D25" s="44">
        <v>39948.0</v>
      </c>
      <c r="E25" s="17">
        <v>4.0</v>
      </c>
      <c r="F25" s="17"/>
      <c r="G25" s="18"/>
      <c r="K25" s="29"/>
    </row>
    <row r="26" ht="18.75" customHeight="1">
      <c r="A26" s="13">
        <v>24.0</v>
      </c>
      <c r="B26" s="14">
        <v>45922.0</v>
      </c>
      <c r="C26" s="15"/>
      <c r="D26" s="44">
        <v>896105.0</v>
      </c>
      <c r="E26" s="17">
        <v>2.0</v>
      </c>
      <c r="F26" s="17"/>
      <c r="G26" s="18"/>
      <c r="K26" s="29"/>
    </row>
    <row r="27" ht="18.75" customHeight="1">
      <c r="A27" s="13">
        <v>25.0</v>
      </c>
      <c r="B27" s="14">
        <v>45922.0</v>
      </c>
      <c r="C27" s="15"/>
      <c r="D27" s="44">
        <v>9857.0</v>
      </c>
      <c r="E27" s="17">
        <v>4.0</v>
      </c>
      <c r="F27" s="17"/>
      <c r="G27" s="18"/>
      <c r="K27" s="29"/>
    </row>
    <row r="28" ht="18.75" customHeight="1">
      <c r="A28" s="13">
        <v>26.0</v>
      </c>
      <c r="B28" s="14">
        <v>45922.0</v>
      </c>
      <c r="C28" s="15"/>
      <c r="D28" s="44">
        <v>456484.0</v>
      </c>
      <c r="E28" s="17">
        <v>2.0</v>
      </c>
      <c r="F28" s="17"/>
      <c r="G28" s="18"/>
      <c r="K28" s="29"/>
    </row>
    <row r="29" ht="18.75" customHeight="1">
      <c r="A29" s="13">
        <v>27.0</v>
      </c>
      <c r="B29" s="14">
        <v>45922.0</v>
      </c>
      <c r="C29" s="40"/>
      <c r="D29" s="30">
        <v>5021.0</v>
      </c>
      <c r="E29" s="17">
        <v>4.0</v>
      </c>
      <c r="F29" s="17"/>
      <c r="G29" s="18"/>
      <c r="K29" s="29"/>
    </row>
    <row r="30" ht="18.75" customHeight="1">
      <c r="A30" s="13">
        <v>28.0</v>
      </c>
      <c r="B30" s="14">
        <v>45922.0</v>
      </c>
      <c r="C30" s="40"/>
      <c r="D30" s="30">
        <v>1397422.0</v>
      </c>
      <c r="E30" s="17">
        <v>2.0</v>
      </c>
      <c r="F30" s="17"/>
      <c r="G30" s="18"/>
      <c r="K30" s="29"/>
    </row>
    <row r="31" ht="18.75" customHeight="1">
      <c r="A31" s="13">
        <v>29.0</v>
      </c>
      <c r="B31" s="14">
        <v>45922.0</v>
      </c>
      <c r="C31" s="40"/>
      <c r="D31" s="30">
        <v>15372.0</v>
      </c>
      <c r="E31" s="17">
        <v>4.0</v>
      </c>
      <c r="F31" s="17"/>
      <c r="G31" s="18"/>
      <c r="K31" s="29"/>
    </row>
    <row r="32" ht="18.75" customHeight="1">
      <c r="A32" s="13">
        <v>30.0</v>
      </c>
      <c r="B32" s="14">
        <v>45922.0</v>
      </c>
      <c r="C32" s="40"/>
      <c r="D32" s="30">
        <v>912967.0</v>
      </c>
      <c r="E32" s="17">
        <v>2.0</v>
      </c>
      <c r="F32" s="17"/>
      <c r="G32" s="18"/>
      <c r="K32" s="29"/>
    </row>
    <row r="33" ht="18.75" customHeight="1">
      <c r="A33" s="13">
        <v>31.0</v>
      </c>
      <c r="B33" s="14">
        <v>45922.0</v>
      </c>
      <c r="C33" s="40"/>
      <c r="D33" s="30">
        <v>10043.0</v>
      </c>
      <c r="E33" s="17">
        <v>4.0</v>
      </c>
      <c r="F33" s="17"/>
      <c r="G33" s="18"/>
      <c r="K33" s="29"/>
    </row>
    <row r="34" ht="18.75" customHeight="1">
      <c r="A34" s="13">
        <v>32.0</v>
      </c>
      <c r="B34" s="14">
        <v>45923.0</v>
      </c>
      <c r="C34" s="40">
        <v>500000.0</v>
      </c>
      <c r="D34" s="30"/>
      <c r="E34" s="17">
        <v>2.0</v>
      </c>
      <c r="F34" s="17"/>
      <c r="G34" s="18"/>
      <c r="K34" s="29"/>
    </row>
    <row r="35" ht="18.75" customHeight="1">
      <c r="A35" s="13">
        <v>33.0</v>
      </c>
      <c r="B35" s="14">
        <v>45923.0</v>
      </c>
      <c r="C35" s="40">
        <v>2500000.0</v>
      </c>
      <c r="D35" s="30"/>
      <c r="E35" s="17">
        <v>2.0</v>
      </c>
      <c r="F35" s="17"/>
      <c r="G35" s="18"/>
      <c r="K35" s="29"/>
    </row>
    <row r="36" ht="18.75" customHeight="1">
      <c r="A36" s="13">
        <v>34.0</v>
      </c>
      <c r="B36" s="14">
        <v>45923.0</v>
      </c>
      <c r="C36" s="40"/>
      <c r="D36" s="30">
        <v>548900.0</v>
      </c>
      <c r="E36" s="17">
        <v>2.0</v>
      </c>
      <c r="F36" s="17"/>
      <c r="G36" s="18"/>
      <c r="K36" s="29"/>
    </row>
    <row r="37" ht="18.75" customHeight="1">
      <c r="A37" s="13">
        <v>35.0</v>
      </c>
      <c r="B37" s="14">
        <v>45923.0</v>
      </c>
      <c r="C37" s="40"/>
      <c r="D37" s="30">
        <v>6038.0</v>
      </c>
      <c r="E37" s="17">
        <v>4.0</v>
      </c>
      <c r="F37" s="17"/>
      <c r="G37" s="18"/>
      <c r="K37" s="29"/>
    </row>
    <row r="38" ht="18.75" customHeight="1">
      <c r="A38" s="13">
        <v>36.0</v>
      </c>
      <c r="B38" s="14">
        <v>45924.0</v>
      </c>
      <c r="C38" s="38">
        <v>5000000.0</v>
      </c>
      <c r="D38" s="30"/>
      <c r="E38" s="17">
        <v>2.0</v>
      </c>
      <c r="F38" s="17"/>
      <c r="G38" s="18"/>
      <c r="K38" s="29"/>
    </row>
    <row r="39" ht="18.75" customHeight="1">
      <c r="A39" s="13">
        <v>37.0</v>
      </c>
      <c r="B39" s="14">
        <v>45924.0</v>
      </c>
      <c r="C39" s="40"/>
      <c r="D39" s="43">
        <v>686473.0</v>
      </c>
      <c r="E39" s="17">
        <v>2.0</v>
      </c>
      <c r="F39" s="17"/>
      <c r="G39" s="18"/>
      <c r="K39" s="29"/>
    </row>
    <row r="40" ht="18.75" customHeight="1">
      <c r="A40" s="13">
        <v>38.0</v>
      </c>
      <c r="B40" s="14">
        <v>45924.0</v>
      </c>
      <c r="C40" s="15"/>
      <c r="D40" s="44">
        <v>7551.0</v>
      </c>
      <c r="E40" s="17">
        <v>4.0</v>
      </c>
      <c r="F40" s="17"/>
      <c r="G40" s="18"/>
      <c r="K40" s="29"/>
    </row>
    <row r="41" ht="18.75" customHeight="1">
      <c r="A41" s="13">
        <v>39.0</v>
      </c>
      <c r="B41" s="14">
        <v>45924.0</v>
      </c>
      <c r="C41" s="15"/>
      <c r="D41" s="44">
        <v>870873.0</v>
      </c>
      <c r="E41" s="17">
        <v>2.0</v>
      </c>
      <c r="F41" s="17"/>
      <c r="G41" s="18"/>
      <c r="K41" s="29"/>
    </row>
    <row r="42" ht="18.75" customHeight="1">
      <c r="A42" s="13">
        <v>40.0</v>
      </c>
      <c r="B42" s="14">
        <v>45924.0</v>
      </c>
      <c r="C42" s="15"/>
      <c r="D42" s="44">
        <v>9580.0</v>
      </c>
      <c r="E42" s="17">
        <v>4.0</v>
      </c>
      <c r="F42" s="17"/>
      <c r="G42" s="45"/>
      <c r="K42" s="29"/>
    </row>
    <row r="43" ht="18.75" customHeight="1">
      <c r="A43" s="13">
        <v>41.0</v>
      </c>
      <c r="B43" s="14">
        <v>45925.0</v>
      </c>
      <c r="C43" s="15"/>
      <c r="D43" s="44">
        <v>3709.0</v>
      </c>
      <c r="E43" s="17">
        <v>2.0</v>
      </c>
      <c r="F43" s="17"/>
      <c r="G43" s="47"/>
      <c r="K43" s="29"/>
    </row>
    <row r="44" ht="18.75" customHeight="1">
      <c r="A44" s="13">
        <v>42.0</v>
      </c>
      <c r="B44" s="14">
        <v>45925.0</v>
      </c>
      <c r="C44" s="15"/>
      <c r="D44" s="44">
        <v>41.0</v>
      </c>
      <c r="E44" s="17">
        <v>4.0</v>
      </c>
      <c r="F44" s="17"/>
      <c r="G44" s="48"/>
      <c r="K44" s="29"/>
    </row>
    <row r="45" ht="18.75" customHeight="1">
      <c r="A45" s="13">
        <v>43.0</v>
      </c>
      <c r="B45" s="14">
        <v>45925.0</v>
      </c>
      <c r="C45" s="23"/>
      <c r="D45" s="44">
        <v>387055.0</v>
      </c>
      <c r="E45" s="17">
        <v>2.0</v>
      </c>
      <c r="F45" s="17"/>
      <c r="G45" s="18"/>
      <c r="K45" s="29"/>
    </row>
    <row r="46" ht="18.75" customHeight="1">
      <c r="A46" s="13">
        <v>44.0</v>
      </c>
      <c r="B46" s="14">
        <v>45925.0</v>
      </c>
      <c r="C46" s="15"/>
      <c r="D46" s="44">
        <v>4258.0</v>
      </c>
      <c r="E46" s="17">
        <v>4.0</v>
      </c>
      <c r="F46" s="17"/>
      <c r="G46" s="18"/>
      <c r="K46" s="29"/>
    </row>
    <row r="47" ht="18.75" customHeight="1">
      <c r="A47" s="13">
        <v>45.0</v>
      </c>
      <c r="B47" s="14">
        <v>45925.0</v>
      </c>
      <c r="C47" s="15"/>
      <c r="D47" s="44">
        <v>96764.0</v>
      </c>
      <c r="E47" s="17">
        <v>2.0</v>
      </c>
      <c r="F47" s="17"/>
      <c r="G47" s="18"/>
      <c r="K47" s="29"/>
    </row>
    <row r="48" ht="18.75" customHeight="1">
      <c r="A48" s="13">
        <v>46.0</v>
      </c>
      <c r="B48" s="14">
        <v>45925.0</v>
      </c>
      <c r="C48" s="15"/>
      <c r="D48" s="44">
        <v>1064.0</v>
      </c>
      <c r="E48" s="17">
        <v>4.0</v>
      </c>
      <c r="F48" s="17"/>
      <c r="G48" s="18"/>
      <c r="K48" s="29"/>
    </row>
    <row r="49" ht="18.75" customHeight="1">
      <c r="A49" s="13">
        <v>47.0</v>
      </c>
      <c r="B49" s="14">
        <v>45925.0</v>
      </c>
      <c r="C49" s="40"/>
      <c r="D49" s="43">
        <v>193527.0</v>
      </c>
      <c r="E49" s="17">
        <v>2.0</v>
      </c>
      <c r="F49" s="17"/>
      <c r="G49" s="18"/>
      <c r="K49" s="29"/>
    </row>
    <row r="50" ht="18.75" customHeight="1">
      <c r="A50" s="13">
        <v>48.0</v>
      </c>
      <c r="B50" s="14">
        <v>45925.0</v>
      </c>
      <c r="C50" s="15"/>
      <c r="D50" s="44">
        <v>2129.0</v>
      </c>
      <c r="E50" s="17">
        <v>4.0</v>
      </c>
      <c r="F50" s="17"/>
      <c r="G50" s="18"/>
      <c r="K50" s="29"/>
    </row>
    <row r="51" ht="18.75" customHeight="1">
      <c r="A51" s="13">
        <v>49.0</v>
      </c>
      <c r="B51" s="14">
        <v>45925.0</v>
      </c>
      <c r="C51" s="15"/>
      <c r="D51" s="44">
        <v>621375.0</v>
      </c>
      <c r="E51" s="17">
        <v>2.0</v>
      </c>
      <c r="F51" s="17"/>
      <c r="G51" s="18"/>
      <c r="K51" s="29"/>
    </row>
    <row r="52" ht="18.75" customHeight="1">
      <c r="A52" s="13">
        <v>50.0</v>
      </c>
      <c r="B52" s="14">
        <v>45925.0</v>
      </c>
      <c r="C52" s="15"/>
      <c r="D52" s="44">
        <v>6835.0</v>
      </c>
      <c r="E52" s="17">
        <v>4.0</v>
      </c>
      <c r="F52" s="17"/>
      <c r="G52" s="18"/>
      <c r="K52" s="29"/>
    </row>
    <row r="53" ht="18.75" customHeight="1">
      <c r="A53" s="13">
        <v>51.0</v>
      </c>
      <c r="B53" s="14">
        <v>45926.0</v>
      </c>
      <c r="C53" s="15"/>
      <c r="D53" s="44">
        <v>1086482.0</v>
      </c>
      <c r="E53" s="17">
        <v>2.0</v>
      </c>
      <c r="F53" s="17"/>
      <c r="G53" s="18"/>
      <c r="K53" s="29"/>
    </row>
    <row r="54" ht="18.75" customHeight="1">
      <c r="A54" s="13">
        <v>52.0</v>
      </c>
      <c r="B54" s="14">
        <v>45926.0</v>
      </c>
      <c r="C54" s="15"/>
      <c r="D54" s="44">
        <v>11951.0</v>
      </c>
      <c r="E54" s="17">
        <v>4.0</v>
      </c>
      <c r="F54" s="17"/>
      <c r="G54" s="18"/>
      <c r="K54" s="29"/>
    </row>
    <row r="55" ht="18.75" customHeight="1">
      <c r="A55" s="13">
        <v>53.0</v>
      </c>
      <c r="B55" s="14">
        <v>45927.0</v>
      </c>
      <c r="C55" s="40">
        <v>104760.0</v>
      </c>
      <c r="D55" s="30"/>
      <c r="E55" s="17">
        <v>2.0</v>
      </c>
      <c r="F55" s="17"/>
      <c r="G55" s="18" t="s">
        <v>50</v>
      </c>
      <c r="K55" s="29"/>
    </row>
    <row r="56" ht="18.75" customHeight="1">
      <c r="A56" s="13">
        <v>54.0</v>
      </c>
      <c r="B56" s="14">
        <v>45927.0</v>
      </c>
      <c r="C56" s="40"/>
      <c r="D56" s="30">
        <v>3090.0</v>
      </c>
      <c r="E56" s="17">
        <v>3.0</v>
      </c>
      <c r="F56" s="17"/>
      <c r="G56" s="18"/>
      <c r="K56" s="29"/>
    </row>
    <row r="57" ht="18.75" customHeight="1">
      <c r="A57" s="13">
        <v>55.0</v>
      </c>
      <c r="B57" s="14">
        <v>45929.0</v>
      </c>
      <c r="C57" s="40">
        <v>104760.0</v>
      </c>
      <c r="D57" s="30"/>
      <c r="E57" s="17">
        <v>2.0</v>
      </c>
      <c r="F57" s="17"/>
      <c r="G57" s="18"/>
      <c r="K57" s="29"/>
    </row>
    <row r="58" ht="18.75" customHeight="1">
      <c r="A58" s="13">
        <v>56.0</v>
      </c>
      <c r="B58" s="14">
        <v>45929.0</v>
      </c>
      <c r="C58" s="40"/>
      <c r="D58" s="30">
        <v>3090.0</v>
      </c>
      <c r="E58" s="17">
        <v>3.0</v>
      </c>
      <c r="F58" s="17"/>
      <c r="G58" s="18"/>
      <c r="K58" s="29"/>
    </row>
    <row r="59" ht="18.75" customHeight="1">
      <c r="A59" s="13">
        <v>57.0</v>
      </c>
      <c r="B59" s="14">
        <v>45929.0</v>
      </c>
      <c r="C59" s="40">
        <v>104760.0</v>
      </c>
      <c r="D59" s="30"/>
      <c r="E59" s="17">
        <v>2.0</v>
      </c>
      <c r="F59" s="17"/>
      <c r="G59" s="18"/>
      <c r="K59" s="29"/>
    </row>
    <row r="60" ht="18.75" customHeight="1">
      <c r="A60" s="13">
        <v>58.0</v>
      </c>
      <c r="B60" s="14">
        <v>45929.0</v>
      </c>
      <c r="C60" s="40"/>
      <c r="D60" s="30">
        <v>3090.0</v>
      </c>
      <c r="E60" s="17">
        <v>3.0</v>
      </c>
      <c r="F60" s="17"/>
      <c r="G60" s="18"/>
      <c r="K60" s="29"/>
    </row>
    <row r="61" ht="19.5" customHeight="1">
      <c r="A61" s="13">
        <v>59.0</v>
      </c>
      <c r="B61" s="14">
        <v>45932.0</v>
      </c>
      <c r="C61" s="40"/>
      <c r="D61" s="30">
        <v>110287.0</v>
      </c>
      <c r="E61" s="17">
        <v>2.0</v>
      </c>
      <c r="F61" s="17"/>
      <c r="G61" s="18"/>
      <c r="K61" s="29"/>
    </row>
    <row r="62" ht="19.5" customHeight="1">
      <c r="A62" s="13">
        <v>60.0</v>
      </c>
      <c r="B62" s="14">
        <v>45932.0</v>
      </c>
      <c r="C62" s="40"/>
      <c r="D62" s="30">
        <v>3253.0</v>
      </c>
      <c r="E62" s="17">
        <v>4.0</v>
      </c>
      <c r="F62" s="17"/>
      <c r="G62" s="18"/>
      <c r="K62" s="29"/>
    </row>
    <row r="63" ht="18.75" customHeight="1">
      <c r="A63" s="13">
        <v>61.0</v>
      </c>
      <c r="B63" s="14">
        <v>45932.0</v>
      </c>
      <c r="C63" s="40"/>
      <c r="D63" s="30">
        <v>616217.0</v>
      </c>
      <c r="E63" s="17">
        <v>2.0</v>
      </c>
      <c r="F63" s="17"/>
      <c r="G63" s="18"/>
      <c r="K63" s="29"/>
    </row>
    <row r="64" ht="18.75" customHeight="1">
      <c r="A64" s="13">
        <v>62.0</v>
      </c>
      <c r="B64" s="14">
        <v>45932.0</v>
      </c>
      <c r="C64" s="40"/>
      <c r="D64" s="30">
        <v>6778.0</v>
      </c>
      <c r="E64" s="17">
        <v>4.0</v>
      </c>
      <c r="F64" s="17"/>
      <c r="G64" s="18"/>
      <c r="K64" s="29"/>
    </row>
    <row r="65" ht="18.75" customHeight="1">
      <c r="A65" s="13">
        <v>63.0</v>
      </c>
      <c r="B65" s="14">
        <v>45932.0</v>
      </c>
      <c r="C65" s="40"/>
      <c r="D65" s="30">
        <v>281.0</v>
      </c>
      <c r="E65" s="17">
        <v>2.0</v>
      </c>
      <c r="F65" s="17"/>
      <c r="G65" s="18"/>
      <c r="K65" s="29"/>
    </row>
    <row r="66" ht="18.75" customHeight="1">
      <c r="A66" s="13">
        <v>64.0</v>
      </c>
      <c r="B66" s="14">
        <v>45932.0</v>
      </c>
      <c r="C66" s="40"/>
      <c r="D66" s="30">
        <v>3.0</v>
      </c>
      <c r="E66" s="17">
        <v>4.0</v>
      </c>
      <c r="F66" s="17"/>
      <c r="G66" s="18"/>
      <c r="K66" s="29"/>
    </row>
    <row r="67" ht="18.75" customHeight="1">
      <c r="A67" s="13">
        <v>65.0</v>
      </c>
      <c r="B67" s="14">
        <v>45933.0</v>
      </c>
      <c r="C67" s="40"/>
      <c r="D67" s="30">
        <v>557537.0</v>
      </c>
      <c r="E67" s="17">
        <v>2.0</v>
      </c>
      <c r="F67" s="17"/>
      <c r="G67" s="18"/>
      <c r="K67" s="29"/>
    </row>
    <row r="68" ht="18.75" customHeight="1">
      <c r="A68" s="13">
        <v>66.0</v>
      </c>
      <c r="B68" s="14">
        <v>45933.0</v>
      </c>
      <c r="C68" s="40"/>
      <c r="D68" s="30">
        <v>6133.0</v>
      </c>
      <c r="E68" s="17">
        <v>4.0</v>
      </c>
      <c r="F68" s="17"/>
      <c r="G68" s="18"/>
      <c r="K68" s="29"/>
    </row>
    <row r="69" ht="18.75" customHeight="1">
      <c r="A69" s="13">
        <v>67.0</v>
      </c>
      <c r="B69" s="14">
        <v>45933.0</v>
      </c>
      <c r="C69" s="40"/>
      <c r="D69" s="30">
        <v>201062.0</v>
      </c>
      <c r="E69" s="17">
        <v>2.0</v>
      </c>
      <c r="F69" s="17"/>
      <c r="G69" s="18"/>
      <c r="K69" s="29"/>
    </row>
    <row r="70" ht="18.75" customHeight="1">
      <c r="A70" s="13">
        <v>68.0</v>
      </c>
      <c r="B70" s="14">
        <v>45933.0</v>
      </c>
      <c r="C70" s="40"/>
      <c r="D70" s="30">
        <v>2212.0</v>
      </c>
      <c r="E70" s="17">
        <v>4.0</v>
      </c>
      <c r="F70" s="17"/>
      <c r="G70" s="18"/>
      <c r="K70" s="29"/>
    </row>
    <row r="71" ht="18.75" customHeight="1">
      <c r="A71" s="13">
        <v>69.0</v>
      </c>
      <c r="B71" s="14">
        <v>45934.0</v>
      </c>
      <c r="C71" s="40">
        <v>1000000.0</v>
      </c>
      <c r="D71" s="30"/>
      <c r="E71" s="17">
        <v>2.0</v>
      </c>
      <c r="F71" s="17"/>
      <c r="G71" s="18"/>
      <c r="K71" s="29"/>
    </row>
    <row r="72" ht="18.75" customHeight="1">
      <c r="A72" s="13">
        <v>70.0</v>
      </c>
      <c r="B72" s="14">
        <v>45934.0</v>
      </c>
      <c r="C72" s="40">
        <v>1.8E7</v>
      </c>
      <c r="D72" s="30"/>
      <c r="E72" s="17">
        <v>2.0</v>
      </c>
      <c r="F72" s="17"/>
      <c r="G72" s="18"/>
      <c r="K72" s="29"/>
    </row>
    <row r="73" ht="18.75" customHeight="1">
      <c r="A73" s="13">
        <v>71.0</v>
      </c>
      <c r="B73" s="14">
        <v>45934.0</v>
      </c>
      <c r="C73" s="40"/>
      <c r="D73" s="30">
        <v>229721.0</v>
      </c>
      <c r="E73" s="17">
        <v>2.0</v>
      </c>
      <c r="F73" s="17"/>
      <c r="G73" s="18"/>
      <c r="K73" s="29"/>
    </row>
    <row r="74" ht="18.75" customHeight="1">
      <c r="A74" s="13">
        <v>72.0</v>
      </c>
      <c r="B74" s="14">
        <v>45934.0</v>
      </c>
      <c r="C74" s="40"/>
      <c r="D74" s="30">
        <v>2527.0</v>
      </c>
      <c r="E74" s="17">
        <v>4.0</v>
      </c>
      <c r="F74" s="17"/>
      <c r="G74" s="18"/>
      <c r="K74" s="29"/>
    </row>
    <row r="75" ht="18.75" customHeight="1">
      <c r="A75" s="13">
        <v>73.0</v>
      </c>
      <c r="B75" s="14">
        <v>45934.0</v>
      </c>
      <c r="C75" s="40"/>
      <c r="D75" s="30">
        <v>363719.0</v>
      </c>
      <c r="E75" s="17">
        <v>2.0</v>
      </c>
      <c r="F75" s="17"/>
      <c r="G75" s="35"/>
      <c r="K75" s="29"/>
    </row>
    <row r="76" ht="18.75" customHeight="1">
      <c r="A76" s="13">
        <v>74.0</v>
      </c>
      <c r="B76" s="14">
        <v>45934.0</v>
      </c>
      <c r="C76" s="40"/>
      <c r="D76" s="30">
        <v>4001.0</v>
      </c>
      <c r="E76" s="17">
        <v>4.0</v>
      </c>
      <c r="F76" s="17"/>
      <c r="G76" s="35"/>
      <c r="K76" s="29"/>
    </row>
    <row r="77" ht="18.75" customHeight="1">
      <c r="A77" s="13">
        <v>75.0</v>
      </c>
      <c r="B77" s="14">
        <v>45936.0</v>
      </c>
      <c r="C77" s="40">
        <v>2000000.0</v>
      </c>
      <c r="D77" s="30"/>
      <c r="E77" s="17">
        <v>2.0</v>
      </c>
      <c r="F77" s="17"/>
      <c r="G77" s="35"/>
      <c r="K77" s="29"/>
    </row>
    <row r="78" ht="18.75" customHeight="1">
      <c r="A78" s="13">
        <v>76.0</v>
      </c>
      <c r="B78" s="14">
        <v>45936.0</v>
      </c>
      <c r="C78" s="40">
        <v>1.9E7</v>
      </c>
      <c r="D78" s="30"/>
      <c r="E78" s="17">
        <v>2.0</v>
      </c>
      <c r="F78" s="17"/>
      <c r="G78" s="35"/>
      <c r="K78" s="29"/>
    </row>
    <row r="79" ht="18.75" customHeight="1">
      <c r="A79" s="13">
        <v>77.0</v>
      </c>
      <c r="B79" s="14">
        <v>45936.0</v>
      </c>
      <c r="C79" s="40">
        <v>1.6E7</v>
      </c>
      <c r="D79" s="30"/>
      <c r="E79" s="17">
        <v>2.0</v>
      </c>
      <c r="F79" s="17"/>
      <c r="G79" s="35"/>
      <c r="K79" s="29"/>
    </row>
    <row r="80" ht="18.75" customHeight="1">
      <c r="A80" s="13">
        <v>78.0</v>
      </c>
      <c r="B80" s="14">
        <v>45936.0</v>
      </c>
      <c r="C80" s="40">
        <v>1.4E7</v>
      </c>
      <c r="D80" s="30"/>
      <c r="E80" s="17">
        <v>2.0</v>
      </c>
      <c r="F80" s="17"/>
      <c r="G80" s="35"/>
      <c r="K80" s="29"/>
    </row>
    <row r="81" ht="18.75" customHeight="1">
      <c r="A81" s="13">
        <v>79.0</v>
      </c>
      <c r="B81" s="14">
        <v>45936.0</v>
      </c>
      <c r="C81" s="40"/>
      <c r="D81" s="30">
        <v>260953.0</v>
      </c>
      <c r="E81" s="17">
        <v>2.0</v>
      </c>
      <c r="F81" s="17"/>
      <c r="G81" s="35"/>
      <c r="K81" s="29"/>
    </row>
    <row r="82" ht="18.75" customHeight="1">
      <c r="A82" s="13">
        <v>80.0</v>
      </c>
      <c r="B82" s="14">
        <v>45936.0</v>
      </c>
      <c r="C82" s="40"/>
      <c r="D82" s="30">
        <v>2870.0</v>
      </c>
      <c r="E82" s="17">
        <v>4.0</v>
      </c>
      <c r="F82" s="17"/>
      <c r="G82" s="35"/>
      <c r="K82" s="29"/>
    </row>
    <row r="83" ht="18.75" customHeight="1">
      <c r="A83" s="13">
        <v>81.0</v>
      </c>
      <c r="B83" s="14">
        <v>45936.0</v>
      </c>
      <c r="C83" s="40"/>
      <c r="D83" s="30">
        <v>60661.0</v>
      </c>
      <c r="E83" s="17">
        <v>2.0</v>
      </c>
      <c r="F83" s="17"/>
      <c r="G83" s="35"/>
      <c r="K83" s="29"/>
    </row>
    <row r="84" ht="18.75" customHeight="1">
      <c r="A84" s="13">
        <v>82.0</v>
      </c>
      <c r="B84" s="14">
        <v>45936.0</v>
      </c>
      <c r="C84" s="40"/>
      <c r="D84" s="70">
        <v>667.0</v>
      </c>
      <c r="E84" s="17">
        <v>4.0</v>
      </c>
      <c r="F84" s="17"/>
      <c r="G84" s="35"/>
      <c r="K84" s="29"/>
    </row>
    <row r="85" ht="18.75" customHeight="1">
      <c r="A85" s="13">
        <v>83.0</v>
      </c>
      <c r="B85" s="14">
        <v>45936.0</v>
      </c>
      <c r="C85" s="40"/>
      <c r="D85" s="70">
        <v>3000.0</v>
      </c>
      <c r="E85" s="17">
        <v>1.0</v>
      </c>
      <c r="F85" s="17"/>
      <c r="G85" s="35"/>
      <c r="K85" s="29"/>
    </row>
    <row r="86" ht="18.75" customHeight="1">
      <c r="A86" s="13">
        <v>84.0</v>
      </c>
      <c r="B86" s="14">
        <v>45936.0</v>
      </c>
      <c r="C86" s="40"/>
      <c r="D86" s="70">
        <v>182040.0</v>
      </c>
      <c r="E86" s="17">
        <v>2.0</v>
      </c>
      <c r="F86" s="17"/>
      <c r="G86" s="35"/>
      <c r="K86" s="29"/>
    </row>
    <row r="87" ht="18.75" customHeight="1">
      <c r="A87" s="13">
        <v>85.0</v>
      </c>
      <c r="B87" s="14">
        <v>45936.0</v>
      </c>
      <c r="C87" s="40"/>
      <c r="D87" s="70">
        <v>5370.0</v>
      </c>
      <c r="E87" s="17">
        <v>4.0</v>
      </c>
      <c r="F87" s="17"/>
      <c r="G87" s="35"/>
      <c r="K87" s="29"/>
    </row>
    <row r="88" ht="18.75" customHeight="1">
      <c r="A88" s="13">
        <v>86.0</v>
      </c>
      <c r="B88" s="14">
        <v>45936.0</v>
      </c>
      <c r="C88" s="40"/>
      <c r="D88" s="70">
        <v>291677.0</v>
      </c>
      <c r="E88" s="17">
        <v>2.0</v>
      </c>
      <c r="F88" s="17"/>
      <c r="G88" s="35"/>
      <c r="K88" s="29"/>
    </row>
    <row r="89" ht="18.75" customHeight="1">
      <c r="A89" s="13">
        <v>87.0</v>
      </c>
      <c r="B89" s="14">
        <v>45936.0</v>
      </c>
      <c r="C89" s="40"/>
      <c r="D89" s="70">
        <v>3208.0</v>
      </c>
      <c r="E89" s="17">
        <v>4.0</v>
      </c>
      <c r="F89" s="17"/>
      <c r="G89" s="35"/>
      <c r="K89" s="29"/>
    </row>
    <row r="90" ht="18.75" customHeight="1">
      <c r="A90" s="13">
        <v>88.0</v>
      </c>
      <c r="B90" s="14">
        <v>45936.0</v>
      </c>
      <c r="C90" s="40"/>
      <c r="D90" s="70">
        <v>30049.0</v>
      </c>
      <c r="E90" s="17">
        <v>2.0</v>
      </c>
      <c r="F90" s="17"/>
      <c r="G90" s="35"/>
      <c r="K90" s="29"/>
    </row>
    <row r="91" ht="18.75" customHeight="1">
      <c r="A91" s="13">
        <v>89.0</v>
      </c>
      <c r="B91" s="14">
        <v>45936.0</v>
      </c>
      <c r="C91" s="40"/>
      <c r="D91" s="70">
        <v>331.0</v>
      </c>
      <c r="E91" s="17">
        <v>4.0</v>
      </c>
      <c r="F91" s="17"/>
      <c r="G91" s="35"/>
      <c r="K91" s="29"/>
    </row>
    <row r="92" ht="18.75" customHeight="1">
      <c r="A92" s="13">
        <v>90.0</v>
      </c>
      <c r="B92" s="14">
        <v>45936.0</v>
      </c>
      <c r="C92" s="40"/>
      <c r="D92" s="70">
        <v>30258.0</v>
      </c>
      <c r="E92" s="17">
        <v>2.0</v>
      </c>
      <c r="F92" s="17"/>
      <c r="G92" s="35"/>
      <c r="K92" s="29"/>
    </row>
    <row r="93" ht="18.75" customHeight="1">
      <c r="A93" s="13">
        <v>91.0</v>
      </c>
      <c r="B93" s="14">
        <v>45936.0</v>
      </c>
      <c r="C93" s="40"/>
      <c r="D93" s="70">
        <v>333.0</v>
      </c>
      <c r="E93" s="17">
        <v>4.0</v>
      </c>
      <c r="F93" s="17"/>
      <c r="G93" s="35"/>
      <c r="K93" s="29"/>
    </row>
    <row r="94" ht="18.75" customHeight="1">
      <c r="A94" s="13">
        <v>92.0</v>
      </c>
      <c r="B94" s="14">
        <v>45937.0</v>
      </c>
      <c r="C94" s="40"/>
      <c r="D94" s="71">
        <v>1.7929E7</v>
      </c>
      <c r="E94" s="17">
        <v>1.0</v>
      </c>
      <c r="F94" s="17"/>
      <c r="G94" s="35" t="s">
        <v>51</v>
      </c>
      <c r="K94" s="29"/>
    </row>
    <row r="95" ht="18.75" customHeight="1">
      <c r="A95" s="13">
        <v>93.0</v>
      </c>
      <c r="B95" s="14">
        <v>45937.0</v>
      </c>
      <c r="C95" s="40"/>
      <c r="D95" s="70">
        <v>1.4018E7</v>
      </c>
      <c r="E95" s="17">
        <v>1.0</v>
      </c>
      <c r="F95" s="17"/>
      <c r="G95" s="35" t="s">
        <v>51</v>
      </c>
      <c r="K95" s="29"/>
    </row>
    <row r="96" ht="18.75" customHeight="1">
      <c r="A96" s="13">
        <v>94.0</v>
      </c>
      <c r="B96" s="14">
        <v>45937.0</v>
      </c>
      <c r="C96" s="40"/>
      <c r="D96" s="70">
        <v>1.6079E7</v>
      </c>
      <c r="E96" s="17">
        <v>1.0</v>
      </c>
      <c r="F96" s="17"/>
      <c r="G96" s="35" t="s">
        <v>52</v>
      </c>
      <c r="K96" s="29"/>
    </row>
    <row r="97" ht="33.0" customHeight="1">
      <c r="A97" s="13">
        <v>95.0</v>
      </c>
      <c r="B97" s="14">
        <v>45937.0</v>
      </c>
      <c r="C97" s="40"/>
      <c r="D97" s="70">
        <v>964000.0</v>
      </c>
      <c r="E97" s="17">
        <v>1.0</v>
      </c>
      <c r="F97" s="17"/>
      <c r="G97" s="35" t="s">
        <v>53</v>
      </c>
      <c r="K97" s="29"/>
    </row>
    <row r="98" ht="18.75" customHeight="1">
      <c r="A98" s="13">
        <v>96.0</v>
      </c>
      <c r="B98" s="14">
        <v>45937.0</v>
      </c>
      <c r="C98" s="40"/>
      <c r="D98" s="70">
        <v>1.9158E7</v>
      </c>
      <c r="E98" s="17">
        <v>1.0</v>
      </c>
      <c r="F98" s="17"/>
      <c r="G98" s="35" t="s">
        <v>54</v>
      </c>
      <c r="K98" s="29"/>
    </row>
    <row r="99" ht="18.75" customHeight="1">
      <c r="A99" s="13">
        <v>97.0</v>
      </c>
      <c r="B99" s="14">
        <v>45937.0</v>
      </c>
      <c r="C99" s="40"/>
      <c r="D99" s="70">
        <v>1839000.0</v>
      </c>
      <c r="E99" s="17">
        <v>1.0</v>
      </c>
      <c r="F99" s="17"/>
      <c r="G99" s="35" t="s">
        <v>54</v>
      </c>
      <c r="K99" s="29"/>
    </row>
    <row r="100" ht="18.75" customHeight="1">
      <c r="A100" s="13">
        <v>98.0</v>
      </c>
      <c r="B100" s="14">
        <v>45937.0</v>
      </c>
      <c r="C100" s="40"/>
      <c r="D100" s="70">
        <v>320845.0</v>
      </c>
      <c r="E100" s="17">
        <v>2.0</v>
      </c>
      <c r="F100" s="17"/>
      <c r="G100" s="35"/>
      <c r="K100" s="29"/>
    </row>
    <row r="101" ht="18.75" customHeight="1">
      <c r="A101" s="13">
        <v>99.0</v>
      </c>
      <c r="B101" s="14">
        <v>45937.0</v>
      </c>
      <c r="C101" s="40"/>
      <c r="D101" s="70">
        <v>3529.0</v>
      </c>
      <c r="E101" s="17">
        <v>4.0</v>
      </c>
      <c r="F101" s="17"/>
      <c r="G101" s="35"/>
      <c r="K101" s="29"/>
    </row>
    <row r="102" ht="18.75" customHeight="1">
      <c r="A102" s="13">
        <v>100.0</v>
      </c>
      <c r="B102" s="14">
        <v>45937.0</v>
      </c>
      <c r="C102" s="40"/>
      <c r="D102" s="70">
        <v>108111.0</v>
      </c>
      <c r="E102" s="17">
        <v>2.0</v>
      </c>
      <c r="F102" s="17"/>
      <c r="G102" s="35"/>
      <c r="K102" s="29"/>
    </row>
    <row r="103" ht="18.75" customHeight="1">
      <c r="A103" s="13">
        <v>101.0</v>
      </c>
      <c r="B103" s="14">
        <v>45937.0</v>
      </c>
      <c r="C103" s="40"/>
      <c r="D103" s="70">
        <v>1189.0</v>
      </c>
      <c r="E103" s="17">
        <v>4.0</v>
      </c>
      <c r="F103" s="17"/>
      <c r="G103" s="35"/>
      <c r="K103" s="29"/>
    </row>
    <row r="104" ht="18.75" customHeight="1">
      <c r="A104" s="13">
        <v>102.0</v>
      </c>
      <c r="B104" s="14">
        <v>45937.0</v>
      </c>
      <c r="C104" s="40"/>
      <c r="D104" s="70">
        <v>60294.0</v>
      </c>
      <c r="E104" s="17">
        <v>2.0</v>
      </c>
      <c r="F104" s="17"/>
      <c r="G104" s="35"/>
      <c r="K104" s="29"/>
    </row>
    <row r="105" ht="18.75" customHeight="1">
      <c r="A105" s="13">
        <v>103.0</v>
      </c>
      <c r="B105" s="14">
        <v>45937.0</v>
      </c>
      <c r="C105" s="40"/>
      <c r="D105" s="70">
        <v>663.0</v>
      </c>
      <c r="E105" s="17">
        <v>4.0</v>
      </c>
      <c r="F105" s="17"/>
      <c r="G105" s="35"/>
      <c r="K105" s="29"/>
    </row>
    <row r="106" ht="18.75" customHeight="1">
      <c r="A106" s="13">
        <v>104.0</v>
      </c>
      <c r="B106" s="14">
        <v>45937.0</v>
      </c>
      <c r="C106" s="40"/>
      <c r="D106" s="72">
        <v>359929.0</v>
      </c>
      <c r="E106" s="17">
        <v>2.0</v>
      </c>
      <c r="F106" s="17"/>
      <c r="G106" s="35"/>
      <c r="K106" s="29"/>
    </row>
    <row r="107" ht="18.75" customHeight="1">
      <c r="A107" s="13">
        <v>105.0</v>
      </c>
      <c r="B107" s="14">
        <v>45937.0</v>
      </c>
      <c r="C107" s="40"/>
      <c r="D107" s="72">
        <v>3959.0</v>
      </c>
      <c r="E107" s="17">
        <v>4.0</v>
      </c>
      <c r="F107" s="17"/>
      <c r="G107" s="35"/>
      <c r="K107" s="29"/>
    </row>
    <row r="108" ht="18.75" customHeight="1">
      <c r="A108" s="13">
        <v>106.0</v>
      </c>
      <c r="B108" s="14">
        <v>45938.0</v>
      </c>
      <c r="C108" s="40">
        <v>2000000.0</v>
      </c>
      <c r="D108" s="72"/>
      <c r="E108" s="17">
        <v>2.0</v>
      </c>
      <c r="F108" s="17"/>
      <c r="G108" s="35"/>
      <c r="K108" s="29"/>
    </row>
    <row r="109" ht="18.75" customHeight="1">
      <c r="A109" s="13">
        <v>107.0</v>
      </c>
      <c r="B109" s="14">
        <v>45939.0</v>
      </c>
      <c r="C109" s="40">
        <v>2000000.0</v>
      </c>
      <c r="D109" s="72"/>
      <c r="E109" s="17">
        <v>2.0</v>
      </c>
      <c r="F109" s="17"/>
      <c r="G109" s="35"/>
      <c r="K109" s="29"/>
    </row>
    <row r="110" ht="18.75" customHeight="1">
      <c r="A110" s="13">
        <v>108.0</v>
      </c>
      <c r="B110" s="14">
        <v>45939.0</v>
      </c>
      <c r="C110" s="40">
        <v>2000000.0</v>
      </c>
      <c r="D110" s="72"/>
      <c r="E110" s="17">
        <v>2.0</v>
      </c>
      <c r="F110" s="17"/>
      <c r="G110" s="35"/>
      <c r="K110" s="29"/>
    </row>
    <row r="111" ht="18.75" customHeight="1">
      <c r="A111" s="13">
        <v>109.0</v>
      </c>
      <c r="B111" s="14">
        <v>45939.0</v>
      </c>
      <c r="C111" s="40">
        <v>2000000.0</v>
      </c>
      <c r="D111" s="72"/>
      <c r="E111" s="17">
        <v>2.0</v>
      </c>
      <c r="F111" s="17"/>
      <c r="G111" s="35"/>
      <c r="K111" s="29"/>
    </row>
    <row r="112" ht="18.75" customHeight="1">
      <c r="A112" s="13">
        <v>110.0</v>
      </c>
      <c r="B112" s="14">
        <v>45939.0</v>
      </c>
      <c r="C112" s="40"/>
      <c r="D112" s="72">
        <v>290711.0</v>
      </c>
      <c r="E112" s="17">
        <v>2.0</v>
      </c>
      <c r="F112" s="17"/>
      <c r="G112" s="35"/>
      <c r="K112" s="29"/>
    </row>
    <row r="113" ht="18.75" customHeight="1">
      <c r="A113" s="13">
        <v>111.0</v>
      </c>
      <c r="B113" s="14">
        <v>45939.0</v>
      </c>
      <c r="C113" s="40"/>
      <c r="D113" s="72">
        <v>3198.0</v>
      </c>
      <c r="E113" s="17">
        <v>4.0</v>
      </c>
      <c r="F113" s="17"/>
      <c r="G113" s="35"/>
      <c r="K113" s="29"/>
    </row>
    <row r="114" ht="18.75" customHeight="1">
      <c r="A114" s="13">
        <v>112.0</v>
      </c>
      <c r="B114" s="14">
        <v>45939.0</v>
      </c>
      <c r="C114" s="40"/>
      <c r="D114" s="72">
        <v>41529.0</v>
      </c>
      <c r="E114" s="17">
        <v>2.0</v>
      </c>
      <c r="F114" s="17"/>
      <c r="G114" s="35"/>
      <c r="K114" s="29"/>
    </row>
    <row r="115" ht="18.75" customHeight="1">
      <c r="A115" s="13">
        <v>113.0</v>
      </c>
      <c r="B115" s="14">
        <v>45939.0</v>
      </c>
      <c r="C115" s="40"/>
      <c r="D115" s="72">
        <v>457.0</v>
      </c>
      <c r="E115" s="17">
        <v>4.0</v>
      </c>
      <c r="F115" s="17"/>
      <c r="G115" s="35"/>
      <c r="K115" s="29"/>
    </row>
    <row r="116" ht="18.75" customHeight="1">
      <c r="A116" s="13">
        <v>114.0</v>
      </c>
      <c r="B116" s="14">
        <v>45939.0</v>
      </c>
      <c r="C116" s="40"/>
      <c r="D116" s="72">
        <v>116650.0</v>
      </c>
      <c r="E116" s="17">
        <v>2.0</v>
      </c>
      <c r="F116" s="17"/>
      <c r="G116" s="35"/>
      <c r="K116" s="29"/>
    </row>
    <row r="117" ht="18.75" customHeight="1">
      <c r="A117" s="13">
        <v>115.0</v>
      </c>
      <c r="B117" s="14">
        <v>45939.0</v>
      </c>
      <c r="C117" s="40"/>
      <c r="D117" s="72">
        <v>1283.0</v>
      </c>
      <c r="E117" s="17">
        <v>4.0</v>
      </c>
      <c r="F117" s="17"/>
      <c r="G117" s="35"/>
      <c r="K117" s="29"/>
    </row>
    <row r="118" ht="18.75" customHeight="1">
      <c r="A118" s="13">
        <v>116.0</v>
      </c>
      <c r="B118" s="14">
        <v>45939.0</v>
      </c>
      <c r="C118" s="40"/>
      <c r="D118" s="72">
        <v>233299.0</v>
      </c>
      <c r="E118" s="17">
        <v>2.0</v>
      </c>
      <c r="F118" s="17"/>
      <c r="G118" s="35"/>
      <c r="K118" s="29"/>
    </row>
    <row r="119" ht="18.75" customHeight="1">
      <c r="A119" s="13">
        <v>117.0</v>
      </c>
      <c r="B119" s="14">
        <v>45939.0</v>
      </c>
      <c r="C119" s="40"/>
      <c r="D119" s="72">
        <v>2566.0</v>
      </c>
      <c r="E119" s="17">
        <v>4.0</v>
      </c>
      <c r="F119" s="17"/>
      <c r="G119" s="35"/>
      <c r="K119" s="29"/>
    </row>
    <row r="120" ht="18.75" customHeight="1">
      <c r="A120" s="13">
        <v>118.0</v>
      </c>
      <c r="B120" s="14">
        <v>45939.0</v>
      </c>
      <c r="C120" s="40"/>
      <c r="D120" s="72">
        <v>466598.0</v>
      </c>
      <c r="E120" s="17">
        <v>2.0</v>
      </c>
      <c r="F120" s="17"/>
      <c r="G120" s="35"/>
      <c r="K120" s="29"/>
    </row>
    <row r="121" ht="18.75" customHeight="1">
      <c r="A121" s="13">
        <v>119.0</v>
      </c>
      <c r="B121" s="14">
        <v>45939.0</v>
      </c>
      <c r="C121" s="40"/>
      <c r="D121" s="72">
        <v>5133.0</v>
      </c>
      <c r="E121" s="17">
        <v>4.0</v>
      </c>
      <c r="F121" s="17"/>
      <c r="G121" s="35"/>
      <c r="K121" s="29"/>
    </row>
    <row r="122" ht="18.75" customHeight="1">
      <c r="A122" s="13">
        <v>120.0</v>
      </c>
      <c r="B122" s="14">
        <v>45939.0</v>
      </c>
      <c r="C122" s="40"/>
      <c r="D122" s="72">
        <v>738712.0</v>
      </c>
      <c r="E122" s="17">
        <v>2.0</v>
      </c>
      <c r="F122" s="17"/>
      <c r="G122" s="35"/>
      <c r="K122" s="29"/>
    </row>
    <row r="123" ht="18.75" customHeight="1">
      <c r="A123" s="13">
        <v>121.0</v>
      </c>
      <c r="B123" s="14">
        <v>45939.0</v>
      </c>
      <c r="C123" s="40"/>
      <c r="D123" s="72">
        <v>8126.0</v>
      </c>
      <c r="E123" s="17">
        <v>4.0</v>
      </c>
      <c r="F123" s="17"/>
      <c r="G123" s="35"/>
      <c r="K123" s="29"/>
    </row>
    <row r="124" ht="18.75" customHeight="1">
      <c r="A124" s="13">
        <v>122.0</v>
      </c>
      <c r="B124" s="14">
        <v>45939.0</v>
      </c>
      <c r="C124" s="40"/>
      <c r="D124" s="72">
        <v>984240.0</v>
      </c>
      <c r="E124" s="17">
        <v>2.0</v>
      </c>
      <c r="F124" s="17"/>
      <c r="G124" s="35"/>
      <c r="K124" s="29"/>
    </row>
    <row r="125" ht="18.75" customHeight="1">
      <c r="A125" s="13">
        <v>123.0</v>
      </c>
      <c r="B125" s="14">
        <v>45939.0</v>
      </c>
      <c r="C125" s="40"/>
      <c r="D125" s="72">
        <v>10827.0</v>
      </c>
      <c r="E125" s="17">
        <v>4.0</v>
      </c>
      <c r="F125" s="17"/>
      <c r="G125" s="35"/>
      <c r="K125" s="29"/>
    </row>
    <row r="126" ht="18.75" customHeight="1">
      <c r="A126" s="13">
        <v>124.0</v>
      </c>
      <c r="B126" s="14">
        <v>45939.0</v>
      </c>
      <c r="C126" s="40"/>
      <c r="D126" s="72">
        <v>133680.0</v>
      </c>
      <c r="E126" s="17">
        <v>2.0</v>
      </c>
      <c r="F126" s="17"/>
      <c r="G126" s="35"/>
      <c r="K126" s="29"/>
    </row>
    <row r="127" ht="18.75" customHeight="1">
      <c r="A127" s="13">
        <v>125.0</v>
      </c>
      <c r="B127" s="14">
        <v>45939.0</v>
      </c>
      <c r="C127" s="40"/>
      <c r="D127" s="72">
        <v>1470.0</v>
      </c>
      <c r="E127" s="17">
        <v>4.0</v>
      </c>
      <c r="F127" s="17"/>
      <c r="G127" s="35"/>
      <c r="K127" s="29"/>
    </row>
    <row r="128" ht="18.75" customHeight="1">
      <c r="A128" s="13">
        <v>126.0</v>
      </c>
      <c r="B128" s="14">
        <v>45940.0</v>
      </c>
      <c r="C128" s="40">
        <v>5000000.0</v>
      </c>
      <c r="D128" s="30"/>
      <c r="E128" s="17">
        <v>2.0</v>
      </c>
      <c r="F128" s="17"/>
      <c r="G128" s="35"/>
      <c r="K128" s="29"/>
    </row>
    <row r="129" ht="18.75" customHeight="1">
      <c r="A129" s="13">
        <v>127.0</v>
      </c>
      <c r="B129" s="14">
        <v>45940.0</v>
      </c>
      <c r="C129" s="40"/>
      <c r="D129" s="73">
        <v>1855762.0</v>
      </c>
      <c r="E129" s="17">
        <v>2.0</v>
      </c>
      <c r="F129" s="17"/>
      <c r="G129" s="35"/>
      <c r="K129" s="29"/>
    </row>
    <row r="130" ht="18.75" customHeight="1">
      <c r="A130" s="13">
        <v>128.0</v>
      </c>
      <c r="B130" s="14">
        <v>45940.0</v>
      </c>
      <c r="C130" s="40"/>
      <c r="D130" s="73">
        <v>20413.0</v>
      </c>
      <c r="E130" s="17">
        <v>4.0</v>
      </c>
      <c r="F130" s="17"/>
      <c r="G130" s="35"/>
      <c r="K130" s="29"/>
    </row>
    <row r="131" ht="18.75" customHeight="1">
      <c r="A131" s="13">
        <v>129.0</v>
      </c>
      <c r="B131" s="14">
        <v>45940.0</v>
      </c>
      <c r="C131" s="40"/>
      <c r="D131" s="73">
        <v>225117.0</v>
      </c>
      <c r="E131" s="17">
        <v>2.0</v>
      </c>
      <c r="F131" s="17"/>
      <c r="G131" s="35"/>
      <c r="K131" s="29"/>
    </row>
    <row r="132" ht="18.75" customHeight="1">
      <c r="A132" s="13">
        <v>130.0</v>
      </c>
      <c r="B132" s="14">
        <v>45940.0</v>
      </c>
      <c r="C132" s="40"/>
      <c r="D132" s="73">
        <v>2476.0</v>
      </c>
      <c r="E132" s="17">
        <v>4.0</v>
      </c>
      <c r="F132" s="17"/>
      <c r="G132" s="35"/>
      <c r="K132" s="29"/>
    </row>
    <row r="133" ht="18.75" customHeight="1">
      <c r="A133" s="13">
        <v>131.0</v>
      </c>
      <c r="B133" s="14">
        <v>45940.0</v>
      </c>
      <c r="C133" s="40"/>
      <c r="D133" s="73">
        <v>464963.0</v>
      </c>
      <c r="E133" s="17">
        <v>2.0</v>
      </c>
      <c r="F133" s="17"/>
      <c r="G133" s="35"/>
      <c r="K133" s="29"/>
    </row>
    <row r="134" ht="18.75" customHeight="1">
      <c r="A134" s="13">
        <v>132.0</v>
      </c>
      <c r="B134" s="14">
        <v>45940.0</v>
      </c>
      <c r="C134" s="40"/>
      <c r="D134" s="73">
        <v>5115.0</v>
      </c>
      <c r="E134" s="17">
        <v>4.0</v>
      </c>
      <c r="F134" s="17"/>
      <c r="G134" s="35"/>
      <c r="K134" s="29"/>
    </row>
    <row r="135" ht="18.75" customHeight="1">
      <c r="A135" s="13">
        <v>133.0</v>
      </c>
      <c r="B135" s="14">
        <v>45940.0</v>
      </c>
      <c r="C135" s="40"/>
      <c r="D135" s="73">
        <v>115107.0</v>
      </c>
      <c r="E135" s="17">
        <v>2.0</v>
      </c>
      <c r="F135" s="17"/>
      <c r="G135" s="35"/>
      <c r="K135" s="29"/>
    </row>
    <row r="136" ht="18.75" customHeight="1">
      <c r="A136" s="13">
        <v>134.0</v>
      </c>
      <c r="B136" s="14">
        <v>45940.0</v>
      </c>
      <c r="C136" s="40"/>
      <c r="D136" s="73">
        <v>1266.0</v>
      </c>
      <c r="E136" s="17">
        <v>4.0</v>
      </c>
      <c r="F136" s="17"/>
      <c r="G136" s="35"/>
      <c r="K136" s="29"/>
    </row>
    <row r="137" ht="18.75" customHeight="1">
      <c r="A137" s="13">
        <v>135.0</v>
      </c>
      <c r="B137" s="14">
        <v>45940.0</v>
      </c>
      <c r="C137" s="40"/>
      <c r="D137" s="73">
        <v>292202.0</v>
      </c>
      <c r="E137" s="17">
        <v>2.0</v>
      </c>
      <c r="F137" s="17"/>
      <c r="G137" s="35"/>
      <c r="K137" s="29"/>
    </row>
    <row r="138" ht="18.75" customHeight="1">
      <c r="A138" s="13">
        <v>136.0</v>
      </c>
      <c r="B138" s="14">
        <v>45940.0</v>
      </c>
      <c r="C138" s="40"/>
      <c r="D138" s="73">
        <v>3214.0</v>
      </c>
      <c r="E138" s="17">
        <v>4.0</v>
      </c>
      <c r="F138" s="17"/>
      <c r="G138" s="35"/>
      <c r="K138" s="29"/>
    </row>
    <row r="139" ht="18.75" customHeight="1">
      <c r="A139" s="13">
        <v>137.0</v>
      </c>
      <c r="B139" s="14">
        <v>45940.0</v>
      </c>
      <c r="C139" s="40"/>
      <c r="D139" s="73">
        <v>235.0</v>
      </c>
      <c r="E139" s="17">
        <v>2.0</v>
      </c>
      <c r="F139" s="17"/>
      <c r="G139" s="35"/>
      <c r="K139" s="29"/>
    </row>
    <row r="140" ht="18.75" customHeight="1">
      <c r="A140" s="13">
        <v>138.0</v>
      </c>
      <c r="B140" s="14">
        <v>45940.0</v>
      </c>
      <c r="C140" s="40"/>
      <c r="D140" s="73">
        <v>3.0</v>
      </c>
      <c r="E140" s="17">
        <v>4.0</v>
      </c>
      <c r="F140" s="17"/>
      <c r="G140" s="35"/>
      <c r="K140" s="29"/>
    </row>
    <row r="141" ht="18.75" customHeight="1">
      <c r="A141" s="13">
        <v>139.0</v>
      </c>
      <c r="B141" s="14">
        <v>45940.0</v>
      </c>
      <c r="C141" s="40"/>
      <c r="D141" s="73">
        <v>119130.0</v>
      </c>
      <c r="E141" s="17">
        <v>2.0</v>
      </c>
      <c r="F141" s="17"/>
      <c r="G141" s="35"/>
      <c r="K141" s="29"/>
    </row>
    <row r="142" ht="18.75" customHeight="1">
      <c r="A142" s="13">
        <v>140.0</v>
      </c>
      <c r="B142" s="14">
        <v>45940.0</v>
      </c>
      <c r="C142" s="40"/>
      <c r="D142" s="73">
        <v>1310.0</v>
      </c>
      <c r="E142" s="17">
        <v>4.0</v>
      </c>
      <c r="F142" s="17"/>
      <c r="G142" s="35"/>
      <c r="K142" s="29"/>
    </row>
    <row r="143" ht="18.75" customHeight="1">
      <c r="A143" s="13">
        <v>141.0</v>
      </c>
      <c r="B143" s="14">
        <v>45940.0</v>
      </c>
      <c r="C143" s="40"/>
      <c r="D143" s="73">
        <v>624192.0</v>
      </c>
      <c r="E143" s="17">
        <v>2.0</v>
      </c>
      <c r="F143" s="17"/>
      <c r="G143" s="35"/>
      <c r="K143" s="29"/>
    </row>
    <row r="144" ht="18.75" customHeight="1">
      <c r="A144" s="13">
        <v>142.0</v>
      </c>
      <c r="B144" s="14">
        <v>45940.0</v>
      </c>
      <c r="C144" s="40"/>
      <c r="D144" s="73">
        <v>6866.0</v>
      </c>
      <c r="E144" s="17">
        <v>4.0</v>
      </c>
      <c r="F144" s="17"/>
      <c r="G144" s="35"/>
      <c r="K144" s="29"/>
    </row>
    <row r="145" ht="18.75" customHeight="1">
      <c r="A145" s="13">
        <v>143.0</v>
      </c>
      <c r="B145" s="14">
        <v>45941.0</v>
      </c>
      <c r="C145" s="40"/>
      <c r="D145" s="73">
        <v>2479654.0</v>
      </c>
      <c r="E145" s="17">
        <v>2.0</v>
      </c>
      <c r="F145" s="17"/>
      <c r="G145" s="35"/>
      <c r="K145" s="29"/>
    </row>
    <row r="146" ht="18.75" customHeight="1">
      <c r="A146" s="13">
        <v>144.0</v>
      </c>
      <c r="B146" s="14">
        <v>45941.0</v>
      </c>
      <c r="C146" s="40"/>
      <c r="D146" s="73">
        <v>27276.0</v>
      </c>
      <c r="E146" s="17">
        <v>4.0</v>
      </c>
      <c r="F146" s="17"/>
      <c r="G146" s="35"/>
      <c r="K146" s="29"/>
    </row>
    <row r="147" ht="18.75" customHeight="1">
      <c r="A147" s="13">
        <v>145.0</v>
      </c>
      <c r="B147" s="14">
        <v>45941.0</v>
      </c>
      <c r="C147" s="40"/>
      <c r="D147" s="73">
        <v>401640.0</v>
      </c>
      <c r="E147" s="17">
        <v>2.0</v>
      </c>
      <c r="F147" s="17"/>
      <c r="G147" s="35"/>
      <c r="K147" s="29"/>
    </row>
    <row r="148" ht="18.75" customHeight="1">
      <c r="A148" s="13">
        <v>146.0</v>
      </c>
      <c r="B148" s="14">
        <v>45941.0</v>
      </c>
      <c r="C148" s="40"/>
      <c r="D148" s="73">
        <v>4418.0</v>
      </c>
      <c r="E148" s="17">
        <v>4.0</v>
      </c>
      <c r="F148" s="17"/>
      <c r="G148" s="35"/>
      <c r="K148" s="29"/>
    </row>
    <row r="149" ht="18.75" customHeight="1">
      <c r="A149" s="13">
        <v>147.0</v>
      </c>
      <c r="B149" s="14">
        <v>45941.0</v>
      </c>
      <c r="C149" s="40"/>
      <c r="D149" s="73">
        <v>2289.0</v>
      </c>
      <c r="E149" s="17">
        <v>2.0</v>
      </c>
      <c r="F149" s="17"/>
      <c r="G149" s="35"/>
      <c r="K149" s="29"/>
    </row>
    <row r="150" ht="18.75" customHeight="1">
      <c r="A150" s="13">
        <v>148.0</v>
      </c>
      <c r="B150" s="14">
        <v>45941.0</v>
      </c>
      <c r="C150" s="40"/>
      <c r="D150" s="74">
        <v>25.0</v>
      </c>
      <c r="E150" s="17">
        <v>4.0</v>
      </c>
      <c r="F150" s="17"/>
      <c r="G150" s="35"/>
      <c r="K150" s="29"/>
    </row>
    <row r="151" ht="19.5" customHeight="1">
      <c r="A151" s="13">
        <v>149.0</v>
      </c>
      <c r="B151" s="14">
        <v>45943.0</v>
      </c>
      <c r="C151" s="40">
        <v>1.0E7</v>
      </c>
      <c r="D151" s="74"/>
      <c r="E151" s="17">
        <v>2.0</v>
      </c>
      <c r="F151" s="17"/>
      <c r="G151" s="35"/>
      <c r="K151" s="29"/>
    </row>
    <row r="152" ht="19.5" customHeight="1">
      <c r="A152" s="13">
        <v>150.0</v>
      </c>
      <c r="B152" s="14">
        <v>45943.0</v>
      </c>
      <c r="C152" s="40"/>
      <c r="D152" s="74">
        <v>453196.0</v>
      </c>
      <c r="E152" s="17">
        <v>2.0</v>
      </c>
      <c r="F152" s="17"/>
      <c r="G152" s="35"/>
      <c r="K152" s="29"/>
    </row>
    <row r="153" ht="19.5" customHeight="1">
      <c r="A153" s="13">
        <v>151.0</v>
      </c>
      <c r="B153" s="14">
        <v>45943.0</v>
      </c>
      <c r="C153" s="40"/>
      <c r="D153" s="74">
        <v>4985.0</v>
      </c>
      <c r="E153" s="17">
        <v>4.0</v>
      </c>
      <c r="F153" s="17"/>
      <c r="G153" s="35"/>
      <c r="K153" s="29"/>
    </row>
    <row r="154" ht="19.5" customHeight="1">
      <c r="A154" s="13">
        <v>152.0</v>
      </c>
      <c r="B154" s="14">
        <v>45943.0</v>
      </c>
      <c r="C154" s="40"/>
      <c r="D154" s="74">
        <v>230937.0</v>
      </c>
      <c r="E154" s="17">
        <v>2.0</v>
      </c>
      <c r="F154" s="17"/>
      <c r="G154" s="35"/>
      <c r="K154" s="29"/>
    </row>
    <row r="155" ht="19.5" customHeight="1">
      <c r="A155" s="13">
        <v>153.0</v>
      </c>
      <c r="B155" s="14">
        <v>45943.0</v>
      </c>
      <c r="C155" s="40"/>
      <c r="D155" s="74">
        <v>2540.0</v>
      </c>
      <c r="E155" s="17">
        <v>4.0</v>
      </c>
      <c r="F155" s="17"/>
      <c r="G155" s="35"/>
      <c r="K155" s="29"/>
    </row>
    <row r="156" ht="19.5" customHeight="1">
      <c r="A156" s="13">
        <v>154.0</v>
      </c>
      <c r="B156" s="14">
        <v>45943.0</v>
      </c>
      <c r="C156" s="40"/>
      <c r="D156" s="74">
        <v>532912.0</v>
      </c>
      <c r="E156" s="17">
        <v>2.0</v>
      </c>
      <c r="F156" s="17"/>
      <c r="G156" s="35"/>
      <c r="K156" s="29"/>
    </row>
    <row r="157" ht="19.5" customHeight="1">
      <c r="A157" s="13">
        <v>155.0</v>
      </c>
      <c r="B157" s="14">
        <v>45943.0</v>
      </c>
      <c r="C157" s="40"/>
      <c r="D157" s="74">
        <v>5862.0</v>
      </c>
      <c r="E157" s="17">
        <v>4.0</v>
      </c>
      <c r="F157" s="17"/>
      <c r="G157" s="35"/>
      <c r="K157" s="29"/>
    </row>
    <row r="158" ht="19.5" customHeight="1">
      <c r="A158" s="13">
        <v>156.0</v>
      </c>
      <c r="B158" s="14">
        <v>45943.0</v>
      </c>
      <c r="C158" s="40"/>
      <c r="D158" s="74">
        <v>661418.0</v>
      </c>
      <c r="E158" s="17">
        <v>2.0</v>
      </c>
      <c r="F158" s="17"/>
      <c r="G158" s="35"/>
      <c r="K158" s="29"/>
    </row>
    <row r="159" ht="19.5" customHeight="1">
      <c r="A159" s="13">
        <v>157.0</v>
      </c>
      <c r="B159" s="14">
        <v>45943.0</v>
      </c>
      <c r="C159" s="40"/>
      <c r="D159" s="74">
        <v>7276.0</v>
      </c>
      <c r="E159" s="17">
        <v>4.0</v>
      </c>
      <c r="F159" s="17"/>
      <c r="G159" s="35"/>
      <c r="K159" s="29"/>
    </row>
    <row r="160" ht="19.5" customHeight="1">
      <c r="A160" s="13">
        <v>158.0</v>
      </c>
      <c r="B160" s="14">
        <v>45943.0</v>
      </c>
      <c r="C160" s="40"/>
      <c r="D160" s="74">
        <v>51369.0</v>
      </c>
      <c r="E160" s="17">
        <v>2.0</v>
      </c>
      <c r="F160" s="17"/>
      <c r="G160" s="35"/>
      <c r="K160" s="29"/>
    </row>
    <row r="161" ht="19.5" customHeight="1">
      <c r="A161" s="13">
        <v>159.0</v>
      </c>
      <c r="B161" s="14">
        <v>45943.0</v>
      </c>
      <c r="C161" s="40"/>
      <c r="D161" s="74">
        <v>565.0</v>
      </c>
      <c r="E161" s="17">
        <v>4.0</v>
      </c>
      <c r="F161" s="17"/>
      <c r="G161" s="35"/>
      <c r="K161" s="29"/>
    </row>
    <row r="162" ht="19.5" customHeight="1">
      <c r="A162" s="13">
        <v>160.0</v>
      </c>
      <c r="B162" s="14">
        <v>45943.0</v>
      </c>
      <c r="C162" s="40"/>
      <c r="D162" s="74">
        <v>173432.0</v>
      </c>
      <c r="E162" s="17">
        <v>2.0</v>
      </c>
      <c r="F162" s="17"/>
      <c r="G162" s="35"/>
      <c r="K162" s="29"/>
    </row>
    <row r="163" ht="19.5" customHeight="1">
      <c r="A163" s="13">
        <v>161.0</v>
      </c>
      <c r="B163" s="14">
        <v>45943.0</v>
      </c>
      <c r="C163" s="40"/>
      <c r="D163" s="74">
        <v>1908.0</v>
      </c>
      <c r="E163" s="17">
        <v>4.0</v>
      </c>
      <c r="F163" s="17"/>
      <c r="G163" s="35"/>
      <c r="K163" s="29"/>
    </row>
    <row r="164" ht="19.5" customHeight="1">
      <c r="A164" s="13">
        <v>162.0</v>
      </c>
      <c r="B164" s="14">
        <v>45943.0</v>
      </c>
      <c r="C164" s="40"/>
      <c r="D164" s="74">
        <v>402065.0</v>
      </c>
      <c r="E164" s="17">
        <v>2.0</v>
      </c>
      <c r="F164" s="17"/>
      <c r="G164" s="35"/>
      <c r="K164" s="29"/>
    </row>
    <row r="165" ht="19.5" customHeight="1">
      <c r="A165" s="13">
        <v>163.0</v>
      </c>
      <c r="B165" s="14">
        <v>45943.0</v>
      </c>
      <c r="C165" s="40"/>
      <c r="D165" s="74">
        <v>4423.0</v>
      </c>
      <c r="E165" s="17">
        <v>4.0</v>
      </c>
      <c r="F165" s="17"/>
      <c r="G165" s="35"/>
      <c r="K165" s="29"/>
    </row>
    <row r="166" ht="19.5" customHeight="1">
      <c r="A166" s="13">
        <v>164.0</v>
      </c>
      <c r="B166" s="14">
        <v>45943.0</v>
      </c>
      <c r="C166" s="40"/>
      <c r="D166" s="74">
        <v>205476.0</v>
      </c>
      <c r="E166" s="17">
        <v>2.0</v>
      </c>
      <c r="F166" s="17"/>
      <c r="G166" s="35"/>
      <c r="K166" s="29"/>
    </row>
    <row r="167" ht="19.5" customHeight="1">
      <c r="A167" s="13">
        <v>165.0</v>
      </c>
      <c r="B167" s="14">
        <v>45943.0</v>
      </c>
      <c r="C167" s="40"/>
      <c r="D167" s="74">
        <v>2260.0</v>
      </c>
      <c r="E167" s="17">
        <v>4.0</v>
      </c>
      <c r="F167" s="17"/>
      <c r="G167" s="35"/>
      <c r="K167" s="29"/>
    </row>
    <row r="168" ht="19.5" customHeight="1">
      <c r="A168" s="13">
        <v>166.0</v>
      </c>
      <c r="B168" s="14">
        <v>45943.0</v>
      </c>
      <c r="C168" s="40"/>
      <c r="D168" s="74">
        <v>102738.0</v>
      </c>
      <c r="E168" s="17">
        <v>2.0</v>
      </c>
      <c r="F168" s="17"/>
      <c r="G168" s="35"/>
      <c r="K168" s="29"/>
    </row>
    <row r="169" ht="19.5" customHeight="1">
      <c r="A169" s="13">
        <v>167.0</v>
      </c>
      <c r="B169" s="14">
        <v>45943.0</v>
      </c>
      <c r="C169" s="40"/>
      <c r="D169" s="74">
        <v>1130.0</v>
      </c>
      <c r="E169" s="17">
        <v>4.0</v>
      </c>
      <c r="F169" s="17"/>
      <c r="G169" s="35"/>
      <c r="K169" s="29"/>
    </row>
    <row r="170" ht="19.5" customHeight="1">
      <c r="A170" s="13">
        <v>168.0</v>
      </c>
      <c r="B170" s="14">
        <v>45943.0</v>
      </c>
      <c r="C170" s="40"/>
      <c r="D170" s="74">
        <v>272792.0</v>
      </c>
      <c r="E170" s="17">
        <v>2.0</v>
      </c>
      <c r="F170" s="17"/>
      <c r="G170" s="35"/>
      <c r="K170" s="29"/>
    </row>
    <row r="171" ht="19.5" customHeight="1">
      <c r="A171" s="13">
        <v>169.0</v>
      </c>
      <c r="B171" s="14">
        <v>45943.0</v>
      </c>
      <c r="C171" s="40"/>
      <c r="D171" s="74">
        <v>3001.0</v>
      </c>
      <c r="E171" s="17">
        <v>4.0</v>
      </c>
      <c r="F171" s="17"/>
      <c r="G171" s="35"/>
      <c r="K171" s="29"/>
    </row>
    <row r="172" ht="19.5" customHeight="1">
      <c r="A172" s="13">
        <v>170.0</v>
      </c>
      <c r="B172" s="14">
        <v>45943.0</v>
      </c>
      <c r="C172" s="40"/>
      <c r="D172" s="75">
        <v>496297.0</v>
      </c>
      <c r="E172" s="17">
        <v>2.0</v>
      </c>
      <c r="F172" s="17"/>
      <c r="G172" s="35"/>
      <c r="K172" s="29"/>
    </row>
    <row r="173" ht="19.5" customHeight="1">
      <c r="A173" s="13">
        <v>171.0</v>
      </c>
      <c r="B173" s="14">
        <v>45943.0</v>
      </c>
      <c r="C173" s="15"/>
      <c r="D173" s="53">
        <v>5459.0</v>
      </c>
      <c r="E173" s="17">
        <v>4.0</v>
      </c>
      <c r="F173" s="17"/>
      <c r="G173" s="35"/>
      <c r="K173" s="29"/>
    </row>
    <row r="174" ht="19.5" customHeight="1">
      <c r="A174" s="13">
        <v>172.0</v>
      </c>
      <c r="B174" s="14">
        <v>45944.0</v>
      </c>
      <c r="C174" s="40">
        <v>1.0E7</v>
      </c>
      <c r="D174" s="76"/>
      <c r="E174" s="17">
        <v>2.0</v>
      </c>
      <c r="F174" s="17"/>
      <c r="G174" s="35"/>
      <c r="K174" s="29"/>
    </row>
    <row r="175" ht="19.5" customHeight="1">
      <c r="A175" s="13">
        <v>173.0</v>
      </c>
      <c r="B175" s="14">
        <v>45944.0</v>
      </c>
      <c r="C175" s="15"/>
      <c r="D175" s="53">
        <v>668095.0</v>
      </c>
      <c r="E175" s="17">
        <v>2.0</v>
      </c>
      <c r="F175" s="17"/>
      <c r="G175" s="35"/>
      <c r="K175" s="29"/>
    </row>
    <row r="176" ht="19.5" customHeight="1">
      <c r="A176" s="13">
        <v>174.0</v>
      </c>
      <c r="B176" s="14">
        <v>45944.0</v>
      </c>
      <c r="C176" s="15"/>
      <c r="D176" s="53">
        <v>7349.0</v>
      </c>
      <c r="E176" s="17">
        <v>4.0</v>
      </c>
      <c r="F176" s="17"/>
      <c r="G176" s="35"/>
      <c r="K176" s="29"/>
    </row>
    <row r="177" ht="19.5" customHeight="1">
      <c r="A177" s="13">
        <v>175.0</v>
      </c>
      <c r="B177" s="14">
        <v>45944.0</v>
      </c>
      <c r="C177" s="15"/>
      <c r="D177" s="53">
        <v>821869.0</v>
      </c>
      <c r="E177" s="17">
        <v>2.0</v>
      </c>
      <c r="F177" s="17"/>
      <c r="G177" s="35"/>
      <c r="K177" s="29"/>
    </row>
    <row r="178" ht="19.5" customHeight="1">
      <c r="A178" s="13">
        <v>176.0</v>
      </c>
      <c r="B178" s="14">
        <v>45944.0</v>
      </c>
      <c r="C178" s="15"/>
      <c r="D178" s="53">
        <v>9041.0</v>
      </c>
      <c r="E178" s="17">
        <v>4.0</v>
      </c>
      <c r="F178" s="17"/>
      <c r="G178" s="35"/>
      <c r="K178" s="29"/>
    </row>
    <row r="179" ht="19.5" customHeight="1">
      <c r="A179" s="13">
        <v>177.0</v>
      </c>
      <c r="B179" s="14">
        <v>45944.0</v>
      </c>
      <c r="C179" s="15"/>
      <c r="D179" s="53">
        <v>922544.0</v>
      </c>
      <c r="E179" s="17">
        <v>2.0</v>
      </c>
      <c r="F179" s="17"/>
      <c r="G179" s="35"/>
      <c r="K179" s="29"/>
    </row>
    <row r="180" ht="19.5" customHeight="1">
      <c r="A180" s="13">
        <v>178.0</v>
      </c>
      <c r="B180" s="14">
        <v>45944.0</v>
      </c>
      <c r="C180" s="15"/>
      <c r="D180" s="53">
        <v>10148.0</v>
      </c>
      <c r="E180" s="17">
        <v>4.0</v>
      </c>
      <c r="F180" s="17"/>
      <c r="G180" s="35"/>
      <c r="K180" s="29"/>
    </row>
    <row r="181" ht="19.5" customHeight="1">
      <c r="A181" s="13">
        <v>179.0</v>
      </c>
      <c r="B181" s="14">
        <v>45945.0</v>
      </c>
      <c r="C181" s="15"/>
      <c r="D181" s="53">
        <v>1019868.0</v>
      </c>
      <c r="E181" s="17">
        <v>2.0</v>
      </c>
      <c r="F181" s="17"/>
      <c r="G181" s="35"/>
      <c r="K181" s="29"/>
    </row>
    <row r="182" ht="19.5" customHeight="1">
      <c r="A182" s="13">
        <v>180.0</v>
      </c>
      <c r="B182" s="14">
        <v>45945.0</v>
      </c>
      <c r="C182" s="15"/>
      <c r="D182" s="53">
        <v>11219.0</v>
      </c>
      <c r="E182" s="17">
        <v>4.0</v>
      </c>
      <c r="F182" s="17"/>
      <c r="G182" s="35"/>
      <c r="K182" s="29"/>
    </row>
    <row r="183" ht="19.5" customHeight="1">
      <c r="A183" s="13">
        <v>181.0</v>
      </c>
      <c r="B183" s="14">
        <v>45945.0</v>
      </c>
      <c r="C183" s="15"/>
      <c r="D183" s="53">
        <v>1135321.0</v>
      </c>
      <c r="E183" s="17">
        <v>2.0</v>
      </c>
      <c r="F183" s="17"/>
      <c r="G183" s="35"/>
      <c r="K183" s="29"/>
    </row>
    <row r="184" ht="19.5" customHeight="1">
      <c r="A184" s="13">
        <v>182.0</v>
      </c>
      <c r="B184" s="14">
        <v>45945.0</v>
      </c>
      <c r="C184" s="15"/>
      <c r="D184" s="53">
        <v>12489.0</v>
      </c>
      <c r="E184" s="17">
        <v>4.0</v>
      </c>
      <c r="F184" s="17"/>
      <c r="G184" s="35"/>
      <c r="K184" s="29"/>
    </row>
    <row r="185" ht="19.5" customHeight="1">
      <c r="A185" s="13">
        <v>183.0</v>
      </c>
      <c r="B185" s="14">
        <v>45945.0</v>
      </c>
      <c r="C185" s="15"/>
      <c r="D185" s="53">
        <v>3623499.0</v>
      </c>
      <c r="E185" s="17">
        <v>2.0</v>
      </c>
      <c r="F185" s="17"/>
      <c r="G185" s="35"/>
      <c r="K185" s="29"/>
    </row>
    <row r="186" ht="19.5" customHeight="1">
      <c r="A186" s="13">
        <v>184.0</v>
      </c>
      <c r="B186" s="14">
        <v>45945.0</v>
      </c>
      <c r="C186" s="15"/>
      <c r="D186" s="53">
        <v>39858.0</v>
      </c>
      <c r="E186" s="17">
        <v>4.0</v>
      </c>
      <c r="F186" s="17"/>
      <c r="G186" s="35"/>
      <c r="K186" s="29"/>
    </row>
    <row r="187" ht="19.5" customHeight="1">
      <c r="A187" s="13">
        <v>185.0</v>
      </c>
      <c r="B187" s="14">
        <v>45945.0</v>
      </c>
      <c r="C187" s="15"/>
      <c r="D187" s="53">
        <v>287668.0</v>
      </c>
      <c r="E187" s="17">
        <v>2.0</v>
      </c>
      <c r="F187" s="17"/>
      <c r="G187" s="35"/>
      <c r="K187" s="29"/>
    </row>
    <row r="188" ht="19.5" customHeight="1">
      <c r="A188" s="13">
        <v>186.0</v>
      </c>
      <c r="B188" s="14">
        <v>45945.0</v>
      </c>
      <c r="C188" s="15"/>
      <c r="D188" s="53">
        <v>3164.0</v>
      </c>
      <c r="E188" s="17">
        <v>4.0</v>
      </c>
      <c r="F188" s="17"/>
      <c r="G188" s="35"/>
      <c r="K188" s="29"/>
    </row>
    <row r="189" ht="19.5" customHeight="1">
      <c r="A189" s="13">
        <v>187.0</v>
      </c>
      <c r="B189" s="14">
        <v>45945.0</v>
      </c>
      <c r="C189" s="15"/>
      <c r="D189" s="53">
        <v>1252086.0</v>
      </c>
      <c r="E189" s="17">
        <v>2.0</v>
      </c>
      <c r="F189" s="17"/>
      <c r="G189" s="35"/>
      <c r="K189" s="29"/>
    </row>
    <row r="190" ht="19.5" customHeight="1">
      <c r="A190" s="13">
        <v>188.0</v>
      </c>
      <c r="B190" s="14">
        <v>45945.0</v>
      </c>
      <c r="C190" s="15"/>
      <c r="D190" s="53">
        <v>13773.0</v>
      </c>
      <c r="E190" s="17">
        <v>4.0</v>
      </c>
      <c r="F190" s="17"/>
      <c r="G190" s="35"/>
      <c r="K190" s="29"/>
    </row>
    <row r="191" ht="19.5" customHeight="1">
      <c r="A191" s="13">
        <v>189.0</v>
      </c>
      <c r="B191" s="14">
        <v>45946.0</v>
      </c>
      <c r="C191" s="15"/>
      <c r="D191" s="53">
        <v>580118.0</v>
      </c>
      <c r="E191" s="17">
        <v>1.0</v>
      </c>
      <c r="F191" s="17"/>
      <c r="G191" s="35" t="s">
        <v>55</v>
      </c>
      <c r="K191" s="29"/>
    </row>
    <row r="192" ht="19.5" customHeight="1">
      <c r="A192" s="13">
        <v>190.0</v>
      </c>
      <c r="B192" s="14">
        <v>45946.0</v>
      </c>
      <c r="C192" s="15"/>
      <c r="D192" s="53">
        <v>17113.0</v>
      </c>
      <c r="E192" s="17">
        <v>3.0</v>
      </c>
      <c r="F192" s="17"/>
      <c r="G192" s="35"/>
      <c r="K192" s="29"/>
    </row>
    <row r="193" ht="19.5" customHeight="1">
      <c r="A193" s="13">
        <v>191.0</v>
      </c>
      <c r="B193" s="14">
        <v>45946.0</v>
      </c>
      <c r="C193" s="15"/>
      <c r="D193" s="53">
        <v>80229.0</v>
      </c>
      <c r="E193" s="17">
        <v>2.0</v>
      </c>
      <c r="F193" s="17"/>
      <c r="G193" s="35"/>
      <c r="K193" s="29"/>
    </row>
    <row r="194" ht="19.5" customHeight="1">
      <c r="A194" s="13">
        <v>192.0</v>
      </c>
      <c r="B194" s="14">
        <v>45946.0</v>
      </c>
      <c r="C194" s="40"/>
      <c r="D194" s="77">
        <v>883.0</v>
      </c>
      <c r="E194" s="17">
        <v>4.0</v>
      </c>
      <c r="F194" s="17"/>
      <c r="G194" s="35"/>
      <c r="K194" s="29"/>
    </row>
    <row r="195" ht="19.5" customHeight="1">
      <c r="A195" s="13">
        <v>193.0</v>
      </c>
      <c r="B195" s="14">
        <v>45946.0</v>
      </c>
      <c r="C195" s="40"/>
      <c r="D195" s="77">
        <v>1383991.0</v>
      </c>
      <c r="E195" s="17">
        <v>2.0</v>
      </c>
      <c r="F195" s="17"/>
      <c r="G195" s="35"/>
      <c r="K195" s="29"/>
    </row>
    <row r="196" ht="19.5" customHeight="1">
      <c r="A196" s="13">
        <v>194.0</v>
      </c>
      <c r="B196" s="14">
        <v>45946.0</v>
      </c>
      <c r="C196" s="40"/>
      <c r="D196" s="77">
        <v>15224.0</v>
      </c>
      <c r="E196" s="17">
        <v>4.0</v>
      </c>
      <c r="F196" s="17"/>
      <c r="G196" s="35"/>
      <c r="K196" s="29"/>
    </row>
    <row r="197" ht="19.5" customHeight="1">
      <c r="A197" s="13">
        <v>195.0</v>
      </c>
      <c r="B197" s="14">
        <v>45947.0</v>
      </c>
      <c r="C197" s="40"/>
      <c r="D197" s="77">
        <v>3955714.0</v>
      </c>
      <c r="E197" s="17">
        <v>2.0</v>
      </c>
      <c r="F197" s="17"/>
      <c r="G197" s="35"/>
      <c r="K197" s="29"/>
    </row>
    <row r="198" ht="19.5" customHeight="1">
      <c r="A198" s="13">
        <v>196.0</v>
      </c>
      <c r="B198" s="14">
        <v>45947.0</v>
      </c>
      <c r="C198" s="40"/>
      <c r="D198" s="77">
        <v>43513.0</v>
      </c>
      <c r="E198" s="17">
        <v>4.0</v>
      </c>
      <c r="F198" s="17"/>
      <c r="G198" s="35"/>
      <c r="K198" s="29"/>
    </row>
    <row r="199" ht="19.5" customHeight="1">
      <c r="A199" s="13">
        <v>197.0</v>
      </c>
      <c r="B199" s="14">
        <v>45948.0</v>
      </c>
      <c r="C199" s="40">
        <v>1.0E7</v>
      </c>
      <c r="D199" s="77"/>
      <c r="E199" s="17">
        <v>2.0</v>
      </c>
      <c r="F199" s="17"/>
      <c r="G199" s="35"/>
      <c r="K199" s="29"/>
    </row>
    <row r="200" ht="19.5" customHeight="1">
      <c r="A200" s="13">
        <v>198.0</v>
      </c>
      <c r="B200" s="14">
        <v>45948.0</v>
      </c>
      <c r="C200" s="40"/>
      <c r="D200" s="77">
        <v>1837705.0</v>
      </c>
      <c r="E200" s="17">
        <v>2.0</v>
      </c>
      <c r="F200" s="17"/>
      <c r="G200" s="35"/>
      <c r="K200" s="29"/>
    </row>
    <row r="201" ht="19.5" customHeight="1">
      <c r="A201" s="13">
        <v>199.0</v>
      </c>
      <c r="B201" s="14">
        <v>45948.0</v>
      </c>
      <c r="C201" s="40"/>
      <c r="D201" s="77">
        <v>20215.0</v>
      </c>
      <c r="E201" s="17">
        <v>4.0</v>
      </c>
      <c r="F201" s="17"/>
      <c r="G201" s="35"/>
      <c r="K201" s="29"/>
    </row>
    <row r="202" ht="19.5" customHeight="1">
      <c r="A202" s="13">
        <v>200.0</v>
      </c>
      <c r="B202" s="14">
        <v>45950.0</v>
      </c>
      <c r="C202" s="40">
        <v>1.0E7</v>
      </c>
      <c r="D202" s="77"/>
      <c r="E202" s="17">
        <v>2.0</v>
      </c>
      <c r="F202" s="17"/>
      <c r="G202" s="35"/>
      <c r="K202" s="29"/>
    </row>
    <row r="203" ht="19.5" customHeight="1">
      <c r="A203" s="13">
        <v>201.0</v>
      </c>
      <c r="B203" s="14">
        <v>45950.0</v>
      </c>
      <c r="C203" s="40">
        <v>1.0E7</v>
      </c>
      <c r="D203" s="77"/>
      <c r="E203" s="17">
        <v>2.0</v>
      </c>
      <c r="F203" s="17"/>
      <c r="G203" s="35"/>
      <c r="K203" s="29"/>
    </row>
    <row r="204" ht="19.5" customHeight="1">
      <c r="A204" s="13">
        <v>202.0</v>
      </c>
      <c r="B204" s="14">
        <v>45950.0</v>
      </c>
      <c r="C204" s="40">
        <v>1.0E7</v>
      </c>
      <c r="D204" s="77"/>
      <c r="E204" s="17">
        <v>2.0</v>
      </c>
      <c r="F204" s="17"/>
      <c r="G204" s="35"/>
      <c r="K204" s="29"/>
    </row>
    <row r="205" ht="19.5" customHeight="1">
      <c r="A205" s="13">
        <v>203.0</v>
      </c>
      <c r="B205" s="14">
        <v>45950.0</v>
      </c>
      <c r="C205" s="40"/>
      <c r="D205" s="77">
        <v>1523919.0</v>
      </c>
      <c r="E205" s="17">
        <v>2.0</v>
      </c>
      <c r="F205" s="17"/>
      <c r="G205" s="35"/>
      <c r="K205" s="29"/>
    </row>
    <row r="206" ht="19.5" customHeight="1">
      <c r="A206" s="13">
        <v>204.0</v>
      </c>
      <c r="B206" s="14">
        <v>45950.0</v>
      </c>
      <c r="C206" s="40"/>
      <c r="D206" s="77">
        <v>16763.0</v>
      </c>
      <c r="E206" s="17">
        <v>4.0</v>
      </c>
      <c r="F206" s="17"/>
      <c r="G206" s="35"/>
      <c r="K206" s="29"/>
    </row>
    <row r="207" ht="19.5" customHeight="1">
      <c r="A207" s="13">
        <v>205.0</v>
      </c>
      <c r="B207" s="14">
        <v>45950.0</v>
      </c>
      <c r="C207" s="40"/>
      <c r="D207" s="77">
        <v>4306171.0</v>
      </c>
      <c r="E207" s="17">
        <v>2.0</v>
      </c>
      <c r="F207" s="17"/>
      <c r="G207" s="35"/>
      <c r="K207" s="29"/>
    </row>
    <row r="208" ht="19.5" customHeight="1">
      <c r="A208" s="13">
        <v>206.0</v>
      </c>
      <c r="B208" s="14">
        <v>45950.0</v>
      </c>
      <c r="C208" s="40"/>
      <c r="D208" s="77">
        <v>47368.0</v>
      </c>
      <c r="E208" s="17">
        <v>4.0</v>
      </c>
      <c r="F208" s="17"/>
      <c r="G208" s="35"/>
      <c r="K208" s="29"/>
    </row>
    <row r="209" ht="19.5" customHeight="1">
      <c r="A209" s="13">
        <v>207.0</v>
      </c>
      <c r="B209" s="14">
        <v>45950.0</v>
      </c>
      <c r="C209" s="40"/>
      <c r="D209" s="77">
        <v>1675375.0</v>
      </c>
      <c r="E209" s="17">
        <v>2.0</v>
      </c>
      <c r="F209" s="17"/>
      <c r="G209" s="35"/>
      <c r="K209" s="29"/>
    </row>
    <row r="210" ht="19.5" customHeight="1">
      <c r="A210" s="13">
        <v>208.0</v>
      </c>
      <c r="B210" s="14">
        <v>45950.0</v>
      </c>
      <c r="C210" s="40"/>
      <c r="D210" s="77">
        <v>18429.0</v>
      </c>
      <c r="E210" s="17">
        <v>4.0</v>
      </c>
      <c r="F210" s="17"/>
      <c r="G210" s="35"/>
      <c r="K210" s="29"/>
    </row>
    <row r="211" ht="19.5" customHeight="1">
      <c r="A211" s="13">
        <v>209.0</v>
      </c>
      <c r="B211" s="14">
        <v>45950.0</v>
      </c>
      <c r="C211" s="40"/>
      <c r="D211" s="77">
        <v>1315600.0</v>
      </c>
      <c r="E211" s="17">
        <v>2.0</v>
      </c>
      <c r="F211" s="17"/>
      <c r="G211" s="35"/>
      <c r="K211" s="29"/>
    </row>
    <row r="212" ht="19.5" customHeight="1">
      <c r="A212" s="13">
        <v>210.0</v>
      </c>
      <c r="B212" s="14">
        <v>45950.0</v>
      </c>
      <c r="C212" s="40"/>
      <c r="D212" s="77">
        <v>14472.0</v>
      </c>
      <c r="E212" s="17">
        <v>4.0</v>
      </c>
      <c r="F212" s="17"/>
      <c r="G212" s="35"/>
      <c r="K212" s="29"/>
    </row>
    <row r="213" ht="19.5" customHeight="1">
      <c r="A213" s="13">
        <v>211.0</v>
      </c>
      <c r="B213" s="14">
        <v>45950.0</v>
      </c>
      <c r="C213" s="40"/>
      <c r="D213" s="77">
        <v>3080000.0</v>
      </c>
      <c r="E213" s="17">
        <v>2.0</v>
      </c>
      <c r="F213" s="17"/>
      <c r="G213" s="35"/>
      <c r="K213" s="29"/>
    </row>
    <row r="214" ht="19.5" customHeight="1">
      <c r="A214" s="13">
        <v>212.0</v>
      </c>
      <c r="B214" s="14">
        <v>45950.0</v>
      </c>
      <c r="C214" s="40"/>
      <c r="D214" s="77">
        <v>33880.0</v>
      </c>
      <c r="E214" s="17">
        <v>4.0</v>
      </c>
      <c r="F214" s="17"/>
      <c r="G214" s="35"/>
      <c r="K214" s="29"/>
    </row>
    <row r="215" ht="19.5" customHeight="1">
      <c r="A215" s="13">
        <v>213.0</v>
      </c>
      <c r="B215" s="14">
        <v>45950.0</v>
      </c>
      <c r="C215" s="40"/>
      <c r="D215" s="77">
        <v>4674498.0</v>
      </c>
      <c r="E215" s="17">
        <v>2.0</v>
      </c>
      <c r="F215" s="17"/>
      <c r="G215" s="35"/>
      <c r="K215" s="29"/>
    </row>
    <row r="216" ht="19.5" customHeight="1">
      <c r="A216" s="13">
        <v>214.0</v>
      </c>
      <c r="B216" s="14">
        <v>45950.0</v>
      </c>
      <c r="C216" s="40"/>
      <c r="D216" s="49">
        <v>51419.0</v>
      </c>
      <c r="E216" s="17">
        <v>4.0</v>
      </c>
      <c r="F216" s="17"/>
      <c r="G216" s="35"/>
      <c r="K216" s="29"/>
    </row>
    <row r="217" ht="19.5" customHeight="1">
      <c r="A217" s="13">
        <v>215.0</v>
      </c>
      <c r="B217" s="14">
        <v>45950.0</v>
      </c>
      <c r="C217" s="40"/>
      <c r="D217" s="49">
        <v>1835516.0</v>
      </c>
      <c r="E217" s="17">
        <v>2.0</v>
      </c>
      <c r="F217" s="17"/>
      <c r="G217" s="35"/>
      <c r="K217" s="29"/>
    </row>
    <row r="218" ht="19.5" customHeight="1">
      <c r="A218" s="13">
        <v>216.0</v>
      </c>
      <c r="B218" s="14">
        <v>45950.0</v>
      </c>
      <c r="C218" s="40"/>
      <c r="D218" s="49">
        <v>20191.0</v>
      </c>
      <c r="E218" s="17">
        <v>4.0</v>
      </c>
      <c r="F218" s="17"/>
      <c r="G218" s="35"/>
      <c r="K218" s="29"/>
    </row>
    <row r="219" ht="19.5" customHeight="1">
      <c r="A219" s="13">
        <v>217.0</v>
      </c>
      <c r="B219" s="14">
        <v>45950.0</v>
      </c>
      <c r="C219" s="40"/>
      <c r="D219" s="49">
        <v>1599418.0</v>
      </c>
      <c r="E219" s="17">
        <v>2.0</v>
      </c>
      <c r="F219" s="17"/>
      <c r="G219" s="35"/>
      <c r="K219" s="29"/>
    </row>
    <row r="220" ht="19.5" customHeight="1">
      <c r="A220" s="13">
        <v>218.0</v>
      </c>
      <c r="B220" s="14">
        <v>45950.0</v>
      </c>
      <c r="C220" s="40"/>
      <c r="D220" s="49">
        <v>17594.0</v>
      </c>
      <c r="E220" s="17">
        <v>4.0</v>
      </c>
      <c r="F220" s="17"/>
      <c r="G220" s="35"/>
      <c r="K220" s="29"/>
    </row>
    <row r="221" ht="19.5" customHeight="1">
      <c r="A221" s="13">
        <v>219.0</v>
      </c>
      <c r="B221" s="14">
        <v>45950.0</v>
      </c>
      <c r="C221" s="40"/>
      <c r="D221" s="49">
        <v>2005477.0</v>
      </c>
      <c r="E221" s="17">
        <v>2.0</v>
      </c>
      <c r="F221" s="17"/>
      <c r="G221" s="35"/>
      <c r="K221" s="29"/>
    </row>
    <row r="222" ht="19.5" customHeight="1">
      <c r="A222" s="13">
        <v>220.0</v>
      </c>
      <c r="B222" s="14">
        <v>45950.0</v>
      </c>
      <c r="C222" s="40"/>
      <c r="D222" s="49">
        <v>22060.0</v>
      </c>
      <c r="E222" s="17">
        <v>4.0</v>
      </c>
      <c r="F222" s="17"/>
      <c r="G222" s="35"/>
      <c r="K222" s="29"/>
    </row>
    <row r="223" ht="18.75" customHeight="1">
      <c r="A223" s="56" t="s">
        <v>40</v>
      </c>
      <c r="B223" s="42"/>
      <c r="C223" s="57">
        <f t="shared" ref="C223:D223" si="3">SUM(C3:C222)</f>
        <v>162314280</v>
      </c>
      <c r="D223" s="57">
        <f t="shared" si="3"/>
        <v>153507472</v>
      </c>
      <c r="E223" s="58"/>
      <c r="F223" s="58"/>
      <c r="G223" s="59"/>
      <c r="K223" s="29"/>
    </row>
    <row r="224" ht="18.75" customHeight="1">
      <c r="A224" s="60" t="s">
        <v>41</v>
      </c>
      <c r="C224" s="57">
        <v>-5.8734943E7</v>
      </c>
      <c r="D224" s="60" t="s">
        <v>42</v>
      </c>
      <c r="E224" s="29"/>
      <c r="F224" s="29"/>
    </row>
    <row r="225" ht="18.75" customHeight="1">
      <c r="A225" s="60" t="s">
        <v>43</v>
      </c>
      <c r="C225" s="57">
        <f>C223-D223</f>
        <v>8806808</v>
      </c>
      <c r="D225" s="60" t="s">
        <v>44</v>
      </c>
      <c r="F225" s="29"/>
    </row>
    <row r="226" ht="18.75" customHeight="1">
      <c r="A226" s="60" t="s">
        <v>45</v>
      </c>
      <c r="C226" s="57">
        <f>C224+C225</f>
        <v>-49928135</v>
      </c>
      <c r="D226" s="60" t="s">
        <v>46</v>
      </c>
    </row>
    <row r="227" ht="18.75" customHeight="1">
      <c r="D227" s="60"/>
      <c r="F227" s="78"/>
      <c r="K227" s="29"/>
    </row>
    <row r="228" ht="18.75" customHeight="1">
      <c r="F228" s="78"/>
      <c r="K228" s="29"/>
    </row>
    <row r="229" ht="18.75" customHeight="1">
      <c r="F229" s="78"/>
      <c r="K229" s="29"/>
    </row>
    <row r="230" ht="18.75" customHeight="1">
      <c r="F230" s="78"/>
      <c r="K230" s="29"/>
    </row>
    <row r="231" ht="18.75" customHeight="1">
      <c r="F231" s="78"/>
      <c r="K231" s="29"/>
    </row>
    <row r="232" ht="18.75" customHeight="1">
      <c r="F232" s="78"/>
      <c r="K232" s="29"/>
    </row>
    <row r="233" ht="18.75" customHeight="1">
      <c r="F233" s="78"/>
      <c r="K233" s="29"/>
    </row>
    <row r="234" ht="18.75" customHeight="1">
      <c r="F234" s="78"/>
      <c r="K234" s="29"/>
    </row>
    <row r="235" ht="18.75" customHeight="1">
      <c r="F235" s="78"/>
      <c r="K235" s="29"/>
    </row>
    <row r="236" ht="18.75" customHeight="1">
      <c r="F236" s="78"/>
      <c r="K236" s="29"/>
    </row>
    <row r="237" ht="18.75" customHeight="1">
      <c r="F237" s="78"/>
      <c r="K237" s="29"/>
    </row>
    <row r="238" ht="18.75" customHeight="1">
      <c r="F238" s="78"/>
      <c r="K238" s="29"/>
    </row>
    <row r="239" ht="18.75" customHeight="1">
      <c r="F239" s="78"/>
      <c r="K239" s="29"/>
    </row>
    <row r="240" ht="18.75" customHeight="1">
      <c r="F240" s="78"/>
      <c r="K240" s="29"/>
    </row>
    <row r="241" ht="18.75" customHeight="1">
      <c r="F241" s="78"/>
      <c r="K241" s="29"/>
    </row>
    <row r="242" ht="18.75" customHeight="1">
      <c r="F242" s="78"/>
      <c r="K242" s="29"/>
    </row>
    <row r="243" ht="18.75" customHeight="1">
      <c r="F243" s="78"/>
      <c r="K243" s="29"/>
    </row>
    <row r="244" ht="18.75" customHeight="1">
      <c r="F244" s="78"/>
      <c r="K244" s="29"/>
    </row>
    <row r="245" ht="18.75" customHeight="1">
      <c r="F245" s="78"/>
      <c r="K245" s="29"/>
    </row>
    <row r="246" ht="18.75" customHeight="1">
      <c r="F246" s="78"/>
      <c r="K246" s="29"/>
    </row>
    <row r="247" ht="18.75" customHeight="1">
      <c r="F247" s="78"/>
      <c r="K247" s="29"/>
    </row>
    <row r="248" ht="18.75" customHeight="1">
      <c r="F248" s="78"/>
      <c r="K248" s="29"/>
    </row>
    <row r="249" ht="18.75" customHeight="1">
      <c r="F249" s="78"/>
      <c r="K249" s="29"/>
    </row>
    <row r="250" ht="18.75" customHeight="1">
      <c r="F250" s="78"/>
      <c r="K250" s="29"/>
    </row>
    <row r="251" ht="18.75" customHeight="1">
      <c r="F251" s="78"/>
      <c r="K251" s="29"/>
    </row>
    <row r="252" ht="18.75" customHeight="1">
      <c r="F252" s="78"/>
      <c r="K252" s="29"/>
    </row>
    <row r="253" ht="18.75" customHeight="1">
      <c r="F253" s="78"/>
      <c r="K253" s="29"/>
    </row>
    <row r="254" ht="18.75" customHeight="1">
      <c r="F254" s="78"/>
      <c r="K254" s="29"/>
    </row>
    <row r="255" ht="18.75" customHeight="1">
      <c r="F255" s="78"/>
      <c r="K255" s="29"/>
    </row>
    <row r="256" ht="18.75" customHeight="1">
      <c r="F256" s="78"/>
      <c r="K256" s="29"/>
    </row>
    <row r="257" ht="18.75" customHeight="1">
      <c r="F257" s="78"/>
      <c r="K257" s="29"/>
    </row>
    <row r="258" ht="18.75" customHeight="1">
      <c r="F258" s="78"/>
      <c r="K258" s="29"/>
    </row>
    <row r="259" ht="18.75" customHeight="1">
      <c r="F259" s="78"/>
      <c r="K259" s="29"/>
    </row>
    <row r="260" ht="18.75" customHeight="1">
      <c r="F260" s="78"/>
      <c r="K260" s="29"/>
    </row>
    <row r="261" ht="18.75" customHeight="1">
      <c r="F261" s="78"/>
      <c r="K261" s="29"/>
    </row>
    <row r="262" ht="18.75" customHeight="1">
      <c r="F262" s="78"/>
      <c r="K262" s="29"/>
    </row>
    <row r="263" ht="18.75" customHeight="1">
      <c r="F263" s="78"/>
      <c r="K263" s="29"/>
    </row>
    <row r="264" ht="18.75" customHeight="1">
      <c r="F264" s="78"/>
      <c r="K264" s="29"/>
    </row>
    <row r="265" ht="18.75" customHeight="1">
      <c r="F265" s="78"/>
      <c r="K265" s="29"/>
    </row>
    <row r="266" ht="18.75" customHeight="1">
      <c r="F266" s="78"/>
      <c r="K266" s="29"/>
    </row>
    <row r="267" ht="18.75" customHeight="1">
      <c r="F267" s="78"/>
      <c r="K267" s="29"/>
    </row>
    <row r="268" ht="18.75" customHeight="1">
      <c r="F268" s="78"/>
      <c r="K268" s="29"/>
    </row>
    <row r="269" ht="18.75" customHeight="1">
      <c r="F269" s="78"/>
      <c r="K269" s="29"/>
    </row>
    <row r="270" ht="18.75" customHeight="1">
      <c r="F270" s="78"/>
      <c r="K270" s="29"/>
    </row>
    <row r="271" ht="18.75" customHeight="1">
      <c r="F271" s="78"/>
      <c r="K271" s="29"/>
    </row>
    <row r="272" ht="18.75" customHeight="1">
      <c r="F272" s="78"/>
      <c r="K272" s="29"/>
    </row>
    <row r="273" ht="18.75" customHeight="1">
      <c r="F273" s="78"/>
      <c r="K273" s="29"/>
    </row>
    <row r="274" ht="18.75" customHeight="1">
      <c r="F274" s="78"/>
      <c r="K274" s="29"/>
    </row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6">
    <mergeCell ref="A1:A2"/>
    <mergeCell ref="B1:B2"/>
    <mergeCell ref="C1:D1"/>
    <mergeCell ref="E1:E2"/>
    <mergeCell ref="F1:F2"/>
    <mergeCell ref="G1:G2"/>
  </mergeCells>
  <dataValidations>
    <dataValidation type="list" allowBlank="1" showErrorMessage="1" sqref="F3:F223 F227:F274">
      <formula1>"GPT - 10/10,Tuyển dụng LHI - T09,Đất Lâm Đồng Tháng 10,PKH - T09"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29"/>
    <col customWidth="1" min="3" max="4" width="14.0"/>
    <col customWidth="1" min="5" max="5" width="10.0"/>
    <col customWidth="1" min="6" max="6" width="30.0"/>
    <col customWidth="1" min="7" max="7" width="21.0"/>
    <col customWidth="1" min="8" max="8" width="4.0"/>
    <col customWidth="1" min="9" max="9" width="5.0"/>
    <col customWidth="1" min="10" max="10" width="27.0"/>
    <col customWidth="1" min="11" max="12" width="14.0"/>
    <col customWidth="1" min="13" max="13" width="5.0"/>
    <col customWidth="1" min="14" max="14" width="27.0"/>
    <col customWidth="1" min="15" max="26" width="14.0"/>
  </cols>
  <sheetData>
    <row r="1" ht="21.75" customHeight="1">
      <c r="A1" s="79" t="s">
        <v>56</v>
      </c>
      <c r="B1" s="80"/>
      <c r="C1" s="81">
        <f>3810862</f>
        <v>3810862</v>
      </c>
      <c r="D1" s="82"/>
      <c r="E1" s="83" t="s">
        <v>49</v>
      </c>
      <c r="F1" s="84"/>
      <c r="G1" s="82"/>
      <c r="H1" s="85"/>
      <c r="I1" s="83"/>
      <c r="J1" s="85"/>
      <c r="K1" s="86"/>
      <c r="L1" s="85"/>
      <c r="M1" s="85"/>
      <c r="N1" s="85"/>
      <c r="O1" s="85"/>
      <c r="P1" s="85"/>
      <c r="Q1" s="85"/>
      <c r="R1" s="85"/>
      <c r="S1" s="85"/>
      <c r="T1" s="85"/>
      <c r="U1" s="85"/>
      <c r="V1" s="87"/>
      <c r="W1" s="87"/>
      <c r="X1" s="87"/>
      <c r="Y1" s="87"/>
      <c r="Z1" s="87"/>
    </row>
    <row r="2" ht="18.75" customHeight="1">
      <c r="A2" s="88" t="s">
        <v>0</v>
      </c>
      <c r="B2" s="89" t="s">
        <v>57</v>
      </c>
      <c r="C2" s="90" t="s">
        <v>2</v>
      </c>
      <c r="D2" s="4"/>
      <c r="E2" s="91" t="s">
        <v>3</v>
      </c>
      <c r="F2" s="92" t="s">
        <v>4</v>
      </c>
      <c r="G2" s="93" t="s">
        <v>5</v>
      </c>
      <c r="H2" s="87"/>
      <c r="I2" s="83"/>
      <c r="J2" s="87"/>
      <c r="K2" s="86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ht="18.75" customHeight="1">
      <c r="A3" s="6"/>
      <c r="B3" s="7"/>
      <c r="C3" s="94" t="s">
        <v>6</v>
      </c>
      <c r="D3" s="95" t="s">
        <v>7</v>
      </c>
      <c r="E3" s="96"/>
      <c r="F3" s="96"/>
      <c r="G3" s="80"/>
      <c r="H3" s="87"/>
      <c r="I3" s="87"/>
      <c r="J3" s="97" t="s">
        <v>58</v>
      </c>
      <c r="K3" s="97" t="s">
        <v>8</v>
      </c>
      <c r="L3" s="97" t="s">
        <v>9</v>
      </c>
      <c r="M3" s="87"/>
      <c r="N3" s="98" t="s">
        <v>9</v>
      </c>
      <c r="O3" s="99" t="s">
        <v>2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ht="18.75" customHeight="1">
      <c r="A4" s="13">
        <v>1.0</v>
      </c>
      <c r="B4" s="14" t="s">
        <v>59</v>
      </c>
      <c r="C4" s="100">
        <v>1.0E7</v>
      </c>
      <c r="D4" s="101"/>
      <c r="E4" s="102">
        <v>2.0</v>
      </c>
      <c r="F4" s="102"/>
      <c r="G4" s="102"/>
      <c r="H4" s="87"/>
      <c r="I4" s="103">
        <v>1.0</v>
      </c>
      <c r="J4" s="104" t="s">
        <v>11</v>
      </c>
      <c r="K4" s="105">
        <f>SUMIF($E$4:$E$200,1,$C$4:$C$2217)</f>
        <v>0</v>
      </c>
      <c r="L4" s="105">
        <f>SUMIF($E$4:$E$207,1,$D$4:$D$2223)</f>
        <v>0</v>
      </c>
      <c r="M4" s="87"/>
      <c r="N4" s="104" t="s">
        <v>17</v>
      </c>
      <c r="O4" s="105">
        <f t="shared" ref="O4:O13" si="1">SUMIF($F$4:$F$207,N4,$D$4:$D$2223)</f>
        <v>15189916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8.75" customHeight="1">
      <c r="A5" s="13">
        <v>2.0</v>
      </c>
      <c r="B5" s="14" t="s">
        <v>59</v>
      </c>
      <c r="C5" s="21"/>
      <c r="D5" s="106">
        <v>283586.0</v>
      </c>
      <c r="E5" s="102">
        <v>2.0</v>
      </c>
      <c r="F5" s="102"/>
      <c r="G5" s="102"/>
      <c r="H5" s="87"/>
      <c r="I5" s="103">
        <v>2.0</v>
      </c>
      <c r="J5" s="104" t="s">
        <v>12</v>
      </c>
      <c r="K5" s="105">
        <f>SUMIF($E$4:$E$200,2,$C$4:$C$2217)</f>
        <v>119107807</v>
      </c>
      <c r="L5" s="105">
        <f>SUMIF($E$4:$E$207,2,$D$4:$D$2223)</f>
        <v>105987551</v>
      </c>
      <c r="M5" s="87"/>
      <c r="N5" s="104" t="s">
        <v>18</v>
      </c>
      <c r="O5" s="105">
        <f t="shared" si="1"/>
        <v>4300629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8.75" customHeight="1">
      <c r="A6" s="13">
        <v>3.0</v>
      </c>
      <c r="B6" s="14" t="s">
        <v>59</v>
      </c>
      <c r="C6" s="21"/>
      <c r="D6" s="101">
        <v>452293.0</v>
      </c>
      <c r="E6" s="102">
        <v>2.0</v>
      </c>
      <c r="F6" s="102"/>
      <c r="G6" s="102"/>
      <c r="H6" s="87"/>
      <c r="I6" s="103">
        <v>3.0</v>
      </c>
      <c r="J6" s="104" t="s">
        <v>14</v>
      </c>
      <c r="K6" s="105">
        <f>SUMIF($E$4:$E$200,3,$C$4:$C$2217)</f>
        <v>0</v>
      </c>
      <c r="L6" s="105">
        <f>SUMIF($E$4:$E$207,3,$D$4:$D$2223)</f>
        <v>0</v>
      </c>
      <c r="M6" s="87"/>
      <c r="N6" s="104" t="s">
        <v>60</v>
      </c>
      <c r="O6" s="105">
        <f t="shared" si="1"/>
        <v>0</v>
      </c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8.75" customHeight="1">
      <c r="A7" s="13">
        <v>4.0</v>
      </c>
      <c r="B7" s="14" t="s">
        <v>59</v>
      </c>
      <c r="C7" s="24"/>
      <c r="D7" s="107">
        <v>217320.0</v>
      </c>
      <c r="E7" s="102">
        <v>2.0</v>
      </c>
      <c r="F7" s="102"/>
      <c r="G7" s="102"/>
      <c r="H7" s="87"/>
      <c r="I7" s="103">
        <v>4.0</v>
      </c>
      <c r="J7" s="104" t="s">
        <v>15</v>
      </c>
      <c r="K7" s="105">
        <f>SUMIF($E$4:$E$200,4,$C$4:$C$2217)</f>
        <v>0</v>
      </c>
      <c r="L7" s="105">
        <f>SUMIF($E$4:$E$207,4,$D$4:$D$2223)</f>
        <v>114090</v>
      </c>
      <c r="M7" s="87"/>
      <c r="N7" s="104" t="s">
        <v>20</v>
      </c>
      <c r="O7" s="105">
        <f t="shared" si="1"/>
        <v>687905</v>
      </c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8.75" customHeight="1">
      <c r="A8" s="13">
        <v>5.0</v>
      </c>
      <c r="B8" s="14" t="s">
        <v>59</v>
      </c>
      <c r="C8" s="107">
        <v>192947.0</v>
      </c>
      <c r="D8" s="108"/>
      <c r="E8" s="102">
        <v>2.0</v>
      </c>
      <c r="F8" s="102"/>
      <c r="G8" s="102" t="s">
        <v>61</v>
      </c>
      <c r="H8" s="87"/>
      <c r="I8" s="87"/>
      <c r="J8" s="87"/>
      <c r="K8" s="86"/>
      <c r="L8" s="87"/>
      <c r="M8" s="87"/>
      <c r="N8" s="104" t="s">
        <v>62</v>
      </c>
      <c r="O8" s="105">
        <f t="shared" si="1"/>
        <v>381748</v>
      </c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8.75" customHeight="1">
      <c r="A9" s="13">
        <v>6.0</v>
      </c>
      <c r="B9" s="14" t="s">
        <v>59</v>
      </c>
      <c r="C9" s="104"/>
      <c r="D9" s="109">
        <v>403681.0</v>
      </c>
      <c r="E9" s="102">
        <v>2.0</v>
      </c>
      <c r="F9" s="102" t="s">
        <v>63</v>
      </c>
      <c r="G9" s="102"/>
      <c r="H9" s="87"/>
      <c r="I9" s="87"/>
      <c r="J9" s="87"/>
      <c r="K9" s="87"/>
      <c r="L9" s="87"/>
      <c r="M9" s="87"/>
      <c r="N9" s="104" t="s">
        <v>64</v>
      </c>
      <c r="O9" s="105">
        <f t="shared" si="1"/>
        <v>0</v>
      </c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8.75" customHeight="1">
      <c r="A10" s="68">
        <v>7.0</v>
      </c>
      <c r="B10" s="14" t="s">
        <v>59</v>
      </c>
      <c r="C10" s="110"/>
      <c r="D10" s="111">
        <v>314231.0</v>
      </c>
      <c r="E10" s="102">
        <v>2.0</v>
      </c>
      <c r="F10" s="102"/>
      <c r="G10" s="102"/>
      <c r="H10" s="87"/>
      <c r="I10" s="87"/>
      <c r="J10" s="87"/>
      <c r="K10" s="87"/>
      <c r="L10" s="87"/>
      <c r="M10" s="85"/>
      <c r="N10" s="104" t="s">
        <v>65</v>
      </c>
      <c r="O10" s="105">
        <f t="shared" si="1"/>
        <v>7055932</v>
      </c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8.75" customHeight="1">
      <c r="A11" s="69">
        <v>8.0</v>
      </c>
      <c r="B11" s="14" t="s">
        <v>59</v>
      </c>
      <c r="C11" s="112">
        <v>283568.0</v>
      </c>
      <c r="D11" s="113"/>
      <c r="E11" s="102">
        <v>2.0</v>
      </c>
      <c r="F11" s="102"/>
      <c r="G11" s="102"/>
      <c r="H11" s="87"/>
      <c r="I11" s="87"/>
      <c r="J11" s="87"/>
      <c r="K11" s="87"/>
      <c r="L11" s="87"/>
      <c r="M11" s="85"/>
      <c r="N11" s="104" t="s">
        <v>63</v>
      </c>
      <c r="O11" s="105">
        <f t="shared" si="1"/>
        <v>1974362</v>
      </c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8.75" customHeight="1">
      <c r="A12" s="69">
        <v>9.0</v>
      </c>
      <c r="B12" s="14" t="s">
        <v>59</v>
      </c>
      <c r="C12" s="114"/>
      <c r="D12" s="111">
        <v>243456.0</v>
      </c>
      <c r="E12" s="102">
        <v>2.0</v>
      </c>
      <c r="F12" s="102"/>
      <c r="G12" s="102"/>
      <c r="H12" s="87"/>
      <c r="I12" s="87"/>
      <c r="J12" s="87"/>
      <c r="K12" s="87"/>
      <c r="L12" s="87"/>
      <c r="M12" s="85"/>
      <c r="N12" s="104" t="s">
        <v>66</v>
      </c>
      <c r="O12" s="105">
        <f t="shared" si="1"/>
        <v>123988</v>
      </c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8.75" customHeight="1">
      <c r="A13" s="13">
        <v>10.0</v>
      </c>
      <c r="B13" s="14" t="s">
        <v>59</v>
      </c>
      <c r="C13" s="115">
        <v>217320.0</v>
      </c>
      <c r="D13" s="113"/>
      <c r="E13" s="102">
        <v>2.0</v>
      </c>
      <c r="F13" s="102"/>
      <c r="G13" s="102"/>
      <c r="H13" s="87"/>
      <c r="I13" s="87"/>
      <c r="J13" s="87"/>
      <c r="K13" s="87"/>
      <c r="L13" s="87"/>
      <c r="M13" s="85"/>
      <c r="N13" s="104" t="s">
        <v>67</v>
      </c>
      <c r="O13" s="105">
        <f t="shared" si="1"/>
        <v>15117526</v>
      </c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8.75" customHeight="1">
      <c r="A14" s="13">
        <v>11.0</v>
      </c>
      <c r="B14" s="14" t="s">
        <v>59</v>
      </c>
      <c r="C14" s="116"/>
      <c r="D14" s="109">
        <v>464772.0</v>
      </c>
      <c r="E14" s="102">
        <v>2.0</v>
      </c>
      <c r="F14" s="102" t="s">
        <v>63</v>
      </c>
      <c r="G14" s="102"/>
      <c r="H14" s="87"/>
      <c r="I14" s="87"/>
      <c r="J14" s="83" t="s">
        <v>68</v>
      </c>
      <c r="K14" s="87"/>
      <c r="L14" s="87"/>
      <c r="M14" s="85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8.75" customHeight="1">
      <c r="A15" s="13">
        <v>12.0</v>
      </c>
      <c r="B15" s="14" t="s">
        <v>59</v>
      </c>
      <c r="C15" s="116"/>
      <c r="D15" s="109">
        <v>446855.0</v>
      </c>
      <c r="E15" s="102">
        <v>2.0</v>
      </c>
      <c r="F15" s="102" t="s">
        <v>20</v>
      </c>
      <c r="G15" s="102"/>
      <c r="H15" s="87"/>
      <c r="I15" s="87"/>
      <c r="J15" s="117" t="s">
        <v>9</v>
      </c>
      <c r="K15" s="118" t="s">
        <v>2</v>
      </c>
      <c r="L15" s="118" t="s">
        <v>1</v>
      </c>
      <c r="M15" s="85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8.75" customHeight="1">
      <c r="A16" s="13">
        <v>13.0</v>
      </c>
      <c r="B16" s="14" t="s">
        <v>59</v>
      </c>
      <c r="C16" s="116"/>
      <c r="D16" s="111">
        <v>346535.0</v>
      </c>
      <c r="E16" s="102">
        <v>2.0</v>
      </c>
      <c r="F16" s="102"/>
      <c r="G16" s="102"/>
      <c r="H16" s="87"/>
      <c r="I16" s="85"/>
      <c r="J16" s="104" t="s">
        <v>17</v>
      </c>
      <c r="K16" s="105"/>
      <c r="L16" s="104"/>
      <c r="M16" s="85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8.75" customHeight="1">
      <c r="A17" s="13">
        <v>14.0</v>
      </c>
      <c r="B17" s="14" t="s">
        <v>59</v>
      </c>
      <c r="C17" s="115">
        <v>314231.0</v>
      </c>
      <c r="D17" s="113"/>
      <c r="E17" s="102">
        <v>2.0</v>
      </c>
      <c r="F17" s="102"/>
      <c r="G17" s="102"/>
      <c r="H17" s="87"/>
      <c r="I17" s="85"/>
      <c r="J17" s="104" t="s">
        <v>18</v>
      </c>
      <c r="K17" s="105">
        <v>1116033.0</v>
      </c>
      <c r="L17" s="119" t="s">
        <v>69</v>
      </c>
      <c r="M17" s="85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8.75" customHeight="1">
      <c r="A18" s="13">
        <v>15.0</v>
      </c>
      <c r="B18" s="14" t="s">
        <v>59</v>
      </c>
      <c r="C18" s="114"/>
      <c r="D18" s="111">
        <v>271062.0</v>
      </c>
      <c r="E18" s="102">
        <v>2.0</v>
      </c>
      <c r="F18" s="102"/>
      <c r="G18" s="102"/>
      <c r="H18" s="87"/>
      <c r="I18" s="85"/>
      <c r="J18" s="104" t="s">
        <v>60</v>
      </c>
      <c r="K18" s="105"/>
      <c r="L18" s="104"/>
      <c r="M18" s="85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8.75" customHeight="1">
      <c r="A19" s="13">
        <v>16.0</v>
      </c>
      <c r="B19" s="14" t="s">
        <v>70</v>
      </c>
      <c r="C19" s="115">
        <v>243456.0</v>
      </c>
      <c r="D19" s="113"/>
      <c r="E19" s="102">
        <v>2.0</v>
      </c>
      <c r="F19" s="102"/>
      <c r="G19" s="102"/>
      <c r="H19" s="87"/>
      <c r="I19" s="85"/>
      <c r="J19" s="104" t="s">
        <v>20</v>
      </c>
      <c r="K19" s="105">
        <v>448218.0</v>
      </c>
      <c r="L19" s="119" t="s">
        <v>70</v>
      </c>
      <c r="M19" s="85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8.75" customHeight="1">
      <c r="A20" s="13">
        <v>17.0</v>
      </c>
      <c r="B20" s="14" t="s">
        <v>70</v>
      </c>
      <c r="C20" s="116"/>
      <c r="D20" s="109">
        <v>1329138.0</v>
      </c>
      <c r="E20" s="102">
        <v>2.0</v>
      </c>
      <c r="F20" s="102" t="s">
        <v>18</v>
      </c>
      <c r="G20" s="102"/>
      <c r="H20" s="87"/>
      <c r="I20" s="85"/>
      <c r="J20" s="104" t="s">
        <v>62</v>
      </c>
      <c r="K20" s="105">
        <v>365270.0</v>
      </c>
      <c r="L20" s="119" t="s">
        <v>71</v>
      </c>
      <c r="M20" s="85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8.75" customHeight="1">
      <c r="A21" s="13">
        <v>18.0</v>
      </c>
      <c r="B21" s="14" t="s">
        <v>70</v>
      </c>
      <c r="C21" s="116"/>
      <c r="D21" s="120">
        <v>3474006.0</v>
      </c>
      <c r="E21" s="102">
        <v>2.0</v>
      </c>
      <c r="F21" s="102" t="s">
        <v>65</v>
      </c>
      <c r="G21" s="102"/>
      <c r="H21" s="87"/>
      <c r="I21" s="85"/>
      <c r="J21" s="104" t="s">
        <v>62</v>
      </c>
      <c r="K21" s="105">
        <v>329798.0</v>
      </c>
      <c r="L21" s="119" t="s">
        <v>71</v>
      </c>
      <c r="M21" s="85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8.75" customHeight="1">
      <c r="A22" s="13">
        <v>19.0</v>
      </c>
      <c r="B22" s="14" t="s">
        <v>70</v>
      </c>
      <c r="C22" s="121"/>
      <c r="D22" s="122">
        <v>499246.0</v>
      </c>
      <c r="E22" s="102">
        <v>2.0</v>
      </c>
      <c r="F22" s="102"/>
      <c r="G22" s="102"/>
      <c r="H22" s="87"/>
      <c r="I22" s="85"/>
      <c r="J22" s="104" t="s">
        <v>62</v>
      </c>
      <c r="K22" s="105">
        <v>297723.0</v>
      </c>
      <c r="L22" s="119" t="s">
        <v>70</v>
      </c>
      <c r="M22" s="85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8.75" customHeight="1">
      <c r="A23" s="13">
        <v>20.0</v>
      </c>
      <c r="B23" s="14" t="s">
        <v>70</v>
      </c>
      <c r="C23" s="121"/>
      <c r="D23" s="123">
        <v>300430.0</v>
      </c>
      <c r="E23" s="102">
        <v>2.0</v>
      </c>
      <c r="F23" s="102"/>
      <c r="G23" s="102"/>
      <c r="H23" s="87"/>
      <c r="I23" s="85"/>
      <c r="J23" s="104" t="s">
        <v>62</v>
      </c>
      <c r="K23" s="105">
        <v>268620.0</v>
      </c>
      <c r="L23" s="119" t="s">
        <v>70</v>
      </c>
      <c r="M23" s="85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8.75" customHeight="1">
      <c r="A24" s="13">
        <v>21.0</v>
      </c>
      <c r="B24" s="14" t="s">
        <v>70</v>
      </c>
      <c r="C24" s="124">
        <v>271062.0</v>
      </c>
      <c r="D24" s="123"/>
      <c r="E24" s="102">
        <v>2.0</v>
      </c>
      <c r="F24" s="102"/>
      <c r="G24" s="102"/>
      <c r="H24" s="87"/>
      <c r="I24" s="85"/>
      <c r="J24" s="104" t="s">
        <v>62</v>
      </c>
      <c r="K24" s="105">
        <v>241263.0</v>
      </c>
      <c r="L24" s="119" t="s">
        <v>70</v>
      </c>
      <c r="M24" s="85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8.75" customHeight="1">
      <c r="A25" s="13">
        <v>22.0</v>
      </c>
      <c r="B25" s="14" t="s">
        <v>70</v>
      </c>
      <c r="C25" s="121"/>
      <c r="D25" s="122">
        <v>380601.0</v>
      </c>
      <c r="E25" s="102">
        <v>2.0</v>
      </c>
      <c r="F25" s="102"/>
      <c r="G25" s="102"/>
      <c r="H25" s="87"/>
      <c r="I25" s="85"/>
      <c r="J25" s="104" t="s">
        <v>62</v>
      </c>
      <c r="K25" s="105">
        <v>215362.0</v>
      </c>
      <c r="L25" s="119" t="s">
        <v>59</v>
      </c>
      <c r="M25" s="85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8.75" customHeight="1">
      <c r="A26" s="13">
        <v>23.0</v>
      </c>
      <c r="B26" s="14" t="s">
        <v>70</v>
      </c>
      <c r="C26" s="124">
        <v>346534.0</v>
      </c>
      <c r="D26" s="123"/>
      <c r="E26" s="102">
        <v>2.0</v>
      </c>
      <c r="F26" s="102"/>
      <c r="G26" s="102"/>
      <c r="H26" s="87"/>
      <c r="I26" s="85"/>
      <c r="J26" s="104" t="s">
        <v>62</v>
      </c>
      <c r="K26" s="105">
        <v>191209.0</v>
      </c>
      <c r="L26" s="119" t="s">
        <v>59</v>
      </c>
      <c r="M26" s="85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8.75" customHeight="1">
      <c r="A27" s="13">
        <v>24.0</v>
      </c>
      <c r="B27" s="14" t="s">
        <v>70</v>
      </c>
      <c r="C27" s="121"/>
      <c r="D27" s="123"/>
      <c r="E27" s="102"/>
      <c r="F27" s="102"/>
      <c r="G27" s="102"/>
      <c r="H27" s="87"/>
      <c r="I27" s="85"/>
      <c r="J27" s="104" t="s">
        <v>64</v>
      </c>
      <c r="K27" s="105"/>
      <c r="L27" s="104"/>
      <c r="M27" s="85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8.75" customHeight="1">
      <c r="A28" s="13">
        <v>25.0</v>
      </c>
      <c r="B28" s="14" t="s">
        <v>70</v>
      </c>
      <c r="C28" s="121"/>
      <c r="D28" s="125">
        <v>633348.0</v>
      </c>
      <c r="E28" s="102">
        <v>2.0</v>
      </c>
      <c r="F28" s="102" t="s">
        <v>17</v>
      </c>
      <c r="G28" s="102"/>
      <c r="H28" s="87"/>
      <c r="I28" s="85"/>
      <c r="J28" s="104" t="s">
        <v>65</v>
      </c>
      <c r="K28" s="105"/>
      <c r="L28" s="104"/>
      <c r="M28" s="85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8.75" customHeight="1">
      <c r="A29" s="13">
        <v>26.0</v>
      </c>
      <c r="B29" s="14" t="s">
        <v>70</v>
      </c>
      <c r="C29" s="121"/>
      <c r="D29" s="125">
        <v>1266696.0</v>
      </c>
      <c r="E29" s="102">
        <v>2.0</v>
      </c>
      <c r="F29" s="102" t="s">
        <v>17</v>
      </c>
      <c r="G29" s="102"/>
      <c r="H29" s="87"/>
      <c r="I29" s="85"/>
      <c r="J29" s="104" t="s">
        <v>63</v>
      </c>
      <c r="K29" s="105"/>
      <c r="L29" s="104"/>
      <c r="M29" s="85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8.75" customHeight="1">
      <c r="A30" s="13">
        <v>27.0</v>
      </c>
      <c r="B30" s="14" t="s">
        <v>70</v>
      </c>
      <c r="C30" s="116"/>
      <c r="D30" s="109">
        <v>2533392.0</v>
      </c>
      <c r="E30" s="102">
        <v>2.0</v>
      </c>
      <c r="F30" s="102" t="s">
        <v>17</v>
      </c>
      <c r="G30" s="102"/>
      <c r="H30" s="87"/>
      <c r="I30" s="85"/>
      <c r="J30" s="104" t="s">
        <v>66</v>
      </c>
      <c r="K30" s="105">
        <v>343413.0</v>
      </c>
      <c r="L30" s="119" t="s">
        <v>70</v>
      </c>
      <c r="M30" s="85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8.75" customHeight="1">
      <c r="A31" s="13">
        <v>28.0</v>
      </c>
      <c r="B31" s="14" t="s">
        <v>70</v>
      </c>
      <c r="C31" s="116"/>
      <c r="D31" s="109">
        <v>633348.0</v>
      </c>
      <c r="E31" s="102">
        <v>2.0</v>
      </c>
      <c r="F31" s="102" t="s">
        <v>17</v>
      </c>
      <c r="G31" s="102"/>
      <c r="H31" s="87"/>
      <c r="I31" s="85"/>
      <c r="J31" s="104" t="s">
        <v>67</v>
      </c>
      <c r="K31" s="105"/>
      <c r="L31" s="104"/>
      <c r="M31" s="85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8.75" customHeight="1">
      <c r="A32" s="13">
        <v>29.0</v>
      </c>
      <c r="B32" s="14" t="s">
        <v>70</v>
      </c>
      <c r="C32" s="116"/>
      <c r="D32" s="109">
        <v>523851.0</v>
      </c>
      <c r="E32" s="102">
        <v>2.0</v>
      </c>
      <c r="F32" s="102" t="s">
        <v>63</v>
      </c>
      <c r="G32" s="102"/>
      <c r="H32" s="87"/>
      <c r="I32" s="87"/>
      <c r="J32" s="126" t="s">
        <v>72</v>
      </c>
      <c r="K32" s="127">
        <f>SUM(K16:K31)</f>
        <v>3816909</v>
      </c>
      <c r="L32" s="126"/>
      <c r="M32" s="126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8.75" customHeight="1">
      <c r="A33" s="13">
        <v>30.0</v>
      </c>
      <c r="B33" s="14" t="s">
        <v>70</v>
      </c>
      <c r="C33" s="116"/>
      <c r="D33" s="111">
        <v>332796.0</v>
      </c>
      <c r="E33" s="102">
        <v>2.0</v>
      </c>
      <c r="F33" s="102"/>
      <c r="G33" s="102"/>
      <c r="H33" s="87"/>
      <c r="I33" s="87"/>
      <c r="J33" s="126"/>
      <c r="K33" s="127"/>
      <c r="L33" s="126"/>
      <c r="M33" s="126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8.75" customHeight="1">
      <c r="A34" s="13">
        <v>31.0</v>
      </c>
      <c r="B34" s="14" t="s">
        <v>70</v>
      </c>
      <c r="C34" s="116"/>
      <c r="D34" s="113">
        <v>300430.0</v>
      </c>
      <c r="E34" s="102">
        <v>2.0</v>
      </c>
      <c r="F34" s="102"/>
      <c r="G34" s="102"/>
      <c r="H34" s="87"/>
      <c r="I34" s="87"/>
      <c r="J34" s="87"/>
      <c r="K34" s="86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8.75" customHeight="1">
      <c r="A35" s="13">
        <v>32.0</v>
      </c>
      <c r="B35" s="14" t="s">
        <v>70</v>
      </c>
      <c r="C35" s="116"/>
      <c r="D35" s="109">
        <v>2184168.0</v>
      </c>
      <c r="E35" s="102">
        <v>2.0</v>
      </c>
      <c r="F35" s="102" t="s">
        <v>67</v>
      </c>
      <c r="G35" s="102"/>
      <c r="H35" s="87"/>
      <c r="I35" s="87"/>
      <c r="J35" s="87"/>
      <c r="K35" s="86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8.75" customHeight="1">
      <c r="A36" s="13">
        <v>33.0</v>
      </c>
      <c r="B36" s="14" t="s">
        <v>70</v>
      </c>
      <c r="C36" s="116"/>
      <c r="D36" s="109">
        <v>241050.0</v>
      </c>
      <c r="E36" s="102">
        <v>2.0</v>
      </c>
      <c r="F36" s="102" t="s">
        <v>20</v>
      </c>
      <c r="G36" s="102"/>
      <c r="H36" s="87"/>
      <c r="I36" s="87"/>
      <c r="J36" s="87"/>
      <c r="K36" s="86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8.75" customHeight="1">
      <c r="A37" s="13">
        <v>34.0</v>
      </c>
      <c r="B37" s="14" t="s">
        <v>70</v>
      </c>
      <c r="C37" s="116"/>
      <c r="D37" s="109">
        <v>646247.0</v>
      </c>
      <c r="E37" s="102">
        <v>2.0</v>
      </c>
      <c r="F37" s="102" t="s">
        <v>18</v>
      </c>
      <c r="G37" s="102"/>
      <c r="H37" s="87"/>
      <c r="I37" s="87"/>
      <c r="J37" s="87"/>
      <c r="K37" s="86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8.75" customHeight="1">
      <c r="A38" s="13">
        <v>35.0</v>
      </c>
      <c r="B38" s="14" t="s">
        <v>70</v>
      </c>
      <c r="C38" s="115">
        <v>3025367.0</v>
      </c>
      <c r="D38" s="113"/>
      <c r="E38" s="102">
        <v>2.0</v>
      </c>
      <c r="F38" s="102"/>
      <c r="G38" s="102" t="s">
        <v>73</v>
      </c>
      <c r="H38" s="87"/>
      <c r="I38" s="87"/>
      <c r="J38" s="87"/>
      <c r="K38" s="86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8.75" customHeight="1">
      <c r="A39" s="13">
        <v>36.0</v>
      </c>
      <c r="B39" s="14" t="s">
        <v>70</v>
      </c>
      <c r="C39" s="114"/>
      <c r="D39" s="113">
        <v>1126178.0</v>
      </c>
      <c r="E39" s="102">
        <v>2.0</v>
      </c>
      <c r="F39" s="102"/>
      <c r="G39" s="102"/>
      <c r="H39" s="87"/>
      <c r="I39" s="87"/>
      <c r="J39" s="87"/>
      <c r="K39" s="86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8.75" customHeight="1">
      <c r="A40" s="13">
        <v>37.0</v>
      </c>
      <c r="B40" s="14" t="s">
        <v>71</v>
      </c>
      <c r="C40" s="116"/>
      <c r="D40" s="120">
        <v>582058.0</v>
      </c>
      <c r="E40" s="102">
        <v>2.0</v>
      </c>
      <c r="F40" s="102" t="s">
        <v>63</v>
      </c>
      <c r="G40" s="102"/>
      <c r="H40" s="87"/>
      <c r="I40" s="87"/>
      <c r="J40" s="87"/>
      <c r="K40" s="86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8.75" customHeight="1">
      <c r="A41" s="13">
        <v>38.0</v>
      </c>
      <c r="B41" s="14" t="s">
        <v>71</v>
      </c>
      <c r="C41" s="121"/>
      <c r="D41" s="122">
        <v>368591.0</v>
      </c>
      <c r="E41" s="102">
        <v>2.0</v>
      </c>
      <c r="F41" s="102"/>
      <c r="G41" s="102"/>
      <c r="H41" s="87"/>
      <c r="I41" s="87"/>
      <c r="J41" s="87"/>
      <c r="K41" s="86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8.75" customHeight="1">
      <c r="A42" s="13">
        <v>39.0</v>
      </c>
      <c r="B42" s="14" t="s">
        <v>71</v>
      </c>
      <c r="C42" s="124">
        <v>332796.0</v>
      </c>
      <c r="D42" s="123"/>
      <c r="E42" s="102">
        <v>2.0</v>
      </c>
      <c r="F42" s="102"/>
      <c r="G42" s="102"/>
      <c r="H42" s="87"/>
      <c r="I42" s="87"/>
      <c r="J42" s="87"/>
      <c r="K42" s="86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8.75" customHeight="1">
      <c r="A43" s="13">
        <v>40.0</v>
      </c>
      <c r="B43" s="14" t="s">
        <v>71</v>
      </c>
      <c r="C43" s="121"/>
      <c r="D43" s="125">
        <v>2184168.0</v>
      </c>
      <c r="E43" s="102">
        <v>2.0</v>
      </c>
      <c r="F43" s="102" t="s">
        <v>67</v>
      </c>
      <c r="G43" s="128"/>
      <c r="H43" s="87"/>
      <c r="I43" s="87"/>
      <c r="J43" s="87"/>
      <c r="K43" s="86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8.75" customHeight="1">
      <c r="A44" s="13">
        <v>41.0</v>
      </c>
      <c r="B44" s="14" t="s">
        <v>71</v>
      </c>
      <c r="C44" s="100">
        <v>1.0E7</v>
      </c>
      <c r="D44" s="123"/>
      <c r="E44" s="102">
        <v>2.0</v>
      </c>
      <c r="F44" s="102"/>
      <c r="G44" s="69"/>
      <c r="H44" s="87"/>
      <c r="I44" s="87"/>
      <c r="J44" s="87"/>
      <c r="K44" s="86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8.75" customHeight="1">
      <c r="A45" s="13">
        <v>42.0</v>
      </c>
      <c r="B45" s="14" t="s">
        <v>71</v>
      </c>
      <c r="C45" s="121"/>
      <c r="D45" s="125">
        <v>5061566.0</v>
      </c>
      <c r="E45" s="102">
        <v>2.0</v>
      </c>
      <c r="F45" s="102" t="s">
        <v>17</v>
      </c>
      <c r="G45" s="69"/>
      <c r="H45" s="87"/>
      <c r="I45" s="87"/>
      <c r="J45" s="87"/>
      <c r="K45" s="86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8.75" customHeight="1">
      <c r="A46" s="13">
        <v>43.0</v>
      </c>
      <c r="B46" s="14" t="s">
        <v>71</v>
      </c>
      <c r="C46" s="21"/>
      <c r="D46" s="122">
        <v>406479.0</v>
      </c>
      <c r="E46" s="102">
        <v>2.0</v>
      </c>
      <c r="F46" s="102"/>
      <c r="G46" s="102"/>
      <c r="H46" s="87"/>
      <c r="I46" s="87"/>
      <c r="J46" s="87"/>
      <c r="K46" s="86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8.75" customHeight="1">
      <c r="A47" s="13">
        <v>44.0</v>
      </c>
      <c r="B47" s="14" t="s">
        <v>71</v>
      </c>
      <c r="C47" s="124">
        <v>368591.0</v>
      </c>
      <c r="D47" s="123"/>
      <c r="E47" s="102">
        <v>2.0</v>
      </c>
      <c r="F47" s="102"/>
      <c r="G47" s="102"/>
      <c r="H47" s="87"/>
      <c r="I47" s="87"/>
      <c r="J47" s="87"/>
      <c r="K47" s="86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8.75" customHeight="1">
      <c r="A48" s="13">
        <v>45.0</v>
      </c>
      <c r="B48" s="14" t="s">
        <v>69</v>
      </c>
      <c r="C48" s="121"/>
      <c r="D48" s="125">
        <v>2375563.0</v>
      </c>
      <c r="E48" s="102">
        <v>2.0</v>
      </c>
      <c r="F48" s="102" t="s">
        <v>67</v>
      </c>
      <c r="G48" s="102"/>
      <c r="H48" s="87"/>
      <c r="I48" s="87"/>
      <c r="J48" s="87"/>
      <c r="K48" s="86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8.75" customHeight="1">
      <c r="A49" s="13">
        <v>46.0</v>
      </c>
      <c r="B49" s="14" t="s">
        <v>69</v>
      </c>
      <c r="C49" s="124">
        <v>499246.0</v>
      </c>
      <c r="D49" s="123"/>
      <c r="E49" s="102">
        <v>2.0</v>
      </c>
      <c r="F49" s="102"/>
      <c r="G49" s="102"/>
      <c r="H49" s="87"/>
      <c r="I49" s="87"/>
      <c r="J49" s="87"/>
      <c r="K49" s="86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8.75" customHeight="1">
      <c r="A50" s="13">
        <v>47.0</v>
      </c>
      <c r="B50" s="14" t="s">
        <v>69</v>
      </c>
      <c r="C50" s="116"/>
      <c r="D50" s="120">
        <v>123988.0</v>
      </c>
      <c r="E50" s="102">
        <v>2.0</v>
      </c>
      <c r="F50" s="102" t="s">
        <v>66</v>
      </c>
      <c r="G50" s="102"/>
      <c r="H50" s="87"/>
      <c r="I50" s="87"/>
      <c r="J50" s="87"/>
      <c r="K50" s="86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8.75" customHeight="1">
      <c r="A51" s="13">
        <v>48.0</v>
      </c>
      <c r="B51" s="14" t="s">
        <v>69</v>
      </c>
      <c r="C51" s="124">
        <v>380601.0</v>
      </c>
      <c r="D51" s="123"/>
      <c r="E51" s="102">
        <v>2.0</v>
      </c>
      <c r="F51" s="102"/>
      <c r="G51" s="102"/>
      <c r="H51" s="87"/>
      <c r="I51" s="87"/>
      <c r="J51" s="87"/>
      <c r="K51" s="86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8.75" customHeight="1">
      <c r="A52" s="13">
        <v>49.0</v>
      </c>
      <c r="B52" s="14" t="s">
        <v>69</v>
      </c>
      <c r="C52" s="121"/>
      <c r="D52" s="125">
        <v>2576098.0</v>
      </c>
      <c r="E52" s="102">
        <v>2.0</v>
      </c>
      <c r="F52" s="102" t="s">
        <v>67</v>
      </c>
      <c r="G52" s="102"/>
      <c r="H52" s="87"/>
      <c r="I52" s="87"/>
      <c r="J52" s="87"/>
      <c r="K52" s="86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8.75" customHeight="1">
      <c r="A53" s="13">
        <v>50.0</v>
      </c>
      <c r="B53" s="14" t="s">
        <v>69</v>
      </c>
      <c r="C53" s="121"/>
      <c r="D53" s="125">
        <v>1221001.0</v>
      </c>
      <c r="E53" s="102">
        <v>2.0</v>
      </c>
      <c r="F53" s="102" t="s">
        <v>18</v>
      </c>
      <c r="G53" s="102"/>
      <c r="H53" s="87"/>
      <c r="I53" s="87"/>
      <c r="J53" s="87"/>
      <c r="K53" s="86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8.75" customHeight="1">
      <c r="A54" s="13">
        <v>51.0</v>
      </c>
      <c r="B54" s="14" t="s">
        <v>69</v>
      </c>
      <c r="C54" s="121"/>
      <c r="D54" s="122">
        <v>2225609.0</v>
      </c>
      <c r="E54" s="102">
        <v>2.0</v>
      </c>
      <c r="F54" s="102"/>
      <c r="G54" s="102"/>
      <c r="H54" s="87"/>
      <c r="I54" s="87"/>
      <c r="J54" s="87"/>
      <c r="K54" s="86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8.75" customHeight="1">
      <c r="A55" s="13">
        <v>52.0</v>
      </c>
      <c r="B55" s="14" t="s">
        <v>69</v>
      </c>
      <c r="C55" s="121"/>
      <c r="D55" s="123">
        <v>1126178.0</v>
      </c>
      <c r="E55" s="102">
        <v>2.0</v>
      </c>
      <c r="F55" s="102"/>
      <c r="G55" s="102"/>
      <c r="H55" s="87"/>
      <c r="I55" s="87"/>
      <c r="J55" s="87"/>
      <c r="K55" s="86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8.75" customHeight="1">
      <c r="A56" s="13">
        <v>53.0</v>
      </c>
      <c r="B56" s="14" t="s">
        <v>74</v>
      </c>
      <c r="C56" s="129">
        <v>2.0E7</v>
      </c>
      <c r="D56" s="113"/>
      <c r="E56" s="102">
        <v>2.0</v>
      </c>
      <c r="F56" s="102"/>
      <c r="G56" s="102"/>
      <c r="H56" s="87"/>
      <c r="I56" s="87"/>
      <c r="J56" s="87"/>
      <c r="K56" s="86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8.75" customHeight="1">
      <c r="A57" s="13">
        <v>54.0</v>
      </c>
      <c r="B57" s="14" t="s">
        <v>74</v>
      </c>
      <c r="C57" s="116"/>
      <c r="D57" s="109">
        <v>3581926.0</v>
      </c>
      <c r="E57" s="102">
        <v>2.0</v>
      </c>
      <c r="F57" s="102" t="s">
        <v>65</v>
      </c>
      <c r="G57" s="102"/>
      <c r="H57" s="87"/>
      <c r="I57" s="87"/>
      <c r="J57" s="87"/>
      <c r="K57" s="86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8.75" customHeight="1">
      <c r="A58" s="13">
        <v>55.0</v>
      </c>
      <c r="B58" s="14" t="s">
        <v>74</v>
      </c>
      <c r="C58" s="116"/>
      <c r="D58" s="109">
        <v>2788347.0</v>
      </c>
      <c r="E58" s="102">
        <v>2.0</v>
      </c>
      <c r="F58" s="102" t="s">
        <v>67</v>
      </c>
      <c r="G58" s="102"/>
      <c r="H58" s="87"/>
      <c r="I58" s="87"/>
      <c r="J58" s="87"/>
      <c r="K58" s="86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8.75" customHeight="1">
      <c r="A59" s="13">
        <v>56.0</v>
      </c>
      <c r="B59" s="14" t="s">
        <v>74</v>
      </c>
      <c r="C59" s="116"/>
      <c r="D59" s="109">
        <v>5061566.0</v>
      </c>
      <c r="E59" s="102">
        <v>2.0</v>
      </c>
      <c r="F59" s="102" t="s">
        <v>17</v>
      </c>
      <c r="G59" s="102"/>
      <c r="H59" s="87"/>
      <c r="I59" s="87"/>
      <c r="J59" s="87"/>
      <c r="K59" s="86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8.75" customHeight="1">
      <c r="A60" s="13">
        <v>57.0</v>
      </c>
      <c r="B60" s="14" t="s">
        <v>74</v>
      </c>
      <c r="C60" s="116"/>
      <c r="D60" s="109">
        <v>241743.0</v>
      </c>
      <c r="E60" s="102">
        <v>2.0</v>
      </c>
      <c r="F60" s="102" t="s">
        <v>18</v>
      </c>
      <c r="G60" s="102"/>
      <c r="H60" s="87"/>
      <c r="I60" s="87"/>
      <c r="J60" s="87"/>
      <c r="K60" s="86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8.75" customHeight="1">
      <c r="A61" s="13">
        <v>58.0</v>
      </c>
      <c r="B61" s="14" t="s">
        <v>74</v>
      </c>
      <c r="C61" s="116"/>
      <c r="D61" s="109">
        <v>862500.0</v>
      </c>
      <c r="E61" s="102">
        <v>2.0</v>
      </c>
      <c r="F61" s="102" t="s">
        <v>18</v>
      </c>
      <c r="G61" s="102"/>
      <c r="H61" s="87"/>
      <c r="I61" s="87"/>
      <c r="J61" s="87"/>
      <c r="K61" s="86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9.5" customHeight="1">
      <c r="A62" s="13">
        <v>59.0</v>
      </c>
      <c r="B62" s="14" t="s">
        <v>74</v>
      </c>
      <c r="C62" s="116"/>
      <c r="D62" s="109">
        <v>3009182.0</v>
      </c>
      <c r="E62" s="102">
        <v>2.0</v>
      </c>
      <c r="F62" s="102" t="s">
        <v>67</v>
      </c>
      <c r="G62" s="102"/>
      <c r="H62" s="87"/>
      <c r="I62" s="87"/>
      <c r="J62" s="87"/>
      <c r="K62" s="86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9.5" customHeight="1">
      <c r="A63" s="13">
        <v>60.0</v>
      </c>
      <c r="B63" s="14" t="s">
        <v>74</v>
      </c>
      <c r="C63" s="129">
        <v>2.0E7</v>
      </c>
      <c r="D63" s="113"/>
      <c r="E63" s="102">
        <v>2.0</v>
      </c>
      <c r="F63" s="102"/>
      <c r="G63" s="102"/>
      <c r="H63" s="87"/>
      <c r="I63" s="87"/>
      <c r="J63" s="87"/>
      <c r="K63" s="86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8.75" customHeight="1">
      <c r="A64" s="13">
        <v>61.0</v>
      </c>
      <c r="B64" s="14" t="s">
        <v>74</v>
      </c>
      <c r="C64" s="116"/>
      <c r="D64" s="109">
        <v>381748.0</v>
      </c>
      <c r="E64" s="102">
        <v>2.0</v>
      </c>
      <c r="F64" s="102" t="s">
        <v>62</v>
      </c>
      <c r="G64" s="102"/>
      <c r="H64" s="87"/>
      <c r="I64" s="87"/>
      <c r="J64" s="87"/>
      <c r="K64" s="86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8.75" customHeight="1">
      <c r="A65" s="13">
        <v>62.0</v>
      </c>
      <c r="B65" s="14" t="s">
        <v>74</v>
      </c>
      <c r="C65" s="115">
        <v>406479.0</v>
      </c>
      <c r="D65" s="113"/>
      <c r="E65" s="102">
        <v>2.0</v>
      </c>
      <c r="F65" s="102"/>
      <c r="G65" s="102"/>
      <c r="H65" s="87"/>
      <c r="I65" s="87"/>
      <c r="J65" s="87"/>
      <c r="K65" s="86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8.75" customHeight="1">
      <c r="A66" s="13">
        <v>63.0</v>
      </c>
      <c r="B66" s="130">
        <v>45955.0</v>
      </c>
      <c r="C66" s="116"/>
      <c r="D66" s="131">
        <v>5470605.0</v>
      </c>
      <c r="E66" s="102">
        <v>2.0</v>
      </c>
      <c r="F66" s="102"/>
      <c r="G66" s="102"/>
      <c r="H66" s="87"/>
      <c r="I66" s="87"/>
      <c r="J66" s="87"/>
      <c r="K66" s="86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8.75" customHeight="1">
      <c r="A67" s="13">
        <v>64.0</v>
      </c>
      <c r="B67" s="130">
        <v>45955.0</v>
      </c>
      <c r="C67" s="116"/>
      <c r="D67" s="131">
        <v>3242314.0</v>
      </c>
      <c r="E67" s="102">
        <v>2.0</v>
      </c>
      <c r="F67" s="102"/>
      <c r="G67" s="102"/>
      <c r="H67" s="87"/>
      <c r="I67" s="87"/>
      <c r="J67" s="87"/>
      <c r="K67" s="86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8.75" customHeight="1">
      <c r="A68" s="13">
        <v>65.0</v>
      </c>
      <c r="B68" s="130">
        <v>45955.0</v>
      </c>
      <c r="C68" s="116"/>
      <c r="D68" s="131">
        <v>1758642.0</v>
      </c>
      <c r="E68" s="102">
        <v>2.0</v>
      </c>
      <c r="F68" s="102"/>
      <c r="G68" s="102"/>
      <c r="H68" s="87"/>
      <c r="I68" s="87"/>
      <c r="J68" s="87"/>
      <c r="K68" s="86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8.75" customHeight="1">
      <c r="A69" s="13">
        <v>66.0</v>
      </c>
      <c r="B69" s="130">
        <v>45955.0</v>
      </c>
      <c r="C69" s="132">
        <v>2225609.0</v>
      </c>
      <c r="D69" s="113"/>
      <c r="E69" s="102">
        <v>2.0</v>
      </c>
      <c r="F69" s="102"/>
      <c r="G69" s="102"/>
      <c r="H69" s="87"/>
      <c r="I69" s="87"/>
      <c r="J69" s="87"/>
      <c r="K69" s="86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8.75" customHeight="1">
      <c r="A70" s="13">
        <v>67.0</v>
      </c>
      <c r="B70" s="130">
        <v>45956.0</v>
      </c>
      <c r="C70" s="116"/>
      <c r="D70" s="131">
        <v>5899011.0</v>
      </c>
      <c r="E70" s="102">
        <v>2.0</v>
      </c>
      <c r="F70" s="102"/>
      <c r="G70" s="102"/>
      <c r="H70" s="87"/>
      <c r="I70" s="87"/>
      <c r="J70" s="87"/>
      <c r="K70" s="86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8.75" customHeight="1">
      <c r="A71" s="13">
        <v>68.0</v>
      </c>
      <c r="B71" s="130">
        <v>45956.0</v>
      </c>
      <c r="C71" s="116"/>
      <c r="D71" s="131">
        <v>1546461.0</v>
      </c>
      <c r="E71" s="102">
        <v>2.0</v>
      </c>
      <c r="F71" s="102"/>
      <c r="G71" s="102"/>
      <c r="H71" s="87"/>
      <c r="I71" s="87"/>
      <c r="J71" s="87"/>
      <c r="K71" s="86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8.75" customHeight="1">
      <c r="A72" s="13">
        <v>69.0</v>
      </c>
      <c r="B72" s="130">
        <v>45956.0</v>
      </c>
      <c r="C72" s="116"/>
      <c r="D72" s="131">
        <v>3487778.0</v>
      </c>
      <c r="E72" s="102">
        <v>2.0</v>
      </c>
      <c r="F72" s="102"/>
      <c r="G72" s="102"/>
      <c r="H72" s="87"/>
      <c r="I72" s="87"/>
      <c r="J72" s="87"/>
      <c r="K72" s="86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8.75" customHeight="1">
      <c r="A73" s="13">
        <v>70.0</v>
      </c>
      <c r="B73" s="130">
        <v>45956.0</v>
      </c>
      <c r="C73" s="133">
        <v>1.0E7</v>
      </c>
      <c r="D73" s="113"/>
      <c r="E73" s="102">
        <v>2.0</v>
      </c>
      <c r="F73" s="102"/>
      <c r="G73" s="102"/>
      <c r="H73" s="87"/>
      <c r="I73" s="87"/>
      <c r="J73" s="87"/>
      <c r="K73" s="86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8.75" customHeight="1">
      <c r="A74" s="13">
        <v>71.0</v>
      </c>
      <c r="B74" s="130">
        <v>45956.0</v>
      </c>
      <c r="C74" s="116"/>
      <c r="D74" s="131">
        <v>3742142.0</v>
      </c>
      <c r="E74" s="102">
        <v>2.0</v>
      </c>
      <c r="F74" s="102"/>
      <c r="G74" s="102"/>
      <c r="H74" s="87"/>
      <c r="I74" s="87"/>
      <c r="J74" s="87"/>
      <c r="K74" s="86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8.75" customHeight="1">
      <c r="A75" s="13">
        <v>72.0</v>
      </c>
      <c r="B75" s="130">
        <v>45957.0</v>
      </c>
      <c r="C75" s="116"/>
      <c r="D75" s="131">
        <v>6344005.0</v>
      </c>
      <c r="E75" s="102">
        <v>2.0</v>
      </c>
      <c r="F75" s="102"/>
      <c r="G75" s="102"/>
      <c r="H75" s="87"/>
      <c r="I75" s="87"/>
      <c r="J75" s="87"/>
      <c r="K75" s="86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8.75" customHeight="1">
      <c r="A76" s="13">
        <v>73.0</v>
      </c>
      <c r="B76" s="130">
        <v>45957.0</v>
      </c>
      <c r="C76" s="133">
        <v>2.0E7</v>
      </c>
      <c r="D76" s="113"/>
      <c r="E76" s="102">
        <v>2.0</v>
      </c>
      <c r="F76" s="102"/>
      <c r="G76" s="102"/>
      <c r="H76" s="87"/>
      <c r="I76" s="87"/>
      <c r="J76" s="87"/>
      <c r="K76" s="86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8.75" customHeight="1">
      <c r="A77" s="13">
        <v>74.0</v>
      </c>
      <c r="B77" s="130">
        <v>45957.0</v>
      </c>
      <c r="C77" s="116"/>
      <c r="D77" s="131">
        <v>1711875.0</v>
      </c>
      <c r="E77" s="102">
        <v>2.0</v>
      </c>
      <c r="F77" s="102"/>
      <c r="G77" s="102"/>
      <c r="H77" s="87"/>
      <c r="I77" s="87"/>
      <c r="J77" s="87"/>
      <c r="K77" s="86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8.75" customHeight="1">
      <c r="A78" s="13">
        <v>75.0</v>
      </c>
      <c r="B78" s="130">
        <v>45958.0</v>
      </c>
      <c r="C78" s="116"/>
      <c r="D78" s="131">
        <v>1290167.0</v>
      </c>
      <c r="E78" s="102">
        <v>2.0</v>
      </c>
      <c r="F78" s="102"/>
      <c r="G78" s="102"/>
      <c r="H78" s="87"/>
      <c r="I78" s="87"/>
      <c r="J78" s="87"/>
      <c r="K78" s="86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8.75" customHeight="1">
      <c r="A79" s="13">
        <v>76.0</v>
      </c>
      <c r="B79" s="130">
        <v>45958.0</v>
      </c>
      <c r="C79" s="116"/>
      <c r="D79" s="131">
        <v>4009024.0</v>
      </c>
      <c r="E79" s="102">
        <v>2.0</v>
      </c>
      <c r="F79" s="102"/>
      <c r="G79" s="102"/>
      <c r="H79" s="87"/>
      <c r="I79" s="87"/>
      <c r="J79" s="87"/>
      <c r="K79" s="86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8.75" customHeight="1">
      <c r="A80" s="13">
        <v>77.0</v>
      </c>
      <c r="B80" s="130">
        <v>45958.0</v>
      </c>
      <c r="C80" s="116"/>
      <c r="D80" s="131">
        <v>3173375.0</v>
      </c>
      <c r="E80" s="102">
        <v>2.0</v>
      </c>
      <c r="F80" s="102"/>
      <c r="G80" s="102"/>
      <c r="H80" s="87"/>
      <c r="I80" s="87"/>
      <c r="J80" s="87"/>
      <c r="K80" s="86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8.75" customHeight="1">
      <c r="A81" s="13">
        <v>78.0</v>
      </c>
      <c r="B81" s="130">
        <v>45960.0</v>
      </c>
      <c r="C81" s="116"/>
      <c r="D81" s="131">
        <v>3474006.0</v>
      </c>
      <c r="E81" s="102">
        <v>2.0</v>
      </c>
      <c r="F81" s="102"/>
      <c r="G81" s="102"/>
      <c r="H81" s="87"/>
      <c r="I81" s="87"/>
      <c r="J81" s="87"/>
      <c r="K81" s="86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8.75" customHeight="1">
      <c r="A82" s="13">
        <v>79.0</v>
      </c>
      <c r="B82" s="130">
        <v>45960.0</v>
      </c>
      <c r="C82" s="133">
        <v>2.0E7</v>
      </c>
      <c r="D82" s="113"/>
      <c r="E82" s="102">
        <v>2.0</v>
      </c>
      <c r="F82" s="102"/>
      <c r="G82" s="102"/>
      <c r="H82" s="87"/>
      <c r="I82" s="87"/>
      <c r="J82" s="87"/>
      <c r="K82" s="86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8.75" customHeight="1">
      <c r="A83" s="13">
        <v>80.0</v>
      </c>
      <c r="B83" s="130">
        <v>45960.0</v>
      </c>
      <c r="C83" s="116"/>
      <c r="D83" s="131">
        <v>6811119.0</v>
      </c>
      <c r="E83" s="102">
        <v>2.0</v>
      </c>
      <c r="F83" s="102"/>
      <c r="G83" s="102"/>
      <c r="H83" s="87"/>
      <c r="I83" s="87"/>
      <c r="J83" s="87"/>
      <c r="K83" s="86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8.75" customHeight="1">
      <c r="A84" s="13">
        <v>81.0</v>
      </c>
      <c r="B84" s="130">
        <v>45960.0</v>
      </c>
      <c r="C84" s="116"/>
      <c r="D84" s="134">
        <v>114090.0</v>
      </c>
      <c r="E84" s="135">
        <v>4.0</v>
      </c>
      <c r="F84" s="102"/>
      <c r="G84" s="102"/>
      <c r="H84" s="87"/>
      <c r="I84" s="87"/>
      <c r="J84" s="87"/>
      <c r="K84" s="86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8.75" customHeight="1">
      <c r="A85" s="13">
        <v>82.0</v>
      </c>
      <c r="B85" s="130">
        <v>45961.0</v>
      </c>
      <c r="C85" s="116"/>
      <c r="D85" s="131">
        <v>7296777.0</v>
      </c>
      <c r="E85" s="102"/>
      <c r="F85" s="102"/>
      <c r="G85" s="102"/>
      <c r="H85" s="87"/>
      <c r="I85" s="87"/>
      <c r="J85" s="87"/>
      <c r="K85" s="86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8.75" customHeight="1">
      <c r="A86" s="13">
        <v>83.0</v>
      </c>
      <c r="B86" s="130">
        <v>45961.0</v>
      </c>
      <c r="C86" s="116"/>
      <c r="D86" s="136">
        <v>380601.0</v>
      </c>
      <c r="E86" s="102"/>
      <c r="F86" s="102"/>
      <c r="G86" s="102"/>
      <c r="H86" s="87"/>
      <c r="I86" s="87"/>
      <c r="J86" s="87"/>
      <c r="K86" s="86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8.75" customHeight="1">
      <c r="A87" s="13">
        <v>84.0</v>
      </c>
      <c r="B87" s="130">
        <v>45961.0</v>
      </c>
      <c r="C87" s="116"/>
      <c r="D87" s="131">
        <v>640314.0</v>
      </c>
      <c r="E87" s="102"/>
      <c r="F87" s="102"/>
      <c r="G87" s="102"/>
      <c r="H87" s="87"/>
      <c r="I87" s="87"/>
      <c r="J87" s="87"/>
      <c r="K87" s="86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8.75" customHeight="1">
      <c r="A88" s="13">
        <v>85.0</v>
      </c>
      <c r="B88" s="130">
        <v>45961.0</v>
      </c>
      <c r="C88" s="116"/>
      <c r="D88" s="136">
        <v>418974.0</v>
      </c>
      <c r="E88" s="102"/>
      <c r="F88" s="102"/>
      <c r="G88" s="102"/>
      <c r="H88" s="87"/>
      <c r="I88" s="87"/>
      <c r="J88" s="87"/>
      <c r="K88" s="86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8.75" customHeight="1">
      <c r="A89" s="13">
        <v>86.0</v>
      </c>
      <c r="B89" s="130">
        <v>45961.0</v>
      </c>
      <c r="C89" s="132">
        <v>380601.0</v>
      </c>
      <c r="D89" s="134"/>
      <c r="E89" s="102"/>
      <c r="F89" s="102"/>
      <c r="G89" s="102"/>
      <c r="H89" s="87"/>
      <c r="I89" s="87"/>
      <c r="J89" s="87"/>
      <c r="K89" s="86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8.75" customHeight="1">
      <c r="A90" s="13">
        <v>87.0</v>
      </c>
      <c r="B90" s="130">
        <v>45962.0</v>
      </c>
      <c r="C90" s="116"/>
      <c r="D90" s="131">
        <v>547977.0</v>
      </c>
      <c r="E90" s="102"/>
      <c r="F90" s="102"/>
      <c r="G90" s="102"/>
      <c r="H90" s="87"/>
      <c r="I90" s="87"/>
      <c r="J90" s="87"/>
      <c r="K90" s="86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8.75" customHeight="1">
      <c r="A91" s="13">
        <v>88.0</v>
      </c>
      <c r="B91" s="130">
        <v>45962.0</v>
      </c>
      <c r="C91" s="116"/>
      <c r="D91" s="131">
        <v>3700228.0</v>
      </c>
      <c r="E91" s="102"/>
      <c r="F91" s="102"/>
      <c r="G91" s="102"/>
      <c r="H91" s="87"/>
      <c r="I91" s="87"/>
      <c r="J91" s="87"/>
      <c r="K91" s="86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8.75" customHeight="1">
      <c r="A92" s="13">
        <v>89.0</v>
      </c>
      <c r="B92" s="130">
        <v>45962.0</v>
      </c>
      <c r="C92" s="133">
        <v>2.0E7</v>
      </c>
      <c r="D92" s="134"/>
      <c r="E92" s="102"/>
      <c r="F92" s="102"/>
      <c r="G92" s="102"/>
      <c r="H92" s="87"/>
      <c r="I92" s="87"/>
      <c r="J92" s="87"/>
      <c r="K92" s="86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8.75" customHeight="1">
      <c r="A93" s="13">
        <v>90.0</v>
      </c>
      <c r="B93" s="130">
        <v>45962.0</v>
      </c>
      <c r="C93" s="116"/>
      <c r="D93" s="131">
        <v>723907.0</v>
      </c>
      <c r="E93" s="102"/>
      <c r="F93" s="102"/>
      <c r="G93" s="102"/>
      <c r="H93" s="87"/>
      <c r="I93" s="87"/>
      <c r="J93" s="87"/>
      <c r="K93" s="86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8.75" customHeight="1">
      <c r="A94" s="13">
        <v>91.0</v>
      </c>
      <c r="B94" s="130">
        <v>45962.0</v>
      </c>
      <c r="C94" s="116"/>
      <c r="D94" s="131">
        <v>7799169.0</v>
      </c>
      <c r="E94" s="102"/>
      <c r="F94" s="102"/>
      <c r="G94" s="102"/>
      <c r="H94" s="87"/>
      <c r="I94" s="87"/>
      <c r="J94" s="87"/>
      <c r="K94" s="86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8.75" customHeight="1">
      <c r="A95" s="13">
        <v>92.0</v>
      </c>
      <c r="B95" s="130">
        <v>45962.0</v>
      </c>
      <c r="C95" s="116"/>
      <c r="D95" s="131">
        <v>814396.0</v>
      </c>
      <c r="E95" s="102"/>
      <c r="F95" s="102"/>
      <c r="G95" s="102"/>
      <c r="H95" s="87"/>
      <c r="I95" s="87"/>
      <c r="J95" s="87"/>
      <c r="K95" s="86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8.75" customHeight="1">
      <c r="A96" s="13">
        <v>93.0</v>
      </c>
      <c r="B96" s="130">
        <v>45962.0</v>
      </c>
      <c r="C96" s="116"/>
      <c r="D96" s="131">
        <v>3449377.0</v>
      </c>
      <c r="E96" s="102"/>
      <c r="F96" s="102"/>
      <c r="G96" s="102"/>
      <c r="H96" s="87"/>
      <c r="I96" s="87"/>
      <c r="J96" s="87"/>
      <c r="K96" s="86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8.75" customHeight="1">
      <c r="A97" s="13">
        <v>94.0</v>
      </c>
      <c r="B97" s="130">
        <v>45962.0</v>
      </c>
      <c r="C97" s="116"/>
      <c r="D97" s="136">
        <v>499246.0</v>
      </c>
      <c r="E97" s="102"/>
      <c r="F97" s="102"/>
      <c r="G97" s="102"/>
      <c r="H97" s="87"/>
      <c r="I97" s="87"/>
      <c r="J97" s="87"/>
      <c r="K97" s="86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13">
        <v>95.0</v>
      </c>
      <c r="B98" s="130">
        <v>45963.0</v>
      </c>
      <c r="C98" s="116"/>
      <c r="D98" s="131">
        <v>831262.0</v>
      </c>
      <c r="E98" s="102"/>
      <c r="F98" s="102"/>
      <c r="G98" s="102"/>
      <c r="H98" s="87"/>
      <c r="I98" s="87"/>
      <c r="J98" s="87"/>
      <c r="K98" s="86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8.75" customHeight="1">
      <c r="A99" s="13">
        <v>96.0</v>
      </c>
      <c r="B99" s="130">
        <v>45963.0</v>
      </c>
      <c r="C99" s="116"/>
      <c r="D99" s="131">
        <v>494711.0</v>
      </c>
      <c r="E99" s="102"/>
      <c r="F99" s="102"/>
      <c r="G99" s="102"/>
      <c r="H99" s="87"/>
      <c r="I99" s="87"/>
      <c r="J99" s="87"/>
      <c r="K99" s="86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8.75" customHeight="1">
      <c r="A100" s="13">
        <v>97.0</v>
      </c>
      <c r="B100" s="130">
        <v>45963.0</v>
      </c>
      <c r="C100" s="116"/>
      <c r="D100" s="131">
        <v>3934931.0</v>
      </c>
      <c r="E100" s="102"/>
      <c r="F100" s="102"/>
      <c r="G100" s="102"/>
      <c r="H100" s="87"/>
      <c r="I100" s="87"/>
      <c r="J100" s="87"/>
      <c r="K100" s="86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8.75" customHeight="1">
      <c r="A101" s="13">
        <v>98.0</v>
      </c>
      <c r="B101" s="130">
        <v>45963.0</v>
      </c>
      <c r="C101" s="116"/>
      <c r="D101" s="136">
        <v>554912.0</v>
      </c>
      <c r="E101" s="102"/>
      <c r="F101" s="102"/>
      <c r="G101" s="102"/>
      <c r="H101" s="87"/>
      <c r="I101" s="87"/>
      <c r="J101" s="87"/>
      <c r="K101" s="86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8.75" customHeight="1">
      <c r="A102" s="13">
        <v>99.0</v>
      </c>
      <c r="B102" s="130">
        <v>45963.0</v>
      </c>
      <c r="C102" s="136">
        <v>499246.0</v>
      </c>
      <c r="D102" s="134"/>
      <c r="E102" s="102"/>
      <c r="F102" s="102"/>
      <c r="G102" s="102"/>
      <c r="H102" s="87"/>
      <c r="I102" s="87"/>
      <c r="J102" s="87"/>
      <c r="K102" s="86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8.75" customHeight="1">
      <c r="A103" s="13">
        <v>100.0</v>
      </c>
      <c r="B103" s="130">
        <v>45963.0</v>
      </c>
      <c r="C103" s="116"/>
      <c r="D103" s="131">
        <v>238768.0</v>
      </c>
      <c r="E103" s="102"/>
      <c r="F103" s="102"/>
      <c r="G103" s="102"/>
      <c r="H103" s="87"/>
      <c r="I103" s="87"/>
      <c r="J103" s="87"/>
      <c r="K103" s="86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8.75" customHeight="1">
      <c r="A104" s="13">
        <v>101.0</v>
      </c>
      <c r="B104" s="130">
        <v>45963.0</v>
      </c>
      <c r="C104" s="132">
        <v>418974.0</v>
      </c>
      <c r="D104" s="134"/>
      <c r="E104" s="102"/>
      <c r="F104" s="102"/>
      <c r="G104" s="102"/>
      <c r="H104" s="87"/>
      <c r="I104" s="87"/>
      <c r="J104" s="87"/>
      <c r="K104" s="86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8.75" customHeight="1">
      <c r="A105" s="13">
        <v>102.0</v>
      </c>
      <c r="B105" s="130">
        <v>45963.0</v>
      </c>
      <c r="C105" s="116"/>
      <c r="D105" s="131">
        <v>8321721.0</v>
      </c>
      <c r="E105" s="102"/>
      <c r="F105" s="102"/>
      <c r="G105" s="102"/>
      <c r="H105" s="87"/>
      <c r="I105" s="87"/>
      <c r="J105" s="87"/>
      <c r="K105" s="86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8.75" customHeight="1">
      <c r="A106" s="13">
        <v>103.0</v>
      </c>
      <c r="B106" s="130">
        <v>45964.0</v>
      </c>
      <c r="C106" s="116"/>
      <c r="D106" s="131">
        <v>420501.0</v>
      </c>
      <c r="E106" s="102"/>
      <c r="F106" s="102"/>
      <c r="G106" s="102"/>
      <c r="H106" s="87"/>
      <c r="I106" s="87"/>
      <c r="J106" s="87"/>
      <c r="K106" s="86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8.75" customHeight="1">
      <c r="A107" s="13">
        <v>104.0</v>
      </c>
      <c r="B107" s="130">
        <v>45964.0</v>
      </c>
      <c r="C107" s="133">
        <v>2.0E7</v>
      </c>
      <c r="D107" s="134"/>
      <c r="E107" s="102"/>
      <c r="F107" s="102"/>
      <c r="G107" s="102"/>
      <c r="H107" s="87"/>
      <c r="I107" s="87"/>
      <c r="J107" s="87"/>
      <c r="K107" s="86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8.75" customHeight="1">
      <c r="A108" s="13">
        <v>105.0</v>
      </c>
      <c r="B108" s="130">
        <v>45965.0</v>
      </c>
      <c r="C108" s="116"/>
      <c r="D108" s="136">
        <v>615574.0</v>
      </c>
      <c r="E108" s="102"/>
      <c r="F108" s="102"/>
      <c r="G108" s="102"/>
      <c r="H108" s="87"/>
      <c r="I108" s="87"/>
      <c r="J108" s="87"/>
      <c r="K108" s="86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8.75" customHeight="1">
      <c r="A109" s="13">
        <v>106.0</v>
      </c>
      <c r="B109" s="130">
        <v>45965.0</v>
      </c>
      <c r="C109" s="132">
        <v>554912.0</v>
      </c>
      <c r="D109" s="134"/>
      <c r="E109" s="102"/>
      <c r="F109" s="102"/>
      <c r="G109" s="102"/>
      <c r="H109" s="87"/>
      <c r="I109" s="87"/>
      <c r="J109" s="87"/>
      <c r="K109" s="86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8.75" customHeight="1">
      <c r="A110" s="13">
        <v>107.0</v>
      </c>
      <c r="B110" s="130">
        <v>45965.0</v>
      </c>
      <c r="C110" s="116"/>
      <c r="D110" s="131">
        <v>3739989.0</v>
      </c>
      <c r="E110" s="102"/>
      <c r="F110" s="102"/>
      <c r="G110" s="102"/>
      <c r="H110" s="87"/>
      <c r="I110" s="87"/>
      <c r="J110" s="87"/>
      <c r="K110" s="86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8.75" customHeight="1">
      <c r="A111" s="13">
        <v>108.0</v>
      </c>
      <c r="B111" s="130">
        <v>45965.0</v>
      </c>
      <c r="C111" s="116"/>
      <c r="D111" s="136">
        <v>680156.0</v>
      </c>
      <c r="E111" s="102"/>
      <c r="F111" s="102"/>
      <c r="G111" s="102"/>
      <c r="H111" s="87"/>
      <c r="I111" s="87"/>
      <c r="J111" s="87"/>
      <c r="K111" s="86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8.75" customHeight="1">
      <c r="A112" s="13">
        <v>109.0</v>
      </c>
      <c r="B112" s="130">
        <v>45965.0</v>
      </c>
      <c r="C112" s="136">
        <v>615574.0</v>
      </c>
      <c r="D112" s="134"/>
      <c r="E112" s="102"/>
      <c r="F112" s="102"/>
      <c r="G112" s="102"/>
      <c r="H112" s="87"/>
      <c r="I112" s="87"/>
      <c r="J112" s="87"/>
      <c r="K112" s="86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8.75" customHeight="1">
      <c r="A113" s="13">
        <v>110.0</v>
      </c>
      <c r="B113" s="130">
        <v>45966.0</v>
      </c>
      <c r="C113" s="116"/>
      <c r="D113" s="131">
        <v>1917918.0</v>
      </c>
      <c r="E113" s="102"/>
      <c r="F113" s="102"/>
      <c r="G113" s="102"/>
      <c r="H113" s="87"/>
      <c r="I113" s="87"/>
      <c r="J113" s="87"/>
      <c r="K113" s="86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8.75" customHeight="1">
      <c r="A114" s="13">
        <v>111.0</v>
      </c>
      <c r="B114" s="130">
        <v>45966.0</v>
      </c>
      <c r="C114" s="116"/>
      <c r="D114" s="131">
        <v>8864942.0</v>
      </c>
      <c r="E114" s="102"/>
      <c r="F114" s="102"/>
      <c r="G114" s="102"/>
      <c r="H114" s="87"/>
      <c r="I114" s="87"/>
      <c r="J114" s="87"/>
      <c r="K114" s="86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8.75" customHeight="1">
      <c r="A115" s="13">
        <v>112.0</v>
      </c>
      <c r="B115" s="130">
        <v>45966.0</v>
      </c>
      <c r="C115" s="116"/>
      <c r="D115" s="136">
        <v>749946.0</v>
      </c>
      <c r="E115" s="102"/>
      <c r="F115" s="102"/>
      <c r="G115" s="102"/>
      <c r="H115" s="87"/>
      <c r="I115" s="87"/>
      <c r="J115" s="87"/>
      <c r="K115" s="86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8.75" customHeight="1">
      <c r="A116" s="13">
        <v>113.0</v>
      </c>
      <c r="B116" s="130">
        <v>45966.0</v>
      </c>
      <c r="C116" s="132">
        <v>680156.0</v>
      </c>
      <c r="D116" s="134"/>
      <c r="E116" s="102"/>
      <c r="F116" s="102"/>
      <c r="G116" s="102"/>
      <c r="H116" s="87"/>
      <c r="I116" s="87"/>
      <c r="J116" s="87"/>
      <c r="K116" s="86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8.75" customHeight="1">
      <c r="A117" s="13">
        <v>114.0</v>
      </c>
      <c r="B117" s="130">
        <v>45966.0</v>
      </c>
      <c r="C117" s="116"/>
      <c r="D117" s="134">
        <v>174802.0</v>
      </c>
      <c r="E117" s="102"/>
      <c r="F117" s="102"/>
      <c r="G117" s="102"/>
      <c r="H117" s="87"/>
      <c r="I117" s="87"/>
      <c r="J117" s="87"/>
      <c r="K117" s="86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8.75" customHeight="1">
      <c r="A118" s="13">
        <v>115.0</v>
      </c>
      <c r="B118" s="130">
        <v>45966.0</v>
      </c>
      <c r="C118" s="116"/>
      <c r="D118" s="136">
        <v>823942.0</v>
      </c>
      <c r="E118" s="102"/>
      <c r="F118" s="102"/>
      <c r="G118" s="102"/>
      <c r="H118" s="87"/>
      <c r="I118" s="87"/>
      <c r="J118" s="87"/>
      <c r="K118" s="86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8.75" customHeight="1">
      <c r="A119" s="13">
        <v>116.0</v>
      </c>
      <c r="B119" s="130">
        <v>45966.0</v>
      </c>
      <c r="C119" s="132">
        <v>749946.0</v>
      </c>
      <c r="D119" s="134"/>
      <c r="E119" s="102"/>
      <c r="F119" s="102"/>
      <c r="G119" s="102"/>
      <c r="H119" s="87"/>
      <c r="I119" s="87"/>
      <c r="J119" s="87"/>
      <c r="K119" s="86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8.75" customHeight="1">
      <c r="A120" s="13">
        <v>117.0</v>
      </c>
      <c r="B120" s="130">
        <v>45967.0</v>
      </c>
      <c r="C120" s="116"/>
      <c r="D120" s="131">
        <v>797531.0</v>
      </c>
      <c r="E120" s="102"/>
      <c r="F120" s="102"/>
      <c r="G120" s="102"/>
      <c r="H120" s="87"/>
      <c r="I120" s="87"/>
      <c r="J120" s="87"/>
      <c r="K120" s="86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8.75" customHeight="1">
      <c r="A121" s="13">
        <v>118.0</v>
      </c>
      <c r="B121" s="130">
        <v>45967.0</v>
      </c>
      <c r="C121" s="133">
        <v>1.0E7</v>
      </c>
      <c r="D121" s="134"/>
      <c r="E121" s="102"/>
      <c r="F121" s="102"/>
      <c r="G121" s="102"/>
      <c r="H121" s="87"/>
      <c r="I121" s="87"/>
      <c r="J121" s="87"/>
      <c r="K121" s="86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8.75" customHeight="1">
      <c r="A122" s="13">
        <v>119.0</v>
      </c>
      <c r="B122" s="130">
        <v>45967.0</v>
      </c>
      <c r="C122" s="116"/>
      <c r="D122" s="136">
        <v>903516.0</v>
      </c>
      <c r="E122" s="102"/>
      <c r="F122" s="102"/>
      <c r="G122" s="102"/>
      <c r="H122" s="87"/>
      <c r="I122" s="87"/>
      <c r="J122" s="87"/>
      <c r="K122" s="86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8.75" customHeight="1">
      <c r="A123" s="13">
        <v>120.0</v>
      </c>
      <c r="B123" s="130">
        <v>45967.0</v>
      </c>
      <c r="C123" s="136">
        <v>823942.0</v>
      </c>
      <c r="D123" s="134"/>
      <c r="E123" s="102"/>
      <c r="F123" s="102"/>
      <c r="G123" s="102"/>
      <c r="H123" s="87"/>
      <c r="I123" s="87"/>
      <c r="J123" s="87"/>
      <c r="K123" s="86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8.75" customHeight="1">
      <c r="A124" s="13">
        <v>121.0</v>
      </c>
      <c r="B124" s="130">
        <v>45968.0</v>
      </c>
      <c r="C124" s="116"/>
      <c r="D124" s="136">
        <v>987202.0</v>
      </c>
      <c r="E124" s="102"/>
      <c r="F124" s="102"/>
      <c r="G124" s="102"/>
      <c r="H124" s="87"/>
      <c r="I124" s="87"/>
      <c r="J124" s="87"/>
      <c r="K124" s="86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8.75" customHeight="1">
      <c r="A125" s="13">
        <v>122.0</v>
      </c>
      <c r="B125" s="130">
        <v>45968.0</v>
      </c>
      <c r="C125" s="136">
        <v>903516.0</v>
      </c>
      <c r="D125" s="134"/>
      <c r="E125" s="102"/>
      <c r="F125" s="102"/>
      <c r="G125" s="102"/>
      <c r="H125" s="87"/>
      <c r="I125" s="87"/>
      <c r="J125" s="87"/>
      <c r="K125" s="86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8.75" customHeight="1">
      <c r="A126" s="13">
        <v>123.0</v>
      </c>
      <c r="B126" s="130">
        <v>45968.0</v>
      </c>
      <c r="C126" s="116"/>
      <c r="D126" s="131">
        <v>4045328.0</v>
      </c>
      <c r="E126" s="102"/>
      <c r="F126" s="102"/>
      <c r="G126" s="102"/>
      <c r="H126" s="87"/>
      <c r="I126" s="87"/>
      <c r="J126" s="87"/>
      <c r="K126" s="86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8.75" customHeight="1">
      <c r="A127" s="13">
        <v>124.0</v>
      </c>
      <c r="B127" s="130">
        <v>45968.0</v>
      </c>
      <c r="C127" s="133">
        <v>1.0E7</v>
      </c>
      <c r="D127" s="134"/>
      <c r="E127" s="102"/>
      <c r="F127" s="102"/>
      <c r="G127" s="102"/>
      <c r="H127" s="87"/>
      <c r="I127" s="87"/>
      <c r="J127" s="87"/>
      <c r="K127" s="86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8.75" customHeight="1">
      <c r="A128" s="13">
        <v>125.0</v>
      </c>
      <c r="B128" s="130">
        <v>45968.0</v>
      </c>
      <c r="C128" s="116"/>
      <c r="D128" s="136">
        <v>1076760.0</v>
      </c>
      <c r="E128" s="102"/>
      <c r="F128" s="102"/>
      <c r="G128" s="102"/>
      <c r="H128" s="87"/>
      <c r="I128" s="87"/>
      <c r="J128" s="87"/>
      <c r="K128" s="86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8.75" customHeight="1">
      <c r="A129" s="13">
        <v>126.0</v>
      </c>
      <c r="B129" s="130">
        <v>45968.0</v>
      </c>
      <c r="C129" s="136">
        <v>987202.0</v>
      </c>
      <c r="D129" s="134"/>
      <c r="E129" s="102"/>
      <c r="F129" s="102"/>
      <c r="G129" s="102"/>
      <c r="H129" s="87"/>
      <c r="I129" s="87"/>
      <c r="J129" s="87"/>
      <c r="K129" s="86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8.75" customHeight="1">
      <c r="A130" s="13">
        <v>127.0</v>
      </c>
      <c r="B130" s="130">
        <v>45969.0</v>
      </c>
      <c r="C130" s="116"/>
      <c r="D130" s="131">
        <v>615726.0</v>
      </c>
      <c r="E130" s="102"/>
      <c r="F130" s="102"/>
      <c r="G130" s="102"/>
      <c r="H130" s="87"/>
      <c r="I130" s="87"/>
      <c r="J130" s="87"/>
      <c r="K130" s="86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8.75" customHeight="1">
      <c r="A131" s="13">
        <v>128.0</v>
      </c>
      <c r="B131" s="130">
        <v>45969.0</v>
      </c>
      <c r="C131" s="116"/>
      <c r="D131" s="136">
        <v>1172733.0</v>
      </c>
      <c r="E131" s="102"/>
      <c r="F131" s="102"/>
      <c r="G131" s="102"/>
      <c r="H131" s="87"/>
      <c r="I131" s="87"/>
      <c r="J131" s="87"/>
      <c r="K131" s="86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8.75" customHeight="1">
      <c r="A132" s="13">
        <v>129.0</v>
      </c>
      <c r="B132" s="130">
        <v>45969.0</v>
      </c>
      <c r="C132" s="136">
        <v>1076760.0</v>
      </c>
      <c r="D132" s="134"/>
      <c r="E132" s="102"/>
      <c r="F132" s="102"/>
      <c r="G132" s="102"/>
      <c r="H132" s="87"/>
      <c r="I132" s="87"/>
      <c r="J132" s="87"/>
      <c r="K132" s="86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8.75" customHeight="1">
      <c r="A133" s="13">
        <v>130.0</v>
      </c>
      <c r="B133" s="130">
        <v>45970.0</v>
      </c>
      <c r="C133" s="116"/>
      <c r="D133" s="131">
        <v>413356.0</v>
      </c>
      <c r="E133" s="102"/>
      <c r="F133" s="102"/>
      <c r="G133" s="102"/>
      <c r="H133" s="87"/>
      <c r="I133" s="87"/>
      <c r="J133" s="87"/>
      <c r="K133" s="86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8.75" customHeight="1">
      <c r="A134" s="13">
        <v>131.0</v>
      </c>
      <c r="B134" s="130">
        <v>45970.0</v>
      </c>
      <c r="C134" s="116"/>
      <c r="D134" s="131">
        <v>1506896.0</v>
      </c>
      <c r="E134" s="102"/>
      <c r="F134" s="102"/>
      <c r="G134" s="102"/>
      <c r="H134" s="87"/>
      <c r="I134" s="87"/>
      <c r="J134" s="87"/>
      <c r="K134" s="86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8.75" customHeight="1">
      <c r="A135" s="13">
        <v>132.0</v>
      </c>
      <c r="B135" s="130">
        <v>45970.0</v>
      </c>
      <c r="C135" s="116"/>
      <c r="D135" s="131">
        <v>9427492.0</v>
      </c>
      <c r="E135" s="102"/>
      <c r="F135" s="102"/>
      <c r="G135" s="102"/>
      <c r="H135" s="87"/>
      <c r="I135" s="87"/>
      <c r="J135" s="87"/>
      <c r="K135" s="86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8.75" customHeight="1">
      <c r="A136" s="13">
        <v>133.0</v>
      </c>
      <c r="B136" s="130">
        <v>45970.0</v>
      </c>
      <c r="C136" s="116"/>
      <c r="D136" s="136">
        <v>1275180.0</v>
      </c>
      <c r="E136" s="102"/>
      <c r="F136" s="102"/>
      <c r="G136" s="102"/>
      <c r="H136" s="87"/>
      <c r="I136" s="87"/>
      <c r="J136" s="87"/>
      <c r="K136" s="86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8.75" customHeight="1">
      <c r="A137" s="13">
        <v>134.0</v>
      </c>
      <c r="B137" s="130">
        <v>45970.0</v>
      </c>
      <c r="C137" s="136">
        <v>1172733.0</v>
      </c>
      <c r="D137" s="134"/>
      <c r="E137" s="102"/>
      <c r="F137" s="102"/>
      <c r="G137" s="102"/>
      <c r="H137" s="87"/>
      <c r="I137" s="87"/>
      <c r="J137" s="87"/>
      <c r="K137" s="86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8.75" customHeight="1">
      <c r="A138" s="13">
        <v>135.0</v>
      </c>
      <c r="B138" s="130">
        <v>45970.0</v>
      </c>
      <c r="C138" s="133">
        <v>2000000.0</v>
      </c>
      <c r="D138" s="134"/>
      <c r="E138" s="102"/>
      <c r="F138" s="102"/>
      <c r="G138" s="102"/>
      <c r="H138" s="87"/>
      <c r="I138" s="87"/>
      <c r="J138" s="87"/>
      <c r="K138" s="86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8.75" customHeight="1">
      <c r="A139" s="13">
        <v>136.0</v>
      </c>
      <c r="B139" s="130">
        <v>45970.0</v>
      </c>
      <c r="C139" s="116"/>
      <c r="D139" s="131">
        <v>522448.0</v>
      </c>
      <c r="E139" s="102"/>
      <c r="F139" s="102"/>
      <c r="G139" s="102"/>
      <c r="H139" s="87"/>
      <c r="I139" s="87"/>
      <c r="J139" s="87"/>
      <c r="K139" s="86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8.75" customHeight="1">
      <c r="A140" s="13">
        <v>137.0</v>
      </c>
      <c r="B140" s="130">
        <v>45970.0</v>
      </c>
      <c r="C140" s="116"/>
      <c r="D140" s="131">
        <v>1044897.0</v>
      </c>
      <c r="E140" s="102"/>
      <c r="F140" s="102"/>
      <c r="G140" s="102"/>
      <c r="H140" s="87"/>
      <c r="I140" s="87"/>
      <c r="J140" s="87"/>
      <c r="K140" s="86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8.75" customHeight="1">
      <c r="A141" s="13">
        <v>138.0</v>
      </c>
      <c r="B141" s="130">
        <v>45970.0</v>
      </c>
      <c r="C141" s="116"/>
      <c r="D141" s="131">
        <v>2089793.0</v>
      </c>
      <c r="E141" s="102"/>
      <c r="F141" s="102"/>
      <c r="G141" s="102"/>
      <c r="H141" s="87"/>
      <c r="I141" s="87"/>
      <c r="J141" s="87"/>
      <c r="K141" s="86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8.75" customHeight="1">
      <c r="A142" s="13">
        <v>139.0</v>
      </c>
      <c r="B142" s="130">
        <v>45970.0</v>
      </c>
      <c r="C142" s="116"/>
      <c r="D142" s="131">
        <v>522448.0</v>
      </c>
      <c r="E142" s="102"/>
      <c r="F142" s="102"/>
      <c r="G142" s="102"/>
      <c r="H142" s="87"/>
      <c r="I142" s="87"/>
      <c r="J142" s="87"/>
      <c r="K142" s="86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8.75" customHeight="1">
      <c r="A143" s="13">
        <v>140.0</v>
      </c>
      <c r="B143" s="130">
        <v>45970.0</v>
      </c>
      <c r="C143" s="116"/>
      <c r="D143" s="131">
        <v>4134.0</v>
      </c>
      <c r="E143" s="102"/>
      <c r="F143" s="102"/>
      <c r="G143" s="102"/>
      <c r="H143" s="87"/>
      <c r="I143" s="87"/>
      <c r="J143" s="87"/>
      <c r="K143" s="86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8.75" customHeight="1">
      <c r="A144" s="13">
        <v>141.0</v>
      </c>
      <c r="B144" s="130">
        <v>45971.0</v>
      </c>
      <c r="C144" s="116"/>
      <c r="D144" s="131">
        <v>598008.0</v>
      </c>
      <c r="E144" s="102"/>
      <c r="F144" s="102"/>
      <c r="G144" s="102"/>
      <c r="H144" s="87"/>
      <c r="I144" s="87"/>
      <c r="J144" s="87"/>
      <c r="K144" s="86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8.75" customHeight="1">
      <c r="A145" s="13">
        <v>142.0</v>
      </c>
      <c r="B145" s="130">
        <v>45971.0</v>
      </c>
      <c r="C145" s="133">
        <v>2000000.0</v>
      </c>
      <c r="D145" s="134"/>
      <c r="E145" s="102"/>
      <c r="F145" s="102"/>
      <c r="G145" s="102"/>
      <c r="H145" s="87"/>
      <c r="I145" s="87"/>
      <c r="J145" s="87"/>
      <c r="K145" s="86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8.75" customHeight="1">
      <c r="A146" s="13">
        <v>143.0</v>
      </c>
      <c r="B146" s="130">
        <v>45971.0</v>
      </c>
      <c r="C146" s="116"/>
      <c r="D146" s="131">
        <v>1896454.0</v>
      </c>
      <c r="E146" s="102"/>
      <c r="F146" s="102"/>
      <c r="G146" s="102"/>
      <c r="H146" s="87"/>
      <c r="I146" s="87"/>
      <c r="J146" s="87"/>
      <c r="K146" s="86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8.75" customHeight="1">
      <c r="A147" s="13">
        <v>144.0</v>
      </c>
      <c r="B147" s="130">
        <v>45971.0</v>
      </c>
      <c r="C147" s="133">
        <v>1.5E7</v>
      </c>
      <c r="D147" s="134"/>
      <c r="E147" s="102"/>
      <c r="F147" s="102"/>
      <c r="G147" s="102"/>
      <c r="H147" s="87"/>
      <c r="I147" s="87"/>
      <c r="J147" s="87"/>
      <c r="K147" s="86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8.75" customHeight="1">
      <c r="A148" s="13">
        <v>145.0</v>
      </c>
      <c r="B148" s="130">
        <v>45971.0</v>
      </c>
      <c r="C148" s="116"/>
      <c r="D148" s="137">
        <v>579942.0</v>
      </c>
      <c r="E148" s="102"/>
      <c r="F148" s="102"/>
      <c r="G148" s="102"/>
      <c r="H148" s="87"/>
      <c r="I148" s="87"/>
      <c r="J148" s="87"/>
      <c r="K148" s="86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8.75" customHeight="1">
      <c r="A149" s="13">
        <v>146.0</v>
      </c>
      <c r="B149" s="130">
        <v>45971.0</v>
      </c>
      <c r="C149" s="116"/>
      <c r="D149" s="136">
        <v>1384089.0</v>
      </c>
      <c r="E149" s="102"/>
      <c r="F149" s="102"/>
      <c r="G149" s="102"/>
      <c r="H149" s="87"/>
      <c r="I149" s="87"/>
      <c r="J149" s="87"/>
      <c r="K149" s="86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8.75" customHeight="1">
      <c r="A150" s="13">
        <v>147.0</v>
      </c>
      <c r="B150" s="130">
        <v>45971.0</v>
      </c>
      <c r="C150" s="136">
        <v>1275180.0</v>
      </c>
      <c r="D150" s="134"/>
      <c r="E150" s="102"/>
      <c r="F150" s="102"/>
      <c r="G150" s="102"/>
      <c r="H150" s="87"/>
      <c r="I150" s="87"/>
      <c r="J150" s="138"/>
      <c r="K150" s="86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8.75" customHeight="1">
      <c r="A151" s="13">
        <v>148.0</v>
      </c>
      <c r="B151" s="130">
        <v>45971.0</v>
      </c>
      <c r="C151" s="116"/>
      <c r="D151" s="131">
        <v>4365722.0</v>
      </c>
      <c r="E151" s="102"/>
      <c r="F151" s="102"/>
      <c r="G151" s="102"/>
      <c r="H151" s="87"/>
      <c r="I151" s="87"/>
      <c r="J151" s="87"/>
      <c r="K151" s="86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9.5" customHeight="1">
      <c r="A152" s="13">
        <v>149.0</v>
      </c>
      <c r="B152" s="130">
        <v>45972.0</v>
      </c>
      <c r="C152" s="116"/>
      <c r="D152" s="131">
        <v>172096.0</v>
      </c>
      <c r="E152" s="102"/>
      <c r="F152" s="102"/>
      <c r="G152" s="102"/>
      <c r="H152" s="87"/>
      <c r="I152" s="87"/>
      <c r="J152" s="87"/>
      <c r="K152" s="86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9.5" customHeight="1">
      <c r="A153" s="13">
        <v>150.0</v>
      </c>
      <c r="B153" s="130">
        <v>45972.0</v>
      </c>
      <c r="C153" s="116"/>
      <c r="D153" s="131">
        <v>1888533.0</v>
      </c>
      <c r="E153" s="102"/>
      <c r="F153" s="102"/>
      <c r="G153" s="102"/>
      <c r="H153" s="87"/>
      <c r="I153" s="87"/>
      <c r="J153" s="87"/>
      <c r="K153" s="86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9.5" customHeight="1">
      <c r="A154" s="13">
        <v>151.0</v>
      </c>
      <c r="B154" s="130">
        <v>45972.0</v>
      </c>
      <c r="C154" s="116"/>
      <c r="D154" s="136">
        <v>1499159.0</v>
      </c>
      <c r="E154" s="102"/>
      <c r="F154" s="102"/>
      <c r="G154" s="102"/>
      <c r="H154" s="87"/>
      <c r="I154" s="87"/>
      <c r="J154" s="87"/>
      <c r="K154" s="86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9.5" customHeight="1">
      <c r="A155" s="13">
        <v>152.0</v>
      </c>
      <c r="B155" s="130">
        <v>45972.0</v>
      </c>
      <c r="C155" s="136">
        <v>1384089.0</v>
      </c>
      <c r="D155" s="134"/>
      <c r="E155" s="102"/>
      <c r="F155" s="102"/>
      <c r="G155" s="102"/>
      <c r="H155" s="87"/>
      <c r="I155" s="87"/>
      <c r="J155" s="87"/>
      <c r="K155" s="86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9.5" customHeight="1">
      <c r="A156" s="13">
        <v>153.0</v>
      </c>
      <c r="B156" s="130">
        <v>45973.0</v>
      </c>
      <c r="C156" s="116"/>
      <c r="D156" s="136">
        <v>1619221.0</v>
      </c>
      <c r="E156" s="102"/>
      <c r="F156" s="102"/>
      <c r="G156" s="102"/>
      <c r="H156" s="87"/>
      <c r="I156" s="87"/>
      <c r="J156" s="87"/>
      <c r="K156" s="86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9.5" customHeight="1">
      <c r="A157" s="13">
        <v>154.0</v>
      </c>
      <c r="B157" s="130">
        <v>45973.0</v>
      </c>
      <c r="C157" s="136">
        <v>1499159.0</v>
      </c>
      <c r="D157" s="134"/>
      <c r="E157" s="102"/>
      <c r="F157" s="102"/>
      <c r="G157" s="102"/>
      <c r="H157" s="87"/>
      <c r="I157" s="87"/>
      <c r="J157" s="87"/>
      <c r="K157" s="86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9.5" customHeight="1">
      <c r="A158" s="13">
        <v>155.0</v>
      </c>
      <c r="B158" s="130">
        <v>45973.0</v>
      </c>
      <c r="C158" s="133">
        <v>1000000.0</v>
      </c>
      <c r="D158" s="134"/>
      <c r="E158" s="102"/>
      <c r="F158" s="102"/>
      <c r="G158" s="102"/>
      <c r="H158" s="87"/>
      <c r="I158" s="87"/>
      <c r="J158" s="87"/>
      <c r="K158" s="86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9.5" customHeight="1">
      <c r="A159" s="13">
        <v>156.0</v>
      </c>
      <c r="B159" s="130">
        <v>45973.0</v>
      </c>
      <c r="C159" s="116"/>
      <c r="D159" s="131">
        <v>666689.0</v>
      </c>
      <c r="E159" s="102"/>
      <c r="F159" s="102"/>
      <c r="G159" s="102"/>
      <c r="H159" s="87"/>
      <c r="I159" s="87"/>
      <c r="J159" s="87"/>
      <c r="K159" s="86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9.5" customHeight="1">
      <c r="A160" s="13">
        <v>157.0</v>
      </c>
      <c r="B160" s="130">
        <v>45974.0</v>
      </c>
      <c r="C160" s="116"/>
      <c r="D160" s="131">
        <v>522266.0</v>
      </c>
      <c r="E160" s="102"/>
      <c r="F160" s="102"/>
      <c r="G160" s="102"/>
      <c r="H160" s="87"/>
      <c r="I160" s="87"/>
      <c r="J160" s="87"/>
      <c r="K160" s="86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9.5" customHeight="1">
      <c r="A161" s="13">
        <v>158.0</v>
      </c>
      <c r="B161" s="130">
        <v>45974.0</v>
      </c>
      <c r="C161" s="116"/>
      <c r="D161" s="131">
        <v>1044531.0</v>
      </c>
      <c r="E161" s="102"/>
      <c r="F161" s="102"/>
      <c r="G161" s="102"/>
      <c r="H161" s="87"/>
      <c r="I161" s="87"/>
      <c r="J161" s="87"/>
      <c r="K161" s="86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9.5" customHeight="1">
      <c r="A162" s="13">
        <v>159.0</v>
      </c>
      <c r="B162" s="130">
        <v>45974.0</v>
      </c>
      <c r="C162" s="116"/>
      <c r="D162" s="131">
        <v>2089063.0</v>
      </c>
      <c r="E162" s="102"/>
      <c r="F162" s="102"/>
      <c r="G162" s="102"/>
      <c r="H162" s="87"/>
      <c r="I162" s="87"/>
      <c r="J162" s="87"/>
      <c r="K162" s="86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9.5" customHeight="1">
      <c r="A163" s="13">
        <v>160.0</v>
      </c>
      <c r="B163" s="130">
        <v>45974.0</v>
      </c>
      <c r="C163" s="133">
        <v>500000.0</v>
      </c>
      <c r="D163" s="134"/>
      <c r="E163" s="102"/>
      <c r="F163" s="102"/>
      <c r="G163" s="102"/>
      <c r="H163" s="87"/>
      <c r="I163" s="87"/>
      <c r="J163" s="87"/>
      <c r="K163" s="86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9.5" customHeight="1">
      <c r="A164" s="13">
        <v>161.0</v>
      </c>
      <c r="B164" s="130">
        <v>45974.0</v>
      </c>
      <c r="C164" s="116"/>
      <c r="D164" s="131">
        <v>522266.0</v>
      </c>
      <c r="E164" s="102"/>
      <c r="F164" s="102"/>
      <c r="G164" s="102"/>
      <c r="H164" s="87"/>
      <c r="I164" s="87"/>
      <c r="J164" s="87"/>
      <c r="K164" s="86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9.5" customHeight="1">
      <c r="A165" s="13">
        <v>162.0</v>
      </c>
      <c r="B165" s="130">
        <v>45974.0</v>
      </c>
      <c r="C165" s="133">
        <v>2.0E7</v>
      </c>
      <c r="D165" s="134"/>
      <c r="E165" s="102"/>
      <c r="F165" s="102"/>
      <c r="G165" s="102"/>
      <c r="H165" s="87"/>
      <c r="I165" s="87"/>
      <c r="J165" s="87"/>
      <c r="K165" s="86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9.5" customHeight="1">
      <c r="A166" s="13">
        <v>163.0</v>
      </c>
      <c r="B166" s="130">
        <v>45974.0</v>
      </c>
      <c r="C166" s="116"/>
      <c r="D166" s="136">
        <v>1748747.0</v>
      </c>
      <c r="E166" s="102"/>
      <c r="F166" s="102"/>
      <c r="G166" s="102"/>
      <c r="H166" s="87"/>
      <c r="I166" s="87"/>
      <c r="J166" s="87"/>
      <c r="K166" s="86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9.5" customHeight="1">
      <c r="A167" s="13">
        <v>164.0</v>
      </c>
      <c r="B167" s="130">
        <v>45974.0</v>
      </c>
      <c r="C167" s="132">
        <v>1619221.0</v>
      </c>
      <c r="D167" s="134"/>
      <c r="E167" s="102"/>
      <c r="F167" s="102"/>
      <c r="G167" s="102"/>
      <c r="H167" s="87"/>
      <c r="I167" s="87"/>
      <c r="J167" s="87"/>
      <c r="K167" s="86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9.5" customHeight="1">
      <c r="A168" s="13">
        <v>165.0</v>
      </c>
      <c r="B168" s="130">
        <v>45974.0</v>
      </c>
      <c r="C168" s="116"/>
      <c r="D168" s="131">
        <v>365918.0</v>
      </c>
      <c r="E168" s="102"/>
      <c r="F168" s="102"/>
      <c r="G168" s="102"/>
      <c r="H168" s="87"/>
      <c r="I168" s="87"/>
      <c r="J168" s="87"/>
      <c r="K168" s="86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9.5" customHeight="1">
      <c r="A169" s="13">
        <v>166.0</v>
      </c>
      <c r="B169" s="130">
        <v>45976.0</v>
      </c>
      <c r="C169" s="116"/>
      <c r="D169" s="136">
        <v>1885672.0</v>
      </c>
      <c r="E169" s="102"/>
      <c r="F169" s="102"/>
      <c r="G169" s="102"/>
      <c r="H169" s="87"/>
      <c r="I169" s="87"/>
      <c r="J169" s="87"/>
      <c r="K169" s="86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9.5" customHeight="1">
      <c r="A170" s="13">
        <v>167.0</v>
      </c>
      <c r="B170" s="130">
        <v>45976.0</v>
      </c>
      <c r="C170" s="136">
        <v>1748747.0</v>
      </c>
      <c r="D170" s="134"/>
      <c r="E170" s="102"/>
      <c r="F170" s="102"/>
      <c r="G170" s="102"/>
      <c r="H170" s="87"/>
      <c r="I170" s="87"/>
      <c r="J170" s="87"/>
      <c r="K170" s="86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9.5" customHeight="1">
      <c r="A171" s="13">
        <v>168.0</v>
      </c>
      <c r="B171" s="130">
        <v>45976.0</v>
      </c>
      <c r="C171" s="116"/>
      <c r="D171" s="131">
        <v>4700738.0</v>
      </c>
      <c r="E171" s="102"/>
      <c r="F171" s="102"/>
      <c r="G171" s="102"/>
      <c r="H171" s="87"/>
      <c r="I171" s="87"/>
      <c r="J171" s="87"/>
      <c r="K171" s="86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9.5" customHeight="1">
      <c r="A172" s="13">
        <v>169.0</v>
      </c>
      <c r="B172" s="130">
        <v>45976.0</v>
      </c>
      <c r="C172" s="116"/>
      <c r="D172" s="131">
        <v>307141.0</v>
      </c>
      <c r="E172" s="102"/>
      <c r="F172" s="102"/>
      <c r="G172" s="102"/>
      <c r="H172" s="87"/>
      <c r="I172" s="87"/>
      <c r="J172" s="87"/>
      <c r="K172" s="86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9.5" customHeight="1">
      <c r="A173" s="13">
        <v>170.0</v>
      </c>
      <c r="B173" s="130">
        <v>45976.0</v>
      </c>
      <c r="C173" s="116"/>
      <c r="D173" s="131">
        <v>4288999.0</v>
      </c>
      <c r="E173" s="102"/>
      <c r="F173" s="102"/>
      <c r="G173" s="102"/>
      <c r="H173" s="87"/>
      <c r="I173" s="87"/>
      <c r="J173" s="87"/>
      <c r="K173" s="86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9.5" customHeight="1">
      <c r="A174" s="13">
        <v>171.0</v>
      </c>
      <c r="B174" s="130">
        <v>45976.0</v>
      </c>
      <c r="C174" s="116"/>
      <c r="D174" s="136">
        <v>2029646.0</v>
      </c>
      <c r="E174" s="102"/>
      <c r="F174" s="102"/>
      <c r="G174" s="102"/>
      <c r="H174" s="87"/>
      <c r="I174" s="87"/>
      <c r="J174" s="87"/>
      <c r="K174" s="86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9.5" customHeight="1">
      <c r="A175" s="13">
        <v>172.0</v>
      </c>
      <c r="B175" s="130">
        <v>45976.0</v>
      </c>
      <c r="C175" s="136">
        <v>1885672.0</v>
      </c>
      <c r="D175" s="134"/>
      <c r="E175" s="102"/>
      <c r="F175" s="102"/>
      <c r="G175" s="102"/>
      <c r="H175" s="87"/>
      <c r="I175" s="87"/>
      <c r="J175" s="87"/>
      <c r="K175" s="86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9.5" customHeight="1">
      <c r="A176" s="13">
        <v>173.0</v>
      </c>
      <c r="B176" s="130">
        <v>45977.0</v>
      </c>
      <c r="C176" s="116"/>
      <c r="D176" s="131">
        <v>138983.0</v>
      </c>
      <c r="E176" s="102"/>
      <c r="F176" s="102"/>
      <c r="G176" s="102"/>
      <c r="H176" s="87"/>
      <c r="I176" s="87"/>
      <c r="J176" s="87"/>
      <c r="K176" s="86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9.5" customHeight="1">
      <c r="A177" s="13">
        <v>174.0</v>
      </c>
      <c r="B177" s="130">
        <v>45977.0</v>
      </c>
      <c r="C177" s="133">
        <v>1.0E7</v>
      </c>
      <c r="D177" s="134"/>
      <c r="E177" s="102"/>
      <c r="F177" s="102"/>
      <c r="G177" s="102"/>
      <c r="H177" s="87"/>
      <c r="I177" s="87"/>
      <c r="J177" s="87"/>
      <c r="K177" s="86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9.5" customHeight="1">
      <c r="A178" s="13">
        <v>175.0</v>
      </c>
      <c r="B178" s="130">
        <v>45977.0</v>
      </c>
      <c r="C178" s="116"/>
      <c r="D178" s="136">
        <v>2178968.0</v>
      </c>
      <c r="E178" s="102"/>
      <c r="F178" s="102"/>
      <c r="G178" s="102"/>
      <c r="H178" s="87"/>
      <c r="I178" s="87"/>
      <c r="J178" s="87"/>
      <c r="K178" s="86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9.5" customHeight="1">
      <c r="A179" s="13">
        <v>176.0</v>
      </c>
      <c r="B179" s="130">
        <v>45977.0</v>
      </c>
      <c r="C179" s="136">
        <v>2029646.0</v>
      </c>
      <c r="D179" s="134"/>
      <c r="E179" s="102"/>
      <c r="F179" s="102"/>
      <c r="G179" s="102"/>
      <c r="H179" s="87"/>
      <c r="I179" s="87"/>
      <c r="J179" s="87"/>
      <c r="K179" s="86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9.5" customHeight="1">
      <c r="A180" s="13">
        <v>177.0</v>
      </c>
      <c r="B180" s="130">
        <v>45977.0</v>
      </c>
      <c r="C180" s="116"/>
      <c r="D180" s="131">
        <v>153600.0</v>
      </c>
      <c r="E180" s="102"/>
      <c r="F180" s="102"/>
      <c r="G180" s="102"/>
      <c r="H180" s="87"/>
      <c r="I180" s="87"/>
      <c r="J180" s="87"/>
      <c r="K180" s="86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9.5" customHeight="1">
      <c r="A181" s="13">
        <v>178.0</v>
      </c>
      <c r="B181" s="130">
        <v>45978.0</v>
      </c>
      <c r="C181" s="116"/>
      <c r="D181" s="136">
        <v>2336517.0</v>
      </c>
      <c r="E181" s="102"/>
      <c r="F181" s="102"/>
      <c r="G181" s="102"/>
      <c r="H181" s="87"/>
      <c r="I181" s="87"/>
      <c r="J181" s="87"/>
      <c r="K181" s="86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9.5" customHeight="1">
      <c r="A182" s="13">
        <v>179.0</v>
      </c>
      <c r="B182" s="130">
        <v>45978.0</v>
      </c>
      <c r="C182" s="136">
        <v>2178968.0</v>
      </c>
      <c r="D182" s="134"/>
      <c r="E182" s="102"/>
      <c r="F182" s="102"/>
      <c r="G182" s="102"/>
      <c r="H182" s="87"/>
      <c r="I182" s="87"/>
      <c r="J182" s="87"/>
      <c r="K182" s="86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9.5" customHeight="1">
      <c r="A183" s="13">
        <v>180.0</v>
      </c>
      <c r="B183" s="130">
        <v>45978.0</v>
      </c>
      <c r="C183" s="116"/>
      <c r="D183" s="131">
        <v>154616.0</v>
      </c>
      <c r="E183" s="102"/>
      <c r="F183" s="102"/>
      <c r="G183" s="102"/>
      <c r="H183" s="87"/>
      <c r="I183" s="87"/>
      <c r="J183" s="87"/>
      <c r="K183" s="86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9.5" customHeight="1">
      <c r="A184" s="13">
        <v>181.0</v>
      </c>
      <c r="B184" s="130">
        <v>45978.0</v>
      </c>
      <c r="C184" s="116"/>
      <c r="D184" s="131">
        <v>4584328.0</v>
      </c>
      <c r="E184" s="102"/>
      <c r="F184" s="102"/>
      <c r="G184" s="102"/>
      <c r="H184" s="87"/>
      <c r="I184" s="87"/>
      <c r="J184" s="87"/>
      <c r="K184" s="86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9.5" customHeight="1">
      <c r="A185" s="13">
        <v>182.0</v>
      </c>
      <c r="B185" s="130">
        <v>45978.0</v>
      </c>
      <c r="C185" s="133">
        <v>5000000.0</v>
      </c>
      <c r="D185" s="134"/>
      <c r="E185" s="102"/>
      <c r="F185" s="102"/>
      <c r="G185" s="102"/>
      <c r="H185" s="87"/>
      <c r="I185" s="87"/>
      <c r="J185" s="87"/>
      <c r="K185" s="86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9.5" customHeight="1">
      <c r="A186" s="13">
        <v>183.0</v>
      </c>
      <c r="B186" s="130">
        <v>45978.0</v>
      </c>
      <c r="C186" s="116"/>
      <c r="D186" s="136">
        <v>2505238.0</v>
      </c>
      <c r="E186" s="102"/>
      <c r="F186" s="102"/>
      <c r="G186" s="102"/>
      <c r="H186" s="87"/>
      <c r="I186" s="87"/>
      <c r="J186" s="87"/>
      <c r="K186" s="86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9.5" customHeight="1">
      <c r="A187" s="13">
        <v>184.0</v>
      </c>
      <c r="B187" s="130">
        <v>45978.0</v>
      </c>
      <c r="C187" s="136">
        <v>2336517.0</v>
      </c>
      <c r="D187" s="134"/>
      <c r="E187" s="102"/>
      <c r="F187" s="102"/>
      <c r="G187" s="102"/>
      <c r="H187" s="87"/>
      <c r="I187" s="87"/>
      <c r="J187" s="87"/>
      <c r="K187" s="86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9.5" customHeight="1">
      <c r="A188" s="13">
        <v>185.0</v>
      </c>
      <c r="B188" s="130">
        <v>45978.0</v>
      </c>
      <c r="C188" s="116"/>
      <c r="D188" s="131">
        <v>170218.0</v>
      </c>
      <c r="E188" s="102"/>
      <c r="F188" s="102"/>
      <c r="G188" s="102"/>
      <c r="H188" s="87"/>
      <c r="I188" s="87"/>
      <c r="J188" s="87"/>
      <c r="K188" s="86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9.5" customHeight="1">
      <c r="A189" s="13">
        <v>186.0</v>
      </c>
      <c r="B189" s="130">
        <v>45979.0</v>
      </c>
      <c r="C189" s="116"/>
      <c r="D189" s="136">
        <v>2679544.0</v>
      </c>
      <c r="E189" s="102"/>
      <c r="F189" s="102"/>
      <c r="G189" s="102"/>
      <c r="H189" s="87"/>
      <c r="I189" s="87"/>
      <c r="J189" s="87"/>
      <c r="K189" s="86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9.5" customHeight="1">
      <c r="A190" s="13">
        <v>187.0</v>
      </c>
      <c r="B190" s="130">
        <v>45979.0</v>
      </c>
      <c r="C190" s="136">
        <v>2505238.0</v>
      </c>
      <c r="D190" s="134"/>
      <c r="E190" s="102"/>
      <c r="F190" s="102"/>
      <c r="G190" s="102"/>
      <c r="H190" s="87"/>
      <c r="I190" s="87"/>
      <c r="J190" s="87"/>
      <c r="K190" s="86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9.5" customHeight="1">
      <c r="A191" s="13">
        <v>188.0</v>
      </c>
      <c r="B191" s="130">
        <v>45980.0</v>
      </c>
      <c r="C191" s="116"/>
      <c r="D191" s="131">
        <v>315719.0</v>
      </c>
      <c r="E191" s="102"/>
      <c r="F191" s="102"/>
      <c r="G191" s="102"/>
      <c r="H191" s="87"/>
      <c r="I191" s="87"/>
      <c r="J191" s="87"/>
      <c r="K191" s="86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9.5" customHeight="1">
      <c r="A192" s="13">
        <v>189.0</v>
      </c>
      <c r="B192" s="130">
        <v>45980.0</v>
      </c>
      <c r="C192" s="116"/>
      <c r="D192" s="131">
        <v>631437.0</v>
      </c>
      <c r="E192" s="102"/>
      <c r="F192" s="102"/>
      <c r="G192" s="102"/>
      <c r="H192" s="87"/>
      <c r="I192" s="87"/>
      <c r="J192" s="87"/>
      <c r="K192" s="86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9.5" customHeight="1">
      <c r="A193" s="13">
        <v>190.0</v>
      </c>
      <c r="B193" s="130">
        <v>45980.0</v>
      </c>
      <c r="C193" s="116"/>
      <c r="D193" s="131">
        <v>1262875.0</v>
      </c>
      <c r="E193" s="102"/>
      <c r="F193" s="102"/>
      <c r="G193" s="102"/>
      <c r="H193" s="87"/>
      <c r="I193" s="87"/>
      <c r="J193" s="87"/>
      <c r="K193" s="86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9.5" customHeight="1">
      <c r="A194" s="13">
        <v>191.0</v>
      </c>
      <c r="B194" s="130">
        <v>45980.0</v>
      </c>
      <c r="C194" s="116"/>
      <c r="D194" s="131">
        <v>2525750.0</v>
      </c>
      <c r="E194" s="102"/>
      <c r="F194" s="102"/>
      <c r="G194" s="102"/>
      <c r="H194" s="87"/>
      <c r="I194" s="87"/>
      <c r="J194" s="87"/>
      <c r="K194" s="86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9.5" customHeight="1">
      <c r="A195" s="13">
        <v>192.0</v>
      </c>
      <c r="B195" s="130">
        <v>45980.0</v>
      </c>
      <c r="C195" s="133">
        <v>500000.0</v>
      </c>
      <c r="D195" s="134"/>
      <c r="E195" s="102"/>
      <c r="F195" s="102"/>
      <c r="G195" s="102"/>
      <c r="H195" s="87"/>
      <c r="I195" s="87"/>
      <c r="J195" s="87"/>
      <c r="K195" s="86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9.5" customHeight="1">
      <c r="A196" s="13">
        <v>193.0</v>
      </c>
      <c r="B196" s="130">
        <v>45980.0</v>
      </c>
      <c r="C196" s="116"/>
      <c r="D196" s="131">
        <v>315733.0</v>
      </c>
      <c r="E196" s="102"/>
      <c r="F196" s="102"/>
      <c r="G196" s="102"/>
      <c r="H196" s="87"/>
      <c r="I196" s="87"/>
      <c r="J196" s="87"/>
      <c r="K196" s="86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9.5" customHeight="1">
      <c r="A197" s="13">
        <v>194.0</v>
      </c>
      <c r="B197" s="130">
        <v>45980.0</v>
      </c>
      <c r="C197" s="133">
        <v>1.0E7</v>
      </c>
      <c r="D197" s="134"/>
      <c r="E197" s="102"/>
      <c r="F197" s="102"/>
      <c r="G197" s="102"/>
      <c r="H197" s="87"/>
      <c r="I197" s="87"/>
      <c r="J197" s="87"/>
      <c r="K197" s="86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9.5" customHeight="1">
      <c r="A198" s="13">
        <v>195.0</v>
      </c>
      <c r="B198" s="130">
        <v>45981.0</v>
      </c>
      <c r="C198" s="116"/>
      <c r="D198" s="131">
        <v>4890476.0</v>
      </c>
      <c r="E198" s="102"/>
      <c r="F198" s="102"/>
      <c r="G198" s="102"/>
      <c r="H198" s="87"/>
      <c r="I198" s="87"/>
      <c r="J198" s="87"/>
      <c r="K198" s="86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9.5" customHeight="1">
      <c r="A199" s="13">
        <v>196.0</v>
      </c>
      <c r="B199" s="130">
        <v>45981.0</v>
      </c>
      <c r="C199" s="116"/>
      <c r="D199" s="134">
        <v>463427.0</v>
      </c>
      <c r="E199" s="102"/>
      <c r="F199" s="102"/>
      <c r="G199" s="102"/>
      <c r="H199" s="87"/>
      <c r="I199" s="87"/>
      <c r="J199" s="87"/>
      <c r="K199" s="86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9.5" customHeight="1">
      <c r="A200" s="13">
        <v>197.0</v>
      </c>
      <c r="B200" s="130">
        <v>45981.0</v>
      </c>
      <c r="C200" s="136">
        <v>2679544.0</v>
      </c>
      <c r="D200" s="134"/>
      <c r="E200" s="102"/>
      <c r="F200" s="102"/>
      <c r="G200" s="102"/>
      <c r="H200" s="87"/>
      <c r="I200" s="87"/>
      <c r="J200" s="87"/>
      <c r="K200" s="86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8.75" customHeight="1">
      <c r="A201" s="56" t="s">
        <v>40</v>
      </c>
      <c r="B201" s="41"/>
      <c r="C201" s="57">
        <f t="shared" ref="C201:D201" si="2">SUM(C4:C200)</f>
        <v>275113350</v>
      </c>
      <c r="D201" s="57">
        <f t="shared" si="2"/>
        <v>250624451</v>
      </c>
      <c r="E201" s="58"/>
      <c r="F201" s="58"/>
      <c r="G201" s="139"/>
      <c r="H201" s="87"/>
      <c r="I201" s="87"/>
      <c r="J201" s="87"/>
      <c r="K201" s="86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8.75" customHeight="1">
      <c r="A202" s="85" t="s">
        <v>41</v>
      </c>
      <c r="B202" s="87"/>
      <c r="C202" s="57">
        <f>'Tháng 10'!C226</f>
        <v>-49928135</v>
      </c>
      <c r="D202" s="85" t="s">
        <v>42</v>
      </c>
      <c r="E202" s="86"/>
      <c r="F202" s="86"/>
      <c r="G202" s="140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8.75" customHeight="1">
      <c r="A203" s="85" t="s">
        <v>43</v>
      </c>
      <c r="B203" s="87"/>
      <c r="C203" s="141">
        <f>C201-D201</f>
        <v>24488899</v>
      </c>
      <c r="D203" s="85" t="s">
        <v>44</v>
      </c>
      <c r="E203" s="87"/>
      <c r="F203" s="86"/>
      <c r="G203" s="142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8.75" customHeight="1">
      <c r="A204" s="143" t="s">
        <v>75</v>
      </c>
      <c r="B204" s="87"/>
      <c r="C204" s="144">
        <v>-1.2028062E7</v>
      </c>
      <c r="D204" s="85"/>
      <c r="E204" s="87"/>
      <c r="F204" s="87"/>
      <c r="G204" s="140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8.75" customHeight="1">
      <c r="A205" s="85" t="s">
        <v>45</v>
      </c>
      <c r="B205" s="87"/>
      <c r="C205" s="57">
        <f>C204+C202</f>
        <v>-61956197</v>
      </c>
      <c r="D205" s="85" t="s">
        <v>46</v>
      </c>
      <c r="E205" s="87"/>
      <c r="F205" s="87"/>
      <c r="G205" s="140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8.75" customHeight="1">
      <c r="A206" s="85"/>
      <c r="B206" s="87"/>
      <c r="C206" s="57"/>
      <c r="D206" s="85"/>
      <c r="E206" s="87"/>
      <c r="F206" s="87"/>
      <c r="G206" s="140"/>
      <c r="H206" s="87"/>
      <c r="I206" s="87"/>
      <c r="J206" s="87"/>
      <c r="K206" s="86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8.75" customHeight="1">
      <c r="A207" s="87"/>
      <c r="B207" s="87"/>
      <c r="C207" s="87"/>
      <c r="D207" s="87"/>
      <c r="E207" s="87"/>
      <c r="F207" s="87"/>
      <c r="G207" s="140"/>
      <c r="H207" s="87"/>
      <c r="I207" s="87"/>
      <c r="J207" s="87"/>
      <c r="K207" s="86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8.75" customHeight="1">
      <c r="A208" s="83" t="s">
        <v>76</v>
      </c>
      <c r="B208" s="87"/>
      <c r="C208" s="87"/>
      <c r="D208" s="87"/>
      <c r="E208" s="87"/>
      <c r="F208" s="87"/>
      <c r="G208" s="140"/>
      <c r="H208" s="87"/>
      <c r="I208" s="87"/>
      <c r="J208" s="87"/>
      <c r="K208" s="86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8.75" customHeight="1">
      <c r="A209" s="87"/>
      <c r="B209" s="87"/>
      <c r="C209" s="87"/>
      <c r="D209" s="87"/>
      <c r="E209" s="87"/>
      <c r="F209" s="87"/>
      <c r="G209" s="140"/>
      <c r="H209" s="87"/>
      <c r="I209" s="87"/>
      <c r="J209" s="87"/>
      <c r="K209" s="86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8.75" customHeight="1">
      <c r="A210" s="87"/>
      <c r="B210" s="87"/>
      <c r="C210" s="87"/>
      <c r="D210" s="87"/>
      <c r="E210" s="87"/>
      <c r="F210" s="87"/>
      <c r="G210" s="140"/>
      <c r="H210" s="87"/>
      <c r="I210" s="87"/>
      <c r="J210" s="87"/>
      <c r="K210" s="86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8.75" customHeight="1">
      <c r="A211" s="87"/>
      <c r="B211" s="87"/>
      <c r="C211" s="87"/>
      <c r="D211" s="87"/>
      <c r="E211" s="87"/>
      <c r="F211" s="87"/>
      <c r="G211" s="140"/>
      <c r="H211" s="87"/>
      <c r="I211" s="87"/>
      <c r="J211" s="87"/>
      <c r="K211" s="86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8.75" customHeight="1">
      <c r="A212" s="87"/>
      <c r="B212" s="87"/>
      <c r="C212" s="87"/>
      <c r="D212" s="87"/>
      <c r="E212" s="87"/>
      <c r="F212" s="87"/>
      <c r="G212" s="140"/>
      <c r="H212" s="87"/>
      <c r="I212" s="87"/>
      <c r="J212" s="87"/>
      <c r="K212" s="86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8.75" customHeight="1">
      <c r="A213" s="87"/>
      <c r="B213" s="87"/>
      <c r="C213" s="87"/>
      <c r="D213" s="87"/>
      <c r="E213" s="87"/>
      <c r="F213" s="87"/>
      <c r="G213" s="140"/>
      <c r="H213" s="87"/>
      <c r="I213" s="87"/>
      <c r="J213" s="87"/>
      <c r="K213" s="86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8.75" customHeight="1">
      <c r="A214" s="87"/>
      <c r="B214" s="87"/>
      <c r="C214" s="87"/>
      <c r="D214" s="87"/>
      <c r="E214" s="87"/>
      <c r="F214" s="87"/>
      <c r="G214" s="140"/>
      <c r="H214" s="87"/>
      <c r="I214" s="87"/>
      <c r="J214" s="87"/>
      <c r="K214" s="86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8.75" customHeight="1">
      <c r="A215" s="87"/>
      <c r="B215" s="87"/>
      <c r="C215" s="87"/>
      <c r="D215" s="87"/>
      <c r="E215" s="87"/>
      <c r="F215" s="87"/>
      <c r="G215" s="140"/>
      <c r="H215" s="87"/>
      <c r="I215" s="87"/>
      <c r="J215" s="87"/>
      <c r="K215" s="86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8.75" customHeight="1">
      <c r="A216" s="87"/>
      <c r="B216" s="87"/>
      <c r="C216" s="87"/>
      <c r="D216" s="87"/>
      <c r="E216" s="87"/>
      <c r="F216" s="87"/>
      <c r="G216" s="140"/>
      <c r="H216" s="87"/>
      <c r="I216" s="87"/>
      <c r="J216" s="87"/>
      <c r="K216" s="86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8.75" customHeight="1">
      <c r="A217" s="87"/>
      <c r="B217" s="87"/>
      <c r="C217" s="87"/>
      <c r="D217" s="87"/>
      <c r="E217" s="87"/>
      <c r="F217" s="87"/>
      <c r="G217" s="140"/>
      <c r="H217" s="87"/>
      <c r="I217" s="87"/>
      <c r="J217" s="87"/>
      <c r="K217" s="86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8.75" customHeight="1">
      <c r="A218" s="87"/>
      <c r="B218" s="87"/>
      <c r="C218" s="87"/>
      <c r="D218" s="87"/>
      <c r="E218" s="87"/>
      <c r="F218" s="87"/>
      <c r="G218" s="140"/>
      <c r="H218" s="87"/>
      <c r="I218" s="87"/>
      <c r="J218" s="87"/>
      <c r="K218" s="86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8.75" customHeight="1">
      <c r="A219" s="87"/>
      <c r="B219" s="87"/>
      <c r="C219" s="87"/>
      <c r="D219" s="87"/>
      <c r="E219" s="87"/>
      <c r="F219" s="87"/>
      <c r="G219" s="140"/>
      <c r="H219" s="87"/>
      <c r="I219" s="87"/>
      <c r="J219" s="87"/>
      <c r="K219" s="86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8.75" customHeight="1">
      <c r="A220" s="87"/>
      <c r="B220" s="87"/>
      <c r="C220" s="87"/>
      <c r="D220" s="87"/>
      <c r="E220" s="87"/>
      <c r="F220" s="87"/>
      <c r="G220" s="140"/>
      <c r="H220" s="87"/>
      <c r="I220" s="87"/>
      <c r="J220" s="87"/>
      <c r="K220" s="86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8.75" customHeight="1">
      <c r="A221" s="87"/>
      <c r="B221" s="87"/>
      <c r="C221" s="87"/>
      <c r="D221" s="87"/>
      <c r="E221" s="87"/>
      <c r="F221" s="87"/>
      <c r="G221" s="140"/>
      <c r="H221" s="87"/>
      <c r="I221" s="87"/>
      <c r="J221" s="87"/>
      <c r="K221" s="86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8.75" customHeight="1">
      <c r="A222" s="87"/>
      <c r="B222" s="87"/>
      <c r="C222" s="87"/>
      <c r="D222" s="87"/>
      <c r="E222" s="87"/>
      <c r="F222" s="87"/>
      <c r="G222" s="140"/>
      <c r="H222" s="87"/>
      <c r="I222" s="87"/>
      <c r="J222" s="87"/>
      <c r="K222" s="86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8.75" customHeight="1">
      <c r="A223" s="87"/>
      <c r="B223" s="87"/>
      <c r="C223" s="87"/>
      <c r="D223" s="87"/>
      <c r="E223" s="87"/>
      <c r="F223" s="87"/>
      <c r="G223" s="140"/>
      <c r="H223" s="87"/>
      <c r="I223" s="87"/>
      <c r="J223" s="87"/>
      <c r="K223" s="86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8.75" customHeight="1">
      <c r="A224" s="87"/>
      <c r="B224" s="87"/>
      <c r="C224" s="87"/>
      <c r="D224" s="87"/>
      <c r="E224" s="87"/>
      <c r="F224" s="87"/>
      <c r="G224" s="140"/>
      <c r="H224" s="87"/>
      <c r="I224" s="87"/>
      <c r="J224" s="87"/>
      <c r="K224" s="86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8.75" customHeight="1">
      <c r="A225" s="87"/>
      <c r="B225" s="87"/>
      <c r="C225" s="87"/>
      <c r="D225" s="87"/>
      <c r="E225" s="87"/>
      <c r="F225" s="87"/>
      <c r="G225" s="140"/>
      <c r="H225" s="87"/>
      <c r="I225" s="87"/>
      <c r="J225" s="87"/>
      <c r="K225" s="86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8.75" customHeight="1">
      <c r="A226" s="87"/>
      <c r="B226" s="87"/>
      <c r="C226" s="87"/>
      <c r="D226" s="87"/>
      <c r="E226" s="87"/>
      <c r="F226" s="87"/>
      <c r="G226" s="140"/>
      <c r="H226" s="87"/>
      <c r="I226" s="87"/>
      <c r="J226" s="87"/>
      <c r="K226" s="86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8.75" customHeight="1">
      <c r="A227" s="87"/>
      <c r="B227" s="87"/>
      <c r="C227" s="87"/>
      <c r="D227" s="87"/>
      <c r="E227" s="87"/>
      <c r="F227" s="87"/>
      <c r="G227" s="140"/>
      <c r="H227" s="87"/>
      <c r="I227" s="87"/>
      <c r="J227" s="87"/>
      <c r="K227" s="86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8.75" customHeight="1">
      <c r="A228" s="87"/>
      <c r="B228" s="87"/>
      <c r="C228" s="87"/>
      <c r="D228" s="87"/>
      <c r="E228" s="87"/>
      <c r="F228" s="87"/>
      <c r="G228" s="140"/>
      <c r="H228" s="87"/>
      <c r="I228" s="87"/>
      <c r="J228" s="87"/>
      <c r="K228" s="86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8.75" customHeight="1">
      <c r="A229" s="87"/>
      <c r="B229" s="87"/>
      <c r="C229" s="87"/>
      <c r="D229" s="87"/>
      <c r="E229" s="87"/>
      <c r="F229" s="87"/>
      <c r="G229" s="140"/>
      <c r="H229" s="87"/>
      <c r="I229" s="87"/>
      <c r="J229" s="87"/>
      <c r="K229" s="86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8.75" customHeight="1">
      <c r="A230" s="87"/>
      <c r="B230" s="87"/>
      <c r="C230" s="87"/>
      <c r="D230" s="87"/>
      <c r="E230" s="87"/>
      <c r="F230" s="87"/>
      <c r="G230" s="140"/>
      <c r="H230" s="87"/>
      <c r="I230" s="87"/>
      <c r="J230" s="87"/>
      <c r="K230" s="86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8.75" customHeight="1">
      <c r="A231" s="87"/>
      <c r="B231" s="87"/>
      <c r="C231" s="87"/>
      <c r="D231" s="87"/>
      <c r="E231" s="87"/>
      <c r="F231" s="87"/>
      <c r="G231" s="140"/>
      <c r="H231" s="87"/>
      <c r="I231" s="87"/>
      <c r="J231" s="87"/>
      <c r="K231" s="86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8.75" customHeight="1">
      <c r="A232" s="87"/>
      <c r="B232" s="87"/>
      <c r="C232" s="87"/>
      <c r="D232" s="87"/>
      <c r="E232" s="87"/>
      <c r="F232" s="87"/>
      <c r="G232" s="140"/>
      <c r="H232" s="87"/>
      <c r="I232" s="87"/>
      <c r="J232" s="87"/>
      <c r="K232" s="86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8.75" customHeight="1">
      <c r="A233" s="87"/>
      <c r="B233" s="87"/>
      <c r="C233" s="87"/>
      <c r="D233" s="87"/>
      <c r="E233" s="87"/>
      <c r="F233" s="87"/>
      <c r="G233" s="140"/>
      <c r="H233" s="87"/>
      <c r="I233" s="87"/>
      <c r="J233" s="87"/>
      <c r="K233" s="86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8.75" customHeight="1">
      <c r="A234" s="87"/>
      <c r="B234" s="87"/>
      <c r="C234" s="87"/>
      <c r="D234" s="87"/>
      <c r="E234" s="87"/>
      <c r="F234" s="87"/>
      <c r="G234" s="140"/>
      <c r="H234" s="87"/>
      <c r="I234" s="87"/>
      <c r="J234" s="87"/>
      <c r="K234" s="86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8.75" customHeight="1">
      <c r="A235" s="87"/>
      <c r="B235" s="87"/>
      <c r="C235" s="87"/>
      <c r="D235" s="87"/>
      <c r="E235" s="87"/>
      <c r="F235" s="87"/>
      <c r="G235" s="140"/>
      <c r="H235" s="87"/>
      <c r="I235" s="87"/>
      <c r="J235" s="87"/>
      <c r="K235" s="86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8.75" customHeight="1">
      <c r="A236" s="87"/>
      <c r="B236" s="87"/>
      <c r="C236" s="87"/>
      <c r="D236" s="87"/>
      <c r="E236" s="87"/>
      <c r="F236" s="87"/>
      <c r="G236" s="140"/>
      <c r="H236" s="87"/>
      <c r="I236" s="87"/>
      <c r="J236" s="87"/>
      <c r="K236" s="86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8.75" customHeight="1">
      <c r="A237" s="87"/>
      <c r="B237" s="87"/>
      <c r="C237" s="87"/>
      <c r="D237" s="87"/>
      <c r="E237" s="87"/>
      <c r="F237" s="87"/>
      <c r="G237" s="140"/>
      <c r="H237" s="87"/>
      <c r="I237" s="87"/>
      <c r="J237" s="87"/>
      <c r="K237" s="86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8.75" customHeight="1">
      <c r="A238" s="87"/>
      <c r="B238" s="87"/>
      <c r="C238" s="87"/>
      <c r="D238" s="87"/>
      <c r="E238" s="87"/>
      <c r="F238" s="87"/>
      <c r="G238" s="140"/>
      <c r="H238" s="87"/>
      <c r="I238" s="87"/>
      <c r="J238" s="87"/>
      <c r="K238" s="86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8.75" customHeight="1">
      <c r="A239" s="87"/>
      <c r="B239" s="87"/>
      <c r="C239" s="87"/>
      <c r="D239" s="87"/>
      <c r="E239" s="87"/>
      <c r="F239" s="87"/>
      <c r="G239" s="140"/>
      <c r="H239" s="87"/>
      <c r="I239" s="87"/>
      <c r="J239" s="87"/>
      <c r="K239" s="86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8.75" customHeight="1">
      <c r="A240" s="87"/>
      <c r="B240" s="87"/>
      <c r="C240" s="87"/>
      <c r="D240" s="87"/>
      <c r="E240" s="87"/>
      <c r="F240" s="87"/>
      <c r="G240" s="140"/>
      <c r="H240" s="87"/>
      <c r="I240" s="87"/>
      <c r="J240" s="87"/>
      <c r="K240" s="86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8.75" customHeight="1">
      <c r="A241" s="87"/>
      <c r="B241" s="87"/>
      <c r="C241" s="87"/>
      <c r="D241" s="87"/>
      <c r="E241" s="87"/>
      <c r="F241" s="87"/>
      <c r="G241" s="140"/>
      <c r="H241" s="87"/>
      <c r="I241" s="87"/>
      <c r="J241" s="87"/>
      <c r="K241" s="86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8.75" customHeight="1">
      <c r="A242" s="87"/>
      <c r="B242" s="87"/>
      <c r="C242" s="87"/>
      <c r="D242" s="87"/>
      <c r="E242" s="87"/>
      <c r="F242" s="87"/>
      <c r="G242" s="140"/>
      <c r="H242" s="87"/>
      <c r="I242" s="87"/>
      <c r="J242" s="87"/>
      <c r="K242" s="86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8.75" customHeight="1">
      <c r="A243" s="87"/>
      <c r="B243" s="87"/>
      <c r="C243" s="87"/>
      <c r="D243" s="87"/>
      <c r="E243" s="87"/>
      <c r="F243" s="87"/>
      <c r="G243" s="140"/>
      <c r="H243" s="87"/>
      <c r="I243" s="87"/>
      <c r="J243" s="87"/>
      <c r="K243" s="86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8.75" customHeight="1">
      <c r="A244" s="87"/>
      <c r="B244" s="87"/>
      <c r="C244" s="87"/>
      <c r="D244" s="87"/>
      <c r="E244" s="87"/>
      <c r="F244" s="87"/>
      <c r="G244" s="140"/>
      <c r="H244" s="87"/>
      <c r="I244" s="87"/>
      <c r="J244" s="87"/>
      <c r="K244" s="86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8.75" customHeight="1">
      <c r="A245" s="87"/>
      <c r="B245" s="87"/>
      <c r="C245" s="87"/>
      <c r="D245" s="87"/>
      <c r="E245" s="87"/>
      <c r="F245" s="87"/>
      <c r="G245" s="140"/>
      <c r="H245" s="87"/>
      <c r="I245" s="87"/>
      <c r="J245" s="87"/>
      <c r="K245" s="86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8.75" customHeight="1">
      <c r="A246" s="87"/>
      <c r="B246" s="87"/>
      <c r="C246" s="87"/>
      <c r="D246" s="87"/>
      <c r="E246" s="87"/>
      <c r="F246" s="87"/>
      <c r="G246" s="140"/>
      <c r="H246" s="87"/>
      <c r="I246" s="87"/>
      <c r="J246" s="87"/>
      <c r="K246" s="86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8.75" customHeight="1">
      <c r="A247" s="87"/>
      <c r="B247" s="87"/>
      <c r="C247" s="87"/>
      <c r="D247" s="87"/>
      <c r="E247" s="87"/>
      <c r="F247" s="87"/>
      <c r="G247" s="140"/>
      <c r="H247" s="87"/>
      <c r="I247" s="87"/>
      <c r="J247" s="87"/>
      <c r="K247" s="86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8.75" customHeight="1">
      <c r="A248" s="87"/>
      <c r="B248" s="87"/>
      <c r="C248" s="87"/>
      <c r="D248" s="87"/>
      <c r="E248" s="87"/>
      <c r="F248" s="87"/>
      <c r="G248" s="140"/>
      <c r="H248" s="87"/>
      <c r="I248" s="87"/>
      <c r="J248" s="87"/>
      <c r="K248" s="86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8.75" customHeight="1">
      <c r="A249" s="87"/>
      <c r="B249" s="87"/>
      <c r="C249" s="87"/>
      <c r="D249" s="87"/>
      <c r="E249" s="87"/>
      <c r="F249" s="87"/>
      <c r="G249" s="140"/>
      <c r="H249" s="87"/>
      <c r="I249" s="87"/>
      <c r="J249" s="87"/>
      <c r="K249" s="86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8.75" customHeight="1">
      <c r="A250" s="87"/>
      <c r="B250" s="87"/>
      <c r="C250" s="87"/>
      <c r="D250" s="87"/>
      <c r="E250" s="87"/>
      <c r="F250" s="87"/>
      <c r="G250" s="140"/>
      <c r="H250" s="87"/>
      <c r="I250" s="87"/>
      <c r="J250" s="87"/>
      <c r="K250" s="86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8.75" customHeight="1">
      <c r="A251" s="87"/>
      <c r="B251" s="87"/>
      <c r="C251" s="87"/>
      <c r="D251" s="87"/>
      <c r="E251" s="87"/>
      <c r="F251" s="87"/>
      <c r="G251" s="140"/>
      <c r="H251" s="87"/>
      <c r="I251" s="87"/>
      <c r="J251" s="87"/>
      <c r="K251" s="86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8.75" customHeight="1">
      <c r="A252" s="87"/>
      <c r="B252" s="87"/>
      <c r="C252" s="87"/>
      <c r="D252" s="87"/>
      <c r="E252" s="87"/>
      <c r="F252" s="87"/>
      <c r="G252" s="140"/>
      <c r="H252" s="87"/>
      <c r="I252" s="87"/>
      <c r="J252" s="87"/>
      <c r="K252" s="86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8.75" customHeight="1">
      <c r="A253" s="87"/>
      <c r="B253" s="87"/>
      <c r="C253" s="87"/>
      <c r="D253" s="87"/>
      <c r="E253" s="87"/>
      <c r="F253" s="87"/>
      <c r="G253" s="140"/>
      <c r="H253" s="87"/>
      <c r="I253" s="87"/>
      <c r="J253" s="87"/>
      <c r="K253" s="86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8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8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8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8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8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8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8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8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8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8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8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8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8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8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8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8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8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8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8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8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8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8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8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8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8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8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8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8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8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8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8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8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8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8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8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8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8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8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8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8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8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8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8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8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8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8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8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8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8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8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8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8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8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8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8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8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8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8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8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8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8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8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8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8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8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8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8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8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8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8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8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8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8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8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8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8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8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8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8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8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8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8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8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8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8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8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8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8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8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8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8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8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8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8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8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8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8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8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8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8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8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8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8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8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8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8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8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8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8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8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8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8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8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8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8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8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8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8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8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8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8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8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8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8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8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8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8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8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8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8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8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8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8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8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8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8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8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8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8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8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8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8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8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8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8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8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8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8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8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8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8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8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8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8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8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8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8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8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8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8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8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8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8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8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8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8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8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8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8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8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8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8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8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8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8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8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8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8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8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8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8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8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8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8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8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8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8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8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8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8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8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8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8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8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8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8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8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8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8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8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8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8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8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8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8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8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8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8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8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8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8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8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8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8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8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8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8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8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8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8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8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8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8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8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8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8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8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8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8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8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8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8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8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8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8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8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8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8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8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8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8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8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8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8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8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8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8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8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8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8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8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8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8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8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8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8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8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8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8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8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8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8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8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8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8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8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8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8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8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8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8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8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8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8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8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8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8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8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8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8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8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8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8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8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8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8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8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8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8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8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8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8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8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8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8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8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8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8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8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8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8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8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8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8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8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8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8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8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8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8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8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8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8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8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8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8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8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8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8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8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8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8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8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8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8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8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8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8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8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8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8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8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8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8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8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8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8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8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8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8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8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8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8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8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8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8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8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8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8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8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8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8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8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8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8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8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8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8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8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8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8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8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8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8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8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8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8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8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8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8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8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8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8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8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8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8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8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8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8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8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8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8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8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8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8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8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8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8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8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8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8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8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8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8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8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8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8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8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8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8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8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8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8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8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8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8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8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8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8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8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8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8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8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8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8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8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8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8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8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8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8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8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8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8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8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8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8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8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8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8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8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8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8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8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8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8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8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8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8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8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8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8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8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8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8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8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8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8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8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8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8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8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8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8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8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8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8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8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8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8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8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8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8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8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8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8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8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8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8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8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8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8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8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8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8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8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8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8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8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8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8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8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8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8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8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8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8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8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8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8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8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8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8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8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8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8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8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8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8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8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8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8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8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8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8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8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8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8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8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8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8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8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8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8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8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8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8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8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8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8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8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8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8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8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8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8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8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8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8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8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8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8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8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8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8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8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8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8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8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8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8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8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8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8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8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8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8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8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8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8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8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8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8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8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8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8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8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8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8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8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8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8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8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8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8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8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8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8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8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8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8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8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8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8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8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8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8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8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8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8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8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8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8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8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8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8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8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8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8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8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8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8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8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8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8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8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8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8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8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8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8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8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8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8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8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8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8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8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8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8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8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8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8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8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8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8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8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8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8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8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8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8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8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8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8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8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8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8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8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8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8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8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8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8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8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8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8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8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8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8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8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8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8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8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8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8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8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8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8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8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8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8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8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8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8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8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8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8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8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8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8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8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8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8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8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8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8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8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8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8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8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8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8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8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8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8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8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8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8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8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8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8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8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8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8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8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8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8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8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8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8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8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8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8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8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8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8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8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8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8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8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8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8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8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8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8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8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8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8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8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8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8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8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8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8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8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8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8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8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8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8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8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8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8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8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</sheetData>
  <mergeCells count="7">
    <mergeCell ref="A1:B1"/>
    <mergeCell ref="A2:A3"/>
    <mergeCell ref="B2:B3"/>
    <mergeCell ref="C2:D2"/>
    <mergeCell ref="E2:E3"/>
    <mergeCell ref="F2:F3"/>
    <mergeCell ref="G2:G3"/>
  </mergeCells>
  <dataValidations>
    <dataValidation type="list" allowBlank="1" showErrorMessage="1" sqref="F1 F4:F978">
      <formula1>"GPT - 10/10,GPT - 24/10,Đất Lâm Đồng Tháng 10,PKH - T09,Chị Hường 20/10,vn 10,vn 6,vn 7,Charm Long Hải - GPT - T10,Đất Phương Nam - 12/10"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4" width="14.0"/>
    <col customWidth="1" min="5" max="5" width="10.0"/>
    <col customWidth="1" min="6" max="6" width="30.0"/>
    <col customWidth="1" min="7" max="7" width="21.0"/>
    <col customWidth="1" min="8" max="8" width="3.71"/>
    <col customWidth="1" min="9" max="9" width="28.14"/>
    <col customWidth="1" min="10" max="11" width="14.0"/>
    <col customWidth="1" min="12" max="12" width="3.71"/>
    <col customWidth="1" min="13" max="13" width="27.0"/>
    <col customWidth="1" min="14" max="25" width="14.0"/>
  </cols>
  <sheetData>
    <row r="1" ht="21.75" customHeight="1">
      <c r="A1" s="79" t="s">
        <v>56</v>
      </c>
      <c r="B1" s="80"/>
      <c r="C1" s="81"/>
      <c r="D1" s="82"/>
      <c r="E1" s="83" t="s">
        <v>49</v>
      </c>
      <c r="F1" s="84"/>
      <c r="G1" s="82"/>
      <c r="H1" s="145"/>
      <c r="I1" s="85"/>
      <c r="J1" s="86"/>
      <c r="K1" s="85"/>
      <c r="L1" s="85"/>
      <c r="M1" s="85"/>
      <c r="N1" s="85"/>
      <c r="O1" s="85"/>
      <c r="P1" s="85"/>
      <c r="Q1" s="85"/>
      <c r="R1" s="85"/>
      <c r="S1" s="85"/>
      <c r="T1" s="85"/>
      <c r="U1" s="87"/>
      <c r="V1" s="87"/>
      <c r="W1" s="87"/>
      <c r="X1" s="87"/>
      <c r="Y1" s="87"/>
    </row>
    <row r="2" ht="18.75" customHeight="1">
      <c r="A2" s="88" t="s">
        <v>0</v>
      </c>
      <c r="B2" s="89" t="s">
        <v>57</v>
      </c>
      <c r="C2" s="90" t="s">
        <v>2</v>
      </c>
      <c r="D2" s="4"/>
      <c r="E2" s="91" t="s">
        <v>3</v>
      </c>
      <c r="F2" s="92" t="s">
        <v>4</v>
      </c>
      <c r="G2" s="93" t="s">
        <v>5</v>
      </c>
      <c r="H2" s="145"/>
      <c r="I2" s="87"/>
      <c r="J2" s="86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 ht="18.75" customHeight="1">
      <c r="A3" s="6"/>
      <c r="B3" s="7"/>
      <c r="C3" s="94" t="s">
        <v>6</v>
      </c>
      <c r="D3" s="95" t="s">
        <v>7</v>
      </c>
      <c r="E3" s="96"/>
      <c r="F3" s="96"/>
      <c r="G3" s="80"/>
      <c r="H3" s="146"/>
      <c r="I3" s="97" t="s">
        <v>58</v>
      </c>
      <c r="J3" s="97" t="s">
        <v>8</v>
      </c>
      <c r="K3" s="97" t="s">
        <v>9</v>
      </c>
      <c r="L3" s="87"/>
      <c r="M3" s="98" t="s">
        <v>9</v>
      </c>
      <c r="N3" s="99" t="s">
        <v>2</v>
      </c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 ht="18.75" customHeight="1">
      <c r="A4" s="13">
        <v>1.0</v>
      </c>
      <c r="B4" s="130">
        <v>45982.0</v>
      </c>
      <c r="C4" s="133">
        <v>2000000.0</v>
      </c>
      <c r="D4" s="134"/>
      <c r="E4" s="102"/>
      <c r="F4" s="102"/>
      <c r="G4" s="102"/>
      <c r="H4" s="147">
        <v>1.0</v>
      </c>
      <c r="I4" s="104" t="s">
        <v>11</v>
      </c>
      <c r="J4" s="105">
        <f>SUMIF($E$4:$E$126,1,$C$4:$C$2142)</f>
        <v>0</v>
      </c>
      <c r="K4" s="105">
        <f>SUMIF($E$4:$E$126,1,$D$4:$D$2148)</f>
        <v>0</v>
      </c>
      <c r="L4" s="87"/>
      <c r="M4" s="104" t="s">
        <v>17</v>
      </c>
      <c r="N4" s="105">
        <f t="shared" ref="N4:N13" si="1">SUMIF($F$4:$F$126,M4,$D$4:$D$2148)</f>
        <v>0</v>
      </c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</row>
    <row r="5" ht="18.75" customHeight="1">
      <c r="A5" s="13">
        <v>2.0</v>
      </c>
      <c r="B5" s="130">
        <v>45982.0</v>
      </c>
      <c r="C5" s="116"/>
      <c r="D5" s="131">
        <v>5211770.0</v>
      </c>
      <c r="E5" s="102"/>
      <c r="F5" s="102"/>
      <c r="G5" s="102"/>
      <c r="H5" s="147">
        <v>2.0</v>
      </c>
      <c r="I5" s="104" t="s">
        <v>12</v>
      </c>
      <c r="J5" s="105">
        <f>SUMIF($E$4:$E$126,2,$C$4:$C$2142)</f>
        <v>0</v>
      </c>
      <c r="K5" s="105">
        <f>SUMIF($E$4:$E$126,2,$D$4:$D$2148)</f>
        <v>0</v>
      </c>
      <c r="L5" s="87"/>
      <c r="M5" s="104" t="s">
        <v>18</v>
      </c>
      <c r="N5" s="105">
        <f t="shared" si="1"/>
        <v>0</v>
      </c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</row>
    <row r="6" ht="18.75" customHeight="1">
      <c r="A6" s="13">
        <v>3.0</v>
      </c>
      <c r="B6" s="130">
        <v>45983.0</v>
      </c>
      <c r="C6" s="133">
        <v>4000000.0</v>
      </c>
      <c r="D6" s="134"/>
      <c r="E6" s="102"/>
      <c r="F6" s="102"/>
      <c r="G6" s="102"/>
      <c r="H6" s="147">
        <v>3.0</v>
      </c>
      <c r="I6" s="104" t="s">
        <v>14</v>
      </c>
      <c r="J6" s="105">
        <f>SUMIF($E$4:$E$126,3,$C$4:$C$2142)</f>
        <v>0</v>
      </c>
      <c r="K6" s="105">
        <f>SUMIF($E$4:$E$126,3,$D$4:$D$2148)</f>
        <v>0</v>
      </c>
      <c r="L6" s="87"/>
      <c r="M6" s="104" t="s">
        <v>60</v>
      </c>
      <c r="N6" s="105">
        <f t="shared" si="1"/>
        <v>0</v>
      </c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</row>
    <row r="7" ht="18.75" customHeight="1">
      <c r="A7" s="13">
        <v>4.0</v>
      </c>
      <c r="B7" s="130">
        <v>45983.0</v>
      </c>
      <c r="C7" s="116"/>
      <c r="D7" s="131">
        <v>5545318.0</v>
      </c>
      <c r="E7" s="102"/>
      <c r="F7" s="102"/>
      <c r="G7" s="102"/>
      <c r="H7" s="147">
        <v>4.0</v>
      </c>
      <c r="I7" s="104" t="s">
        <v>15</v>
      </c>
      <c r="J7" s="105">
        <f>SUMIF($E$4:$E$126,4,$C$4:$C$2142)</f>
        <v>0</v>
      </c>
      <c r="K7" s="105">
        <f>SUMIF($E$4:$E$126,4,$D$4:$D$2148)</f>
        <v>0</v>
      </c>
      <c r="L7" s="87"/>
      <c r="M7" s="104" t="s">
        <v>20</v>
      </c>
      <c r="N7" s="105">
        <f t="shared" si="1"/>
        <v>0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</row>
    <row r="8" ht="18.75" customHeight="1">
      <c r="A8" s="13">
        <v>5.0</v>
      </c>
      <c r="B8" s="130">
        <v>45985.0</v>
      </c>
      <c r="C8" s="116"/>
      <c r="D8" s="131">
        <v>639405.0</v>
      </c>
      <c r="E8" s="102"/>
      <c r="F8" s="102"/>
      <c r="G8" s="102"/>
      <c r="H8" s="146"/>
      <c r="I8" s="87"/>
      <c r="J8" s="86"/>
      <c r="K8" s="87"/>
      <c r="L8" s="87"/>
      <c r="M8" s="104" t="s">
        <v>62</v>
      </c>
      <c r="N8" s="105">
        <f t="shared" si="1"/>
        <v>0</v>
      </c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</row>
    <row r="9" ht="18.75" customHeight="1">
      <c r="A9" s="13">
        <v>6.0</v>
      </c>
      <c r="B9" s="130">
        <v>45985.0</v>
      </c>
      <c r="C9" s="116"/>
      <c r="D9" s="131">
        <v>1278809.0</v>
      </c>
      <c r="E9" s="102"/>
      <c r="F9" s="102"/>
      <c r="G9" s="102"/>
      <c r="H9" s="146"/>
      <c r="I9" s="103" t="s">
        <v>77</v>
      </c>
      <c r="J9" s="87"/>
      <c r="K9" s="87"/>
      <c r="L9" s="87"/>
      <c r="M9" s="104" t="s">
        <v>64</v>
      </c>
      <c r="N9" s="105">
        <f t="shared" si="1"/>
        <v>0</v>
      </c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</row>
    <row r="10" ht="18.75" customHeight="1">
      <c r="A10" s="68">
        <v>7.0</v>
      </c>
      <c r="B10" s="130">
        <v>45985.0</v>
      </c>
      <c r="C10" s="133">
        <v>2.0E7</v>
      </c>
      <c r="D10" s="134"/>
      <c r="E10" s="102"/>
      <c r="F10" s="102"/>
      <c r="G10" s="102"/>
      <c r="H10" s="146"/>
      <c r="I10" s="103">
        <v>5051330.0</v>
      </c>
      <c r="J10" s="148">
        <v>1.0</v>
      </c>
      <c r="K10" s="87"/>
      <c r="L10" s="85"/>
      <c r="M10" s="104" t="s">
        <v>65</v>
      </c>
      <c r="N10" s="105">
        <f t="shared" si="1"/>
        <v>0</v>
      </c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 ht="18.75" customHeight="1">
      <c r="A11" s="69">
        <v>8.0</v>
      </c>
      <c r="B11" s="130">
        <v>45985.0</v>
      </c>
      <c r="C11" s="116"/>
      <c r="D11" s="131">
        <v>3197028.0</v>
      </c>
      <c r="E11" s="102"/>
      <c r="F11" s="102"/>
      <c r="G11" s="102"/>
      <c r="H11" s="146"/>
      <c r="I11" s="103">
        <v>55565.0</v>
      </c>
      <c r="J11" s="149">
        <f>I11*J10/I10</f>
        <v>0.01100007325</v>
      </c>
      <c r="K11" s="87"/>
      <c r="L11" s="85"/>
      <c r="M11" s="104" t="s">
        <v>63</v>
      </c>
      <c r="N11" s="105">
        <f t="shared" si="1"/>
        <v>0</v>
      </c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ht="18.75" customHeight="1">
      <c r="A12" s="69">
        <v>9.0</v>
      </c>
      <c r="B12" s="130">
        <v>45986.0</v>
      </c>
      <c r="C12" s="116"/>
      <c r="D12" s="131">
        <v>430978.0</v>
      </c>
      <c r="E12" s="102"/>
      <c r="F12" s="102"/>
      <c r="G12" s="102"/>
      <c r="H12" s="146"/>
      <c r="I12" s="103">
        <v>5891578.0</v>
      </c>
      <c r="J12" s="148">
        <v>1.0</v>
      </c>
      <c r="K12" s="87"/>
      <c r="L12" s="85"/>
      <c r="M12" s="104" t="s">
        <v>66</v>
      </c>
      <c r="N12" s="105">
        <f t="shared" si="1"/>
        <v>0</v>
      </c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</row>
    <row r="13" ht="18.75" customHeight="1">
      <c r="A13" s="13">
        <v>10.0</v>
      </c>
      <c r="B13" s="130">
        <v>45986.0</v>
      </c>
      <c r="C13" s="116"/>
      <c r="D13" s="131">
        <v>5051330.0</v>
      </c>
      <c r="E13" s="102"/>
      <c r="F13" s="102"/>
      <c r="G13" s="102"/>
      <c r="H13" s="146"/>
      <c r="I13" s="103">
        <v>64807.0</v>
      </c>
      <c r="J13" s="150">
        <f>I13*J12/I12</f>
        <v>0.01099993924</v>
      </c>
      <c r="K13" s="87"/>
      <c r="L13" s="85"/>
      <c r="M13" s="104" t="s">
        <v>67</v>
      </c>
      <c r="N13" s="105">
        <f t="shared" si="1"/>
        <v>0</v>
      </c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 ht="18.75" customHeight="1">
      <c r="A14" s="13">
        <v>11.0</v>
      </c>
      <c r="B14" s="130">
        <v>45986.0</v>
      </c>
      <c r="C14" s="116"/>
      <c r="D14" s="131">
        <v>5891578.0</v>
      </c>
      <c r="E14" s="102"/>
      <c r="F14" s="102"/>
      <c r="G14" s="102"/>
      <c r="H14" s="146"/>
      <c r="I14" s="83" t="s">
        <v>68</v>
      </c>
      <c r="J14" s="87"/>
      <c r="K14" s="87"/>
      <c r="L14" s="85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 ht="18.75" customHeight="1">
      <c r="A15" s="13">
        <v>12.0</v>
      </c>
      <c r="B15" s="130">
        <v>45987.0</v>
      </c>
      <c r="C15" s="116"/>
      <c r="D15" s="131">
        <v>195122.0</v>
      </c>
      <c r="E15" s="102"/>
      <c r="F15" s="102"/>
      <c r="G15" s="102"/>
      <c r="H15" s="146"/>
      <c r="I15" s="117" t="s">
        <v>9</v>
      </c>
      <c r="J15" s="118" t="s">
        <v>2</v>
      </c>
      <c r="K15" s="118" t="s">
        <v>1</v>
      </c>
      <c r="L15" s="85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</row>
    <row r="16" ht="18.75" customHeight="1">
      <c r="A16" s="13">
        <v>13.0</v>
      </c>
      <c r="B16" s="130">
        <v>45987.0</v>
      </c>
      <c r="C16" s="133">
        <v>1.0E7</v>
      </c>
      <c r="D16" s="134"/>
      <c r="E16" s="102"/>
      <c r="F16" s="102"/>
      <c r="G16" s="102"/>
      <c r="H16" s="140"/>
      <c r="I16" s="104"/>
      <c r="J16" s="105"/>
      <c r="K16" s="104"/>
      <c r="L16" s="85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</row>
    <row r="17" ht="18.75" customHeight="1">
      <c r="A17" s="13">
        <v>14.0</v>
      </c>
      <c r="B17" s="130">
        <v>45987.0</v>
      </c>
      <c r="C17" s="116"/>
      <c r="D17" s="131">
        <v>879999.0</v>
      </c>
      <c r="E17" s="102"/>
      <c r="F17" s="102"/>
      <c r="G17" s="102"/>
      <c r="H17" s="140"/>
      <c r="I17" s="104"/>
      <c r="J17" s="105"/>
      <c r="K17" s="119"/>
      <c r="L17" s="85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 ht="18.75" customHeight="1">
      <c r="A18" s="13">
        <v>15.0</v>
      </c>
      <c r="B18" s="130">
        <v>45988.0</v>
      </c>
      <c r="C18" s="116"/>
      <c r="D18" s="131">
        <v>6254182.0</v>
      </c>
      <c r="E18" s="102"/>
      <c r="F18" s="102"/>
      <c r="G18" s="102"/>
      <c r="H18" s="140"/>
      <c r="I18" s="104"/>
      <c r="J18" s="105"/>
      <c r="K18" s="104"/>
      <c r="L18" s="85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</row>
    <row r="19" ht="18.75" customHeight="1">
      <c r="A19" s="13">
        <v>16.0</v>
      </c>
      <c r="B19" s="130">
        <v>45988.0</v>
      </c>
      <c r="C19" s="116"/>
      <c r="D19" s="131">
        <v>1079507.0</v>
      </c>
      <c r="E19" s="102"/>
      <c r="F19" s="102"/>
      <c r="G19" s="102"/>
      <c r="H19" s="140"/>
      <c r="I19" s="104"/>
      <c r="J19" s="105"/>
      <c r="K19" s="119"/>
      <c r="L19" s="85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</row>
    <row r="20" ht="18.75" customHeight="1">
      <c r="A20" s="13">
        <v>17.0</v>
      </c>
      <c r="B20" s="130">
        <v>45989.0</v>
      </c>
      <c r="C20" s="133">
        <v>1.0E7</v>
      </c>
      <c r="D20" s="134"/>
      <c r="E20" s="102"/>
      <c r="F20" s="102"/>
      <c r="G20" s="102"/>
      <c r="H20" s="140"/>
      <c r="I20" s="104"/>
      <c r="J20" s="105"/>
      <c r="K20" s="119"/>
      <c r="L20" s="85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ht="18.75" customHeight="1">
      <c r="A21" s="13">
        <v>18.0</v>
      </c>
      <c r="B21" s="130">
        <v>45989.0</v>
      </c>
      <c r="C21" s="116"/>
      <c r="D21" s="131">
        <v>7554060.0</v>
      </c>
      <c r="E21" s="102"/>
      <c r="F21" s="102"/>
      <c r="G21" s="102"/>
      <c r="H21" s="140"/>
      <c r="I21" s="104"/>
      <c r="J21" s="105"/>
      <c r="K21" s="119"/>
      <c r="L21" s="85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 ht="18.75" customHeight="1">
      <c r="A22" s="13">
        <v>19.0</v>
      </c>
      <c r="B22" s="130">
        <v>45989.0</v>
      </c>
      <c r="C22" s="116"/>
      <c r="D22" s="131">
        <v>3148031.0</v>
      </c>
      <c r="E22" s="102"/>
      <c r="F22" s="102"/>
      <c r="G22" s="102"/>
      <c r="H22" s="140"/>
      <c r="I22" s="104"/>
      <c r="J22" s="105"/>
      <c r="K22" s="119"/>
      <c r="L22" s="85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</row>
    <row r="23" ht="18.75" customHeight="1">
      <c r="A23" s="13">
        <v>20.0</v>
      </c>
      <c r="B23" s="130">
        <v>45989.0</v>
      </c>
      <c r="C23" s="116"/>
      <c r="D23" s="131">
        <v>770536.0</v>
      </c>
      <c r="E23" s="102"/>
      <c r="F23" s="102"/>
      <c r="G23" s="102"/>
      <c r="H23" s="140"/>
      <c r="I23" s="104"/>
      <c r="J23" s="105"/>
      <c r="K23" s="119"/>
      <c r="L23" s="85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</row>
    <row r="24" ht="18.75" customHeight="1">
      <c r="A24" s="13">
        <v>21.0</v>
      </c>
      <c r="B24" s="130">
        <v>45989.0</v>
      </c>
      <c r="C24" s="116"/>
      <c r="D24" s="131">
        <v>5420286.0</v>
      </c>
      <c r="E24" s="102"/>
      <c r="F24" s="102"/>
      <c r="G24" s="102"/>
      <c r="H24" s="140"/>
      <c r="I24" s="104"/>
      <c r="J24" s="105"/>
      <c r="K24" s="119"/>
      <c r="L24" s="85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</row>
    <row r="25" ht="18.75" customHeight="1">
      <c r="A25" s="13">
        <v>22.0</v>
      </c>
      <c r="B25" s="130">
        <v>45989.0</v>
      </c>
      <c r="C25" s="151"/>
      <c r="D25" s="131">
        <v>313399.0</v>
      </c>
      <c r="E25" s="102"/>
      <c r="F25" s="102"/>
      <c r="G25" s="102"/>
      <c r="H25" s="140"/>
      <c r="I25" s="104"/>
      <c r="J25" s="105"/>
      <c r="K25" s="119"/>
      <c r="L25" s="85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</row>
    <row r="26" ht="18.75" customHeight="1">
      <c r="A26" s="13">
        <v>23.0</v>
      </c>
      <c r="B26" s="130">
        <v>45989.0</v>
      </c>
      <c r="C26" s="133">
        <v>1.0E7</v>
      </c>
      <c r="D26" s="134"/>
      <c r="E26" s="102"/>
      <c r="F26" s="102"/>
      <c r="G26" s="102"/>
      <c r="H26" s="140"/>
      <c r="I26" s="104"/>
      <c r="J26" s="105"/>
      <c r="K26" s="119"/>
      <c r="L26" s="85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</row>
    <row r="27" ht="18.75" customHeight="1">
      <c r="A27" s="13">
        <v>24.0</v>
      </c>
      <c r="B27" s="130">
        <v>45989.0</v>
      </c>
      <c r="C27" s="116"/>
      <c r="D27" s="152">
        <v>2679544.0</v>
      </c>
      <c r="E27" s="102"/>
      <c r="F27" s="102"/>
      <c r="G27" s="102"/>
      <c r="H27" s="140"/>
      <c r="I27" s="104"/>
      <c r="J27" s="105"/>
      <c r="K27" s="119"/>
      <c r="L27" s="85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</row>
    <row r="28" ht="18.75" customHeight="1">
      <c r="A28" s="13">
        <v>25.0</v>
      </c>
      <c r="B28" s="130">
        <v>45989.0</v>
      </c>
      <c r="C28" s="133">
        <v>1.0E7</v>
      </c>
      <c r="D28" s="134"/>
      <c r="E28" s="102"/>
      <c r="F28" s="102"/>
      <c r="G28" s="102"/>
      <c r="H28" s="140"/>
      <c r="I28" s="104"/>
      <c r="J28" s="105"/>
      <c r="K28" s="119"/>
      <c r="L28" s="85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</row>
    <row r="29" ht="18.75" customHeight="1">
      <c r="A29" s="13">
        <v>26.0</v>
      </c>
      <c r="B29" s="130">
        <v>45990.0</v>
      </c>
      <c r="C29" s="116"/>
      <c r="D29" s="131">
        <v>2022061.0</v>
      </c>
      <c r="E29" s="102"/>
      <c r="F29" s="102"/>
      <c r="G29" s="102"/>
      <c r="H29" s="140"/>
      <c r="I29" s="104"/>
      <c r="J29" s="105"/>
      <c r="K29" s="119"/>
      <c r="L29" s="85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</row>
    <row r="30" ht="18.75" customHeight="1">
      <c r="A30" s="13">
        <v>27.0</v>
      </c>
      <c r="B30" s="130">
        <v>45990.0</v>
      </c>
      <c r="C30" s="116"/>
      <c r="D30" s="131">
        <v>1473761.0</v>
      </c>
      <c r="E30" s="102"/>
      <c r="F30" s="102"/>
      <c r="G30" s="102"/>
      <c r="H30" s="140"/>
      <c r="I30" s="104"/>
      <c r="J30" s="105"/>
      <c r="K30" s="104"/>
      <c r="L30" s="85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</row>
    <row r="31" ht="18.75" customHeight="1">
      <c r="A31" s="13">
        <v>28.0</v>
      </c>
      <c r="B31" s="130">
        <v>45991.0</v>
      </c>
      <c r="C31" s="116"/>
      <c r="D31" s="131">
        <v>2162192.0</v>
      </c>
      <c r="E31" s="102"/>
      <c r="F31" s="102"/>
      <c r="G31" s="102"/>
      <c r="H31" s="140"/>
      <c r="I31" s="104"/>
      <c r="J31" s="105"/>
      <c r="K31" s="104"/>
      <c r="L31" s="85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</row>
    <row r="32" ht="18.75" customHeight="1">
      <c r="A32" s="13">
        <v>29.0</v>
      </c>
      <c r="B32" s="130">
        <v>45991.0</v>
      </c>
      <c r="C32" s="116"/>
      <c r="D32" s="131">
        <v>2077064.0</v>
      </c>
      <c r="E32" s="102"/>
      <c r="F32" s="102"/>
      <c r="G32" s="102"/>
      <c r="H32" s="140"/>
      <c r="I32" s="104"/>
      <c r="J32" s="105"/>
      <c r="K32" s="104"/>
      <c r="L32" s="85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</row>
    <row r="33" ht="18.75" customHeight="1">
      <c r="A33" s="13">
        <v>30.0</v>
      </c>
      <c r="B33" s="130">
        <v>45991.0</v>
      </c>
      <c r="C33" s="116"/>
      <c r="D33" s="153">
        <v>2869995.0</v>
      </c>
      <c r="E33" s="102"/>
      <c r="F33" s="102"/>
      <c r="G33" s="102"/>
      <c r="H33" s="140"/>
      <c r="I33" s="104"/>
      <c r="J33" s="105"/>
      <c r="K33" s="119"/>
      <c r="L33" s="85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</row>
    <row r="34" ht="18.75" customHeight="1">
      <c r="A34" s="13">
        <v>31.0</v>
      </c>
      <c r="B34" s="130">
        <v>45991.0</v>
      </c>
      <c r="C34" s="152">
        <v>2679544.0</v>
      </c>
      <c r="D34" s="134"/>
      <c r="E34" s="102"/>
      <c r="F34" s="102"/>
      <c r="G34" s="102"/>
      <c r="H34" s="140"/>
      <c r="I34" s="104"/>
      <c r="J34" s="105"/>
      <c r="K34" s="104"/>
      <c r="L34" s="85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</row>
    <row r="35" ht="18.75" customHeight="1">
      <c r="A35" s="13">
        <v>32.0</v>
      </c>
      <c r="B35" s="130">
        <v>45991.0</v>
      </c>
      <c r="C35" s="116"/>
      <c r="D35" s="131">
        <v>114090.0</v>
      </c>
      <c r="E35" s="102"/>
      <c r="F35" s="102"/>
      <c r="G35" s="102"/>
      <c r="H35" s="146"/>
      <c r="I35" s="126" t="s">
        <v>72</v>
      </c>
      <c r="J35" s="127">
        <f>SUM(J16:J34)</f>
        <v>0</v>
      </c>
      <c r="K35" s="126"/>
      <c r="L35" s="126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</row>
    <row r="36" ht="18.75" customHeight="1">
      <c r="A36" s="13">
        <v>33.0</v>
      </c>
      <c r="B36" s="130">
        <v>45991.0</v>
      </c>
      <c r="C36" s="116"/>
      <c r="D36" s="131">
        <v>1514967.0</v>
      </c>
      <c r="E36" s="102"/>
      <c r="F36" s="102"/>
      <c r="G36" s="102"/>
      <c r="H36" s="146"/>
      <c r="I36" s="126"/>
      <c r="J36" s="127"/>
      <c r="K36" s="126"/>
      <c r="L36" s="126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</row>
    <row r="37" ht="18.75" customHeight="1">
      <c r="A37" s="13">
        <v>34.0</v>
      </c>
      <c r="B37" s="130">
        <v>45991.0</v>
      </c>
      <c r="C37" s="116"/>
      <c r="D37" s="131">
        <v>2277704.0</v>
      </c>
      <c r="E37" s="102"/>
      <c r="F37" s="102"/>
      <c r="G37" s="102"/>
      <c r="H37" s="146"/>
      <c r="I37" s="87"/>
      <c r="J37" s="86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</row>
    <row r="38" ht="18.75" customHeight="1">
      <c r="A38" s="13">
        <v>35.0</v>
      </c>
      <c r="B38" s="130">
        <v>45992.0</v>
      </c>
      <c r="C38" s="116"/>
      <c r="D38" s="131">
        <v>1659825.0</v>
      </c>
      <c r="E38" s="102"/>
      <c r="F38" s="102"/>
      <c r="G38" s="102"/>
      <c r="H38" s="146"/>
      <c r="I38" s="87"/>
      <c r="J38" s="86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</row>
    <row r="39" ht="18.75" customHeight="1">
      <c r="A39" s="13">
        <v>36.0</v>
      </c>
      <c r="B39" s="130">
        <v>45992.0</v>
      </c>
      <c r="C39" s="133">
        <v>1.0E7</v>
      </c>
      <c r="D39" s="134"/>
      <c r="E39" s="102"/>
      <c r="F39" s="102"/>
      <c r="G39" s="102"/>
      <c r="H39" s="146"/>
      <c r="I39" s="87"/>
      <c r="J39" s="86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</row>
    <row r="40" ht="18.75" customHeight="1">
      <c r="A40" s="13">
        <v>37.0</v>
      </c>
      <c r="B40" s="130">
        <v>45993.0</v>
      </c>
      <c r="C40" s="116"/>
      <c r="D40" s="131">
        <v>1377905.0</v>
      </c>
      <c r="E40" s="102"/>
      <c r="F40" s="102"/>
      <c r="G40" s="102"/>
      <c r="H40" s="146"/>
      <c r="I40" s="87"/>
      <c r="J40" s="86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</row>
    <row r="41" ht="18.75" customHeight="1">
      <c r="A41" s="13">
        <v>38.0</v>
      </c>
      <c r="B41" s="130">
        <v>45993.0</v>
      </c>
      <c r="C41" s="116"/>
      <c r="D41" s="153">
        <v>2172571.0</v>
      </c>
      <c r="E41" s="102"/>
      <c r="F41" s="102"/>
      <c r="G41" s="102"/>
      <c r="H41" s="146"/>
      <c r="I41" s="87"/>
      <c r="J41" s="86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</row>
    <row r="42" ht="18.75" customHeight="1">
      <c r="A42" s="13">
        <v>39.0</v>
      </c>
      <c r="B42" s="130">
        <v>45993.0</v>
      </c>
      <c r="C42" s="153">
        <v>2869995.0</v>
      </c>
      <c r="D42" s="134"/>
      <c r="E42" s="102"/>
      <c r="F42" s="102"/>
      <c r="G42" s="102"/>
      <c r="H42" s="146"/>
      <c r="I42" s="87"/>
      <c r="J42" s="86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</row>
    <row r="43" ht="18.75" customHeight="1">
      <c r="A43" s="13">
        <v>40.0</v>
      </c>
      <c r="B43" s="130">
        <v>45993.0</v>
      </c>
      <c r="C43" s="116"/>
      <c r="D43" s="131">
        <v>599000.0</v>
      </c>
      <c r="E43" s="102"/>
      <c r="F43" s="102"/>
      <c r="G43" s="135" t="s">
        <v>78</v>
      </c>
      <c r="H43" s="146"/>
      <c r="I43" s="87"/>
      <c r="J43" s="86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</row>
    <row r="44" ht="18.75" customHeight="1">
      <c r="A44" s="13">
        <v>41.0</v>
      </c>
      <c r="B44" s="130">
        <v>45994.0</v>
      </c>
      <c r="C44" s="116"/>
      <c r="D44" s="131">
        <v>2490335.0</v>
      </c>
      <c r="E44" s="102"/>
      <c r="F44" s="102"/>
      <c r="G44" s="102"/>
      <c r="H44" s="146"/>
      <c r="I44" s="87"/>
      <c r="J44" s="86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</row>
    <row r="45" ht="18.75" customHeight="1">
      <c r="A45" s="13">
        <v>42.0</v>
      </c>
      <c r="B45" s="130">
        <v>45994.0</v>
      </c>
      <c r="C45" s="116"/>
      <c r="D45" s="131">
        <v>1402474.0</v>
      </c>
      <c r="E45" s="102"/>
      <c r="F45" s="102"/>
      <c r="G45" s="102"/>
      <c r="H45" s="146"/>
      <c r="I45" s="87"/>
      <c r="J45" s="86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</row>
    <row r="46" ht="18.75" customHeight="1">
      <c r="A46" s="13">
        <v>43.0</v>
      </c>
      <c r="B46" s="130">
        <v>45994.0</v>
      </c>
      <c r="C46" s="116"/>
      <c r="D46" s="131">
        <v>1767696.0</v>
      </c>
      <c r="E46" s="102"/>
      <c r="F46" s="102"/>
      <c r="G46" s="102"/>
      <c r="H46" s="146"/>
      <c r="I46" s="87"/>
      <c r="J46" s="86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</row>
    <row r="47" ht="18.75" customHeight="1">
      <c r="A47" s="13">
        <v>44.0</v>
      </c>
      <c r="B47" s="130">
        <v>45994.0</v>
      </c>
      <c r="C47" s="133">
        <v>1.5E7</v>
      </c>
      <c r="D47" s="134"/>
      <c r="E47" s="102"/>
      <c r="F47" s="102"/>
      <c r="G47" s="102"/>
      <c r="H47" s="146"/>
      <c r="I47" s="87"/>
      <c r="J47" s="86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</row>
    <row r="48" ht="18.75" customHeight="1">
      <c r="A48" s="13">
        <v>45.0</v>
      </c>
      <c r="B48" s="130">
        <v>45995.0</v>
      </c>
      <c r="C48" s="116"/>
      <c r="D48" s="131">
        <v>1259924.0</v>
      </c>
      <c r="E48" s="102"/>
      <c r="F48" s="102"/>
      <c r="G48" s="102"/>
      <c r="H48" s="146"/>
      <c r="I48" s="87"/>
      <c r="J48" s="86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</row>
    <row r="49" ht="18.75" customHeight="1">
      <c r="A49" s="13">
        <v>46.0</v>
      </c>
      <c r="B49" s="130">
        <v>45995.0</v>
      </c>
      <c r="C49" s="116"/>
      <c r="D49" s="131">
        <v>1961059.0</v>
      </c>
      <c r="E49" s="102"/>
      <c r="F49" s="102"/>
      <c r="G49" s="102"/>
      <c r="H49" s="146"/>
      <c r="I49" s="87"/>
      <c r="J49" s="86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</row>
    <row r="50" ht="18.75" customHeight="1">
      <c r="A50" s="13">
        <v>47.0</v>
      </c>
      <c r="B50" s="130">
        <v>45995.0</v>
      </c>
      <c r="C50" s="153">
        <v>2172571.0</v>
      </c>
      <c r="D50" s="134"/>
      <c r="E50" s="102"/>
      <c r="F50" s="102"/>
      <c r="G50" s="102"/>
      <c r="H50" s="146"/>
      <c r="I50" s="87"/>
      <c r="J50" s="86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</row>
    <row r="51" ht="18.75" customHeight="1">
      <c r="A51" s="13">
        <v>48.0</v>
      </c>
      <c r="B51" s="130">
        <v>45995.0</v>
      </c>
      <c r="C51" s="116"/>
      <c r="D51" s="153">
        <v>1659848.0</v>
      </c>
      <c r="E51" s="102"/>
      <c r="F51" s="102"/>
      <c r="G51" s="102"/>
      <c r="H51" s="146"/>
      <c r="I51" s="87"/>
      <c r="J51" s="86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</row>
    <row r="52" ht="18.75" customHeight="1">
      <c r="A52" s="13">
        <v>49.0</v>
      </c>
      <c r="B52" s="130">
        <v>45995.0</v>
      </c>
      <c r="C52" s="116"/>
      <c r="D52" s="153">
        <v>1659848.0</v>
      </c>
      <c r="E52" s="102"/>
      <c r="F52" s="102"/>
      <c r="G52" s="102"/>
      <c r="H52" s="146"/>
      <c r="I52" s="87"/>
      <c r="J52" s="86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</row>
    <row r="53" ht="18.75" customHeight="1">
      <c r="A53" s="13">
        <v>50.0</v>
      </c>
      <c r="B53" s="130">
        <v>45995.0</v>
      </c>
      <c r="C53" s="153">
        <v>1659848.0</v>
      </c>
      <c r="D53" s="134"/>
      <c r="E53" s="102"/>
      <c r="F53" s="102"/>
      <c r="G53" s="102"/>
      <c r="H53" s="146"/>
      <c r="I53" s="87"/>
      <c r="J53" s="86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</row>
    <row r="54" ht="18.75" customHeight="1">
      <c r="A54" s="13">
        <v>51.0</v>
      </c>
      <c r="B54" s="130">
        <v>45995.0</v>
      </c>
      <c r="C54" s="116"/>
      <c r="D54" s="131">
        <v>18989.0</v>
      </c>
      <c r="E54" s="102"/>
      <c r="F54" s="102"/>
      <c r="G54" s="102"/>
      <c r="H54" s="146"/>
      <c r="I54" s="87"/>
      <c r="J54" s="86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</row>
    <row r="55" ht="18.75" customHeight="1">
      <c r="A55" s="13">
        <v>52.0</v>
      </c>
      <c r="B55" s="130">
        <v>45996.0</v>
      </c>
      <c r="C55" s="116"/>
      <c r="D55" s="131">
        <v>112375.0</v>
      </c>
      <c r="E55" s="102"/>
      <c r="F55" s="102"/>
      <c r="G55" s="102"/>
      <c r="H55" s="146"/>
      <c r="I55" s="87"/>
      <c r="J55" s="86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</row>
    <row r="56" ht="18.75" customHeight="1">
      <c r="A56" s="13">
        <v>53.0</v>
      </c>
      <c r="B56" s="130">
        <v>45996.0</v>
      </c>
      <c r="C56" s="116"/>
      <c r="D56" s="131">
        <v>1635082.0</v>
      </c>
      <c r="E56" s="102"/>
      <c r="F56" s="102"/>
      <c r="G56" s="102"/>
      <c r="H56" s="146"/>
      <c r="I56" s="87"/>
      <c r="J56" s="86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</row>
    <row r="57" ht="18.75" customHeight="1">
      <c r="A57" s="13">
        <v>54.0</v>
      </c>
      <c r="B57" s="130">
        <v>45996.0</v>
      </c>
      <c r="C57" s="116"/>
      <c r="D57" s="131">
        <v>1.0010051E7</v>
      </c>
      <c r="E57" s="102"/>
      <c r="F57" s="102"/>
      <c r="G57" s="102"/>
      <c r="H57" s="146"/>
      <c r="I57" s="87"/>
      <c r="J57" s="86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</row>
    <row r="58" ht="18.75" customHeight="1">
      <c r="A58" s="13">
        <v>55.0</v>
      </c>
      <c r="B58" s="130">
        <v>45996.0</v>
      </c>
      <c r="C58" s="116"/>
      <c r="D58" s="131">
        <v>64346.0</v>
      </c>
      <c r="E58" s="102"/>
      <c r="F58" s="102"/>
      <c r="G58" s="102"/>
      <c r="H58" s="146"/>
      <c r="I58" s="87"/>
      <c r="J58" s="86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</row>
    <row r="59" ht="18.75" customHeight="1">
      <c r="A59" s="13">
        <v>56.0</v>
      </c>
      <c r="B59" s="130">
        <v>45996.0</v>
      </c>
      <c r="C59" s="133">
        <v>5000000.0</v>
      </c>
      <c r="D59" s="134"/>
      <c r="E59" s="102"/>
      <c r="F59" s="102"/>
      <c r="G59" s="102"/>
      <c r="H59" s="146"/>
      <c r="I59" s="87"/>
      <c r="J59" s="86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</row>
    <row r="60" ht="18.75" customHeight="1">
      <c r="A60" s="13">
        <v>57.0</v>
      </c>
      <c r="B60" s="130">
        <v>45996.0</v>
      </c>
      <c r="C60" s="116"/>
      <c r="D60" s="131">
        <v>423195.0</v>
      </c>
      <c r="E60" s="102"/>
      <c r="F60" s="102"/>
      <c r="G60" s="102"/>
      <c r="H60" s="146"/>
      <c r="I60" s="87"/>
      <c r="J60" s="86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</row>
    <row r="61" ht="18.75" customHeight="1">
      <c r="A61" s="13">
        <v>58.0</v>
      </c>
      <c r="B61" s="130">
        <v>45996.0</v>
      </c>
      <c r="C61" s="116"/>
      <c r="D61" s="131">
        <v>846391.0</v>
      </c>
      <c r="E61" s="102"/>
      <c r="F61" s="102"/>
      <c r="G61" s="102"/>
      <c r="H61" s="146"/>
      <c r="I61" s="87"/>
      <c r="J61" s="86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</row>
    <row r="62" ht="18.75" customHeight="1">
      <c r="A62" s="13">
        <v>59.0</v>
      </c>
      <c r="B62" s="130">
        <v>45996.0</v>
      </c>
      <c r="C62" s="116"/>
      <c r="D62" s="131">
        <v>1692781.0</v>
      </c>
      <c r="E62" s="102"/>
      <c r="F62" s="102"/>
      <c r="G62" s="102"/>
      <c r="H62" s="146"/>
      <c r="I62" s="87"/>
      <c r="J62" s="86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</row>
    <row r="63" ht="18.75" customHeight="1">
      <c r="A63" s="13">
        <v>60.0</v>
      </c>
      <c r="B63" s="130">
        <v>45996.0</v>
      </c>
      <c r="C63" s="116"/>
      <c r="D63" s="131">
        <v>283572.0</v>
      </c>
      <c r="E63" s="102"/>
      <c r="F63" s="102"/>
      <c r="G63" s="102"/>
      <c r="H63" s="146"/>
      <c r="I63" s="87"/>
      <c r="J63" s="86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</row>
    <row r="64" ht="18.75" customHeight="1">
      <c r="A64" s="13">
        <v>61.0</v>
      </c>
      <c r="B64" s="130">
        <v>45996.0</v>
      </c>
      <c r="C64" s="116"/>
      <c r="D64" s="131">
        <v>423199.0</v>
      </c>
      <c r="E64" s="102"/>
      <c r="F64" s="102"/>
      <c r="G64" s="102"/>
      <c r="H64" s="146"/>
      <c r="I64" s="87"/>
      <c r="J64" s="86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</row>
    <row r="65" ht="19.5" customHeight="1">
      <c r="A65" s="13">
        <v>62.0</v>
      </c>
      <c r="B65" s="130">
        <v>45996.0</v>
      </c>
      <c r="C65" s="116"/>
      <c r="D65" s="131">
        <v>567145.0</v>
      </c>
      <c r="E65" s="102"/>
      <c r="F65" s="102"/>
      <c r="G65" s="102"/>
      <c r="H65" s="146"/>
      <c r="I65" s="87"/>
      <c r="J65" s="86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</row>
    <row r="66" ht="19.5" customHeight="1">
      <c r="A66" s="13">
        <v>63.0</v>
      </c>
      <c r="B66" s="130">
        <v>45996.0</v>
      </c>
      <c r="C66" s="116"/>
      <c r="D66" s="131">
        <v>1134289.0</v>
      </c>
      <c r="E66" s="102"/>
      <c r="F66" s="102"/>
      <c r="G66" s="102"/>
      <c r="H66" s="146"/>
      <c r="I66" s="87"/>
      <c r="J66" s="86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</row>
    <row r="67" ht="18.75" customHeight="1">
      <c r="A67" s="13">
        <v>64.0</v>
      </c>
      <c r="B67" s="130">
        <v>45996.0</v>
      </c>
      <c r="C67" s="116"/>
      <c r="D67" s="131">
        <v>283576.0</v>
      </c>
      <c r="E67" s="102"/>
      <c r="F67" s="102"/>
      <c r="G67" s="102"/>
      <c r="H67" s="146"/>
      <c r="I67" s="87"/>
      <c r="J67" s="86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</row>
    <row r="68" ht="18.75" customHeight="1">
      <c r="A68" s="13">
        <v>65.0</v>
      </c>
      <c r="B68" s="130">
        <v>45996.0</v>
      </c>
      <c r="C68" s="116"/>
      <c r="D68" s="131">
        <v>111000.0</v>
      </c>
      <c r="E68" s="102"/>
      <c r="F68" s="102"/>
      <c r="G68" s="102"/>
      <c r="H68" s="146"/>
      <c r="I68" s="87"/>
      <c r="J68" s="86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</row>
    <row r="69" ht="18.75" customHeight="1">
      <c r="A69" s="13">
        <v>66.0</v>
      </c>
      <c r="B69" s="130">
        <v>45997.0</v>
      </c>
      <c r="C69" s="133">
        <v>2.0E7</v>
      </c>
      <c r="D69" s="134"/>
      <c r="E69" s="102"/>
      <c r="F69" s="102"/>
      <c r="G69" s="102"/>
      <c r="H69" s="146"/>
      <c r="I69" s="87"/>
      <c r="J69" s="86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</row>
    <row r="70" ht="18.75" customHeight="1">
      <c r="A70" s="13">
        <v>67.0</v>
      </c>
      <c r="B70" s="130">
        <v>45997.0</v>
      </c>
      <c r="C70" s="116"/>
      <c r="D70" s="131">
        <v>7446941.0</v>
      </c>
      <c r="E70" s="102"/>
      <c r="F70" s="102"/>
      <c r="G70" s="102"/>
      <c r="H70" s="146"/>
      <c r="I70" s="87"/>
      <c r="J70" s="86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</row>
    <row r="71" ht="18.75" customHeight="1">
      <c r="A71" s="13">
        <v>68.0</v>
      </c>
      <c r="B71" s="130">
        <v>45997.0</v>
      </c>
      <c r="C71" s="116"/>
      <c r="D71" s="131">
        <v>1608979.0</v>
      </c>
      <c r="E71" s="102"/>
      <c r="F71" s="102"/>
      <c r="G71" s="102"/>
      <c r="H71" s="146"/>
      <c r="I71" s="87"/>
      <c r="J71" s="86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</row>
    <row r="72" ht="18.75" customHeight="1">
      <c r="A72" s="13">
        <v>69.0</v>
      </c>
      <c r="B72" s="130">
        <v>45997.0</v>
      </c>
      <c r="C72" s="153">
        <v>1659848.0</v>
      </c>
      <c r="D72" s="134"/>
      <c r="E72" s="102"/>
      <c r="F72" s="102"/>
      <c r="G72" s="102"/>
      <c r="H72" s="146"/>
      <c r="I72" s="87"/>
      <c r="J72" s="86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</row>
    <row r="73" ht="18.75" customHeight="1">
      <c r="A73" s="13">
        <v>70.0</v>
      </c>
      <c r="B73" s="130">
        <v>45998.0</v>
      </c>
      <c r="C73" s="116"/>
      <c r="D73" s="153">
        <v>26515.0</v>
      </c>
      <c r="E73" s="102"/>
      <c r="F73" s="102"/>
      <c r="G73" s="102"/>
      <c r="H73" s="146"/>
      <c r="I73" s="87"/>
      <c r="J73" s="86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</row>
    <row r="74" ht="18.75" customHeight="1">
      <c r="A74" s="13">
        <v>71.0</v>
      </c>
      <c r="B74" s="130">
        <v>45998.0</v>
      </c>
      <c r="C74" s="153">
        <v>26515.0</v>
      </c>
      <c r="D74" s="134"/>
      <c r="E74" s="102"/>
      <c r="F74" s="102"/>
      <c r="G74" s="102"/>
      <c r="H74" s="146"/>
      <c r="I74" s="87"/>
      <c r="J74" s="86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</row>
    <row r="75" ht="18.75" customHeight="1">
      <c r="A75" s="13">
        <v>72.0</v>
      </c>
      <c r="B75" s="130">
        <v>45998.0</v>
      </c>
      <c r="C75" s="116"/>
      <c r="D75" s="131">
        <v>1231539.0</v>
      </c>
      <c r="E75" s="102"/>
      <c r="F75" s="102"/>
      <c r="G75" s="102"/>
      <c r="H75" s="146"/>
      <c r="I75" s="87"/>
      <c r="J75" s="86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</row>
    <row r="76" ht="18.75" customHeight="1">
      <c r="A76" s="13">
        <v>73.0</v>
      </c>
      <c r="B76" s="130">
        <v>45998.0</v>
      </c>
      <c r="C76" s="116"/>
      <c r="D76" s="131">
        <v>2715669.0</v>
      </c>
      <c r="E76" s="102"/>
      <c r="F76" s="102"/>
      <c r="G76" s="102"/>
      <c r="H76" s="146"/>
      <c r="I76" s="87"/>
      <c r="J76" s="86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</row>
    <row r="77" ht="18.75" customHeight="1">
      <c r="A77" s="13">
        <v>74.0</v>
      </c>
      <c r="B77" s="130">
        <v>45998.0</v>
      </c>
      <c r="C77" s="116"/>
      <c r="D77" s="131">
        <v>3045105.0</v>
      </c>
      <c r="E77" s="102"/>
      <c r="F77" s="102"/>
      <c r="G77" s="102"/>
      <c r="H77" s="146"/>
      <c r="I77" s="87"/>
      <c r="J77" s="86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</row>
    <row r="78" ht="18.75" customHeight="1">
      <c r="A78" s="13">
        <v>75.0</v>
      </c>
      <c r="B78" s="130">
        <v>45999.0</v>
      </c>
      <c r="C78" s="133">
        <v>2.0E7</v>
      </c>
      <c r="D78" s="134"/>
      <c r="E78" s="102"/>
      <c r="F78" s="102"/>
      <c r="G78" s="102"/>
      <c r="H78" s="146"/>
      <c r="I78" s="87"/>
      <c r="J78" s="86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</row>
    <row r="79" ht="18.75" customHeight="1">
      <c r="A79" s="13">
        <v>76.0</v>
      </c>
      <c r="B79" s="130">
        <v>45999.0</v>
      </c>
      <c r="C79" s="116"/>
      <c r="D79" s="131">
        <v>2954527.0</v>
      </c>
      <c r="E79" s="102"/>
      <c r="F79" s="102"/>
      <c r="G79" s="102"/>
      <c r="H79" s="146"/>
      <c r="I79" s="87"/>
      <c r="J79" s="86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</row>
    <row r="80" ht="18.75" customHeight="1">
      <c r="A80" s="13">
        <v>77.0</v>
      </c>
      <c r="B80" s="130">
        <v>46000.0</v>
      </c>
      <c r="C80" s="116"/>
      <c r="D80" s="131">
        <v>761945.0</v>
      </c>
      <c r="E80" s="102"/>
      <c r="F80" s="102"/>
      <c r="G80" s="102"/>
      <c r="H80" s="146"/>
      <c r="I80" s="87"/>
      <c r="J80" s="86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</row>
    <row r="81" ht="18.75" customHeight="1">
      <c r="A81" s="13">
        <v>78.0</v>
      </c>
      <c r="B81" s="130">
        <v>46000.0</v>
      </c>
      <c r="C81" s="116"/>
      <c r="D81" s="131">
        <v>120384.0</v>
      </c>
      <c r="E81" s="102"/>
      <c r="F81" s="102"/>
      <c r="G81" s="102"/>
      <c r="H81" s="146"/>
      <c r="I81" s="87"/>
      <c r="J81" s="86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</row>
    <row r="82" ht="18.75" customHeight="1">
      <c r="A82" s="13">
        <v>79.0</v>
      </c>
      <c r="B82" s="130">
        <v>46001.0</v>
      </c>
      <c r="C82" s="116"/>
      <c r="D82" s="131">
        <v>1.0617341E7</v>
      </c>
      <c r="E82" s="102"/>
      <c r="F82" s="102"/>
      <c r="G82" s="102"/>
      <c r="H82" s="146"/>
      <c r="I82" s="87"/>
      <c r="J82" s="86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</row>
    <row r="83" ht="18.75" customHeight="1">
      <c r="A83" s="13">
        <v>80.0</v>
      </c>
      <c r="B83" s="130">
        <v>46001.0</v>
      </c>
      <c r="C83" s="116"/>
      <c r="D83" s="131">
        <v>469064.0</v>
      </c>
      <c r="E83" s="102"/>
      <c r="F83" s="102"/>
      <c r="G83" s="102"/>
      <c r="H83" s="146"/>
      <c r="I83" s="87"/>
      <c r="J83" s="86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</row>
    <row r="84" ht="18.75" customHeight="1">
      <c r="A84" s="13">
        <v>81.0</v>
      </c>
      <c r="B84" s="130">
        <v>46001.0</v>
      </c>
      <c r="C84" s="116"/>
      <c r="D84" s="131">
        <v>3206232.0</v>
      </c>
      <c r="E84" s="102"/>
      <c r="F84" s="102"/>
      <c r="G84" s="102"/>
      <c r="H84" s="146"/>
      <c r="I84" s="87"/>
      <c r="J84" s="86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</row>
    <row r="85" ht="18.75" customHeight="1">
      <c r="A85" s="13">
        <v>82.0</v>
      </c>
      <c r="B85" s="130">
        <v>46001.0</v>
      </c>
      <c r="C85" s="133">
        <v>599000.0</v>
      </c>
      <c r="D85" s="134"/>
      <c r="E85" s="102"/>
      <c r="F85" s="102"/>
      <c r="G85" s="135" t="s">
        <v>79</v>
      </c>
      <c r="H85" s="146"/>
      <c r="I85" s="87"/>
      <c r="J85" s="86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</row>
    <row r="86" ht="18.75" customHeight="1">
      <c r="A86" s="13">
        <v>83.0</v>
      </c>
      <c r="B86" s="130">
        <v>46001.0</v>
      </c>
      <c r="C86" s="116"/>
      <c r="D86" s="131">
        <v>3263689.0</v>
      </c>
      <c r="E86" s="102"/>
      <c r="F86" s="102"/>
      <c r="G86" s="102"/>
      <c r="H86" s="146"/>
      <c r="I86" s="87"/>
      <c r="J86" s="86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</row>
    <row r="87" ht="18.75" customHeight="1">
      <c r="A87" s="13">
        <v>84.0</v>
      </c>
      <c r="B87" s="130">
        <v>46001.0</v>
      </c>
      <c r="C87" s="116"/>
      <c r="D87" s="131">
        <v>581064.0</v>
      </c>
      <c r="E87" s="102"/>
      <c r="F87" s="102"/>
      <c r="G87" s="135" t="s">
        <v>80</v>
      </c>
      <c r="H87" s="146"/>
      <c r="I87" s="87"/>
      <c r="J87" s="86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</row>
    <row r="88" ht="18.75" customHeight="1">
      <c r="A88" s="13">
        <v>85.0</v>
      </c>
      <c r="B88" s="130">
        <v>46001.0</v>
      </c>
      <c r="C88" s="133">
        <v>5000000.0</v>
      </c>
      <c r="D88" s="134"/>
      <c r="E88" s="102"/>
      <c r="F88" s="102"/>
      <c r="G88" s="102"/>
      <c r="H88" s="146"/>
      <c r="I88" s="87"/>
      <c r="J88" s="86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</row>
    <row r="89" ht="18.75" customHeight="1">
      <c r="A89" s="13">
        <v>86.0</v>
      </c>
      <c r="B89" s="130">
        <v>46002.0</v>
      </c>
      <c r="C89" s="116"/>
      <c r="D89" s="131">
        <v>3347889.0</v>
      </c>
      <c r="E89" s="102"/>
      <c r="F89" s="102"/>
      <c r="G89" s="102"/>
      <c r="H89" s="146"/>
      <c r="I89" s="87"/>
      <c r="J89" s="86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</row>
    <row r="90" ht="18.75" customHeight="1">
      <c r="A90" s="13">
        <v>87.0</v>
      </c>
      <c r="B90" s="130">
        <v>46002.0</v>
      </c>
      <c r="C90" s="133">
        <v>8000000.0</v>
      </c>
      <c r="D90" s="134"/>
      <c r="E90" s="102"/>
      <c r="F90" s="102"/>
      <c r="G90" s="102"/>
      <c r="H90" s="146"/>
      <c r="I90" s="87"/>
      <c r="J90" s="86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</row>
    <row r="91" ht="18.75" customHeight="1">
      <c r="A91" s="13">
        <v>88.0</v>
      </c>
      <c r="B91" s="130">
        <v>46002.0</v>
      </c>
      <c r="C91" s="116"/>
      <c r="D91" s="131">
        <v>3470247.0</v>
      </c>
      <c r="E91" s="102"/>
      <c r="F91" s="102"/>
      <c r="G91" s="102"/>
      <c r="H91" s="146"/>
      <c r="I91" s="87"/>
      <c r="J91" s="86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</row>
    <row r="92" ht="18.75" customHeight="1">
      <c r="A92" s="13">
        <v>89.0</v>
      </c>
      <c r="B92" s="130">
        <v>46002.0</v>
      </c>
      <c r="C92" s="116"/>
      <c r="D92" s="131">
        <v>4177009.0</v>
      </c>
      <c r="E92" s="102"/>
      <c r="F92" s="102"/>
      <c r="G92" s="102"/>
      <c r="H92" s="146"/>
      <c r="I92" s="87"/>
      <c r="J92" s="86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</row>
    <row r="93" ht="18.75" customHeight="1">
      <c r="A93" s="13">
        <v>90.0</v>
      </c>
      <c r="B93" s="130">
        <v>46003.0</v>
      </c>
      <c r="C93" s="116"/>
      <c r="D93" s="131">
        <v>308250.0</v>
      </c>
      <c r="E93" s="102"/>
      <c r="F93" s="102"/>
      <c r="G93" s="102"/>
      <c r="H93" s="146"/>
      <c r="I93" s="87"/>
      <c r="J93" s="86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</row>
    <row r="94" ht="18.75" customHeight="1">
      <c r="A94" s="13">
        <v>91.0</v>
      </c>
      <c r="B94" s="130">
        <v>46003.0</v>
      </c>
      <c r="C94" s="133">
        <v>1500000.0</v>
      </c>
      <c r="D94" s="134"/>
      <c r="E94" s="102"/>
      <c r="F94" s="102"/>
      <c r="G94" s="102"/>
      <c r="H94" s="146"/>
      <c r="I94" s="87"/>
      <c r="J94" s="86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</row>
    <row r="95" ht="18.75" customHeight="1">
      <c r="A95" s="13">
        <v>92.0</v>
      </c>
      <c r="B95" s="130">
        <v>46003.0</v>
      </c>
      <c r="C95" s="133">
        <v>1000000.0</v>
      </c>
      <c r="D95" s="134"/>
      <c r="E95" s="102"/>
      <c r="F95" s="102"/>
      <c r="G95" s="102"/>
      <c r="H95" s="146"/>
      <c r="I95" s="87"/>
      <c r="J95" s="86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</row>
    <row r="96" ht="18.75" customHeight="1">
      <c r="A96" s="13">
        <v>93.0</v>
      </c>
      <c r="B96" s="130">
        <v>46003.0</v>
      </c>
      <c r="C96" s="116"/>
      <c r="D96" s="131">
        <v>3747062.0</v>
      </c>
      <c r="E96" s="102"/>
      <c r="F96" s="102"/>
      <c r="G96" s="102"/>
      <c r="H96" s="146"/>
      <c r="I96" s="87"/>
      <c r="J96" s="86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</row>
    <row r="97" ht="18.75" customHeight="1">
      <c r="A97" s="13">
        <v>94.0</v>
      </c>
      <c r="B97" s="130">
        <v>46003.0</v>
      </c>
      <c r="C97" s="116"/>
      <c r="D97" s="131">
        <v>3492115.0</v>
      </c>
      <c r="E97" s="102"/>
      <c r="F97" s="102"/>
      <c r="G97" s="102"/>
      <c r="H97" s="146"/>
      <c r="I97" s="87"/>
      <c r="J97" s="86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</row>
    <row r="98" ht="18.75" customHeight="1">
      <c r="A98" s="13">
        <v>95.0</v>
      </c>
      <c r="B98" s="130">
        <v>46004.0</v>
      </c>
      <c r="C98" s="116"/>
      <c r="D98" s="131">
        <v>901975.0</v>
      </c>
      <c r="E98" s="102"/>
      <c r="F98" s="102"/>
      <c r="G98" s="102"/>
      <c r="H98" s="146"/>
      <c r="I98" s="87"/>
      <c r="J98" s="86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</row>
    <row r="99" ht="18.75" customHeight="1">
      <c r="A99" s="13">
        <v>96.0</v>
      </c>
      <c r="B99" s="130">
        <v>46004.0</v>
      </c>
      <c r="C99" s="133">
        <v>1.0E7</v>
      </c>
      <c r="D99" s="134"/>
      <c r="E99" s="102"/>
      <c r="F99" s="102"/>
      <c r="G99" s="102"/>
      <c r="H99" s="146"/>
      <c r="I99" s="87"/>
      <c r="J99" s="86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</row>
    <row r="100" ht="18.75" customHeight="1">
      <c r="A100" s="13">
        <v>97.0</v>
      </c>
      <c r="B100" s="130">
        <v>46004.0</v>
      </c>
      <c r="C100" s="116"/>
      <c r="D100" s="131">
        <v>5804131.0</v>
      </c>
      <c r="E100" s="102"/>
      <c r="F100" s="102"/>
      <c r="G100" s="102"/>
      <c r="H100" s="146"/>
      <c r="I100" s="87"/>
      <c r="J100" s="86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</row>
    <row r="101">
      <c r="A101" s="13">
        <v>98.0</v>
      </c>
      <c r="B101" s="130">
        <v>46004.0</v>
      </c>
      <c r="C101" s="116"/>
      <c r="D101" s="131">
        <v>1007469.0</v>
      </c>
      <c r="E101" s="102"/>
      <c r="F101" s="102"/>
      <c r="G101" s="102"/>
      <c r="H101" s="146"/>
      <c r="I101" s="87"/>
      <c r="J101" s="86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</row>
    <row r="102" ht="18.75" customHeight="1">
      <c r="A102" s="13"/>
      <c r="B102" s="130">
        <v>46004.0</v>
      </c>
      <c r="C102" s="133">
        <v>1.5E7</v>
      </c>
      <c r="D102" s="134"/>
      <c r="E102" s="102"/>
      <c r="F102" s="102"/>
      <c r="G102" s="102"/>
      <c r="H102" s="146"/>
      <c r="I102" s="87"/>
      <c r="J102" s="86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</row>
    <row r="103" ht="18.75" customHeight="1">
      <c r="A103" s="13">
        <v>99.0</v>
      </c>
      <c r="B103" s="130">
        <v>46004.0</v>
      </c>
      <c r="C103" s="116"/>
      <c r="D103" s="131">
        <v>4449053.0</v>
      </c>
      <c r="E103" s="102"/>
      <c r="F103" s="102"/>
      <c r="G103" s="102"/>
      <c r="H103" s="146"/>
      <c r="I103" s="87"/>
      <c r="J103" s="86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</row>
    <row r="104" ht="18.75" customHeight="1">
      <c r="A104" s="13">
        <v>100.0</v>
      </c>
      <c r="B104" s="130">
        <v>46004.0</v>
      </c>
      <c r="C104" s="116"/>
      <c r="D104" s="131">
        <v>4038617.0</v>
      </c>
      <c r="E104" s="102"/>
      <c r="F104" s="102"/>
      <c r="G104" s="102"/>
      <c r="H104" s="146"/>
      <c r="I104" s="87"/>
      <c r="J104" s="86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</row>
    <row r="105" ht="18.75" customHeight="1">
      <c r="A105" s="13">
        <v>101.0</v>
      </c>
      <c r="B105" s="130">
        <v>46005.0</v>
      </c>
      <c r="C105" s="116"/>
      <c r="D105" s="131">
        <v>1120856.0</v>
      </c>
      <c r="E105" s="102"/>
      <c r="F105" s="102"/>
      <c r="G105" s="102"/>
      <c r="H105" s="146"/>
      <c r="I105" s="87"/>
      <c r="J105" s="86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</row>
    <row r="106" ht="18.75" customHeight="1">
      <c r="A106" s="13">
        <v>102.0</v>
      </c>
      <c r="B106" s="130">
        <v>46005.0</v>
      </c>
      <c r="C106" s="116"/>
      <c r="D106" s="131">
        <v>255163.0</v>
      </c>
      <c r="E106" s="102"/>
      <c r="F106" s="102"/>
      <c r="G106" s="102"/>
      <c r="H106" s="146"/>
      <c r="I106" s="87"/>
      <c r="J106" s="86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</row>
    <row r="107" ht="18.75" customHeight="1">
      <c r="A107" s="13">
        <v>103.0</v>
      </c>
      <c r="B107" s="130">
        <v>46005.0</v>
      </c>
      <c r="C107" s="133">
        <v>7000000.0</v>
      </c>
      <c r="D107" s="134"/>
      <c r="E107" s="102"/>
      <c r="F107" s="102"/>
      <c r="G107" s="102"/>
      <c r="H107" s="146"/>
      <c r="I107" s="87"/>
      <c r="J107" s="86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</row>
    <row r="108" ht="18.75" customHeight="1">
      <c r="A108" s="13">
        <v>104.0</v>
      </c>
      <c r="B108" s="130">
        <v>46005.0</v>
      </c>
      <c r="C108" s="116"/>
      <c r="D108" s="131">
        <v>3732414.0</v>
      </c>
      <c r="E108" s="102"/>
      <c r="F108" s="102"/>
      <c r="G108" s="102"/>
      <c r="H108" s="146"/>
      <c r="I108" s="87"/>
      <c r="J108" s="86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</row>
    <row r="109" ht="18.75" customHeight="1">
      <c r="A109" s="13">
        <v>105.0</v>
      </c>
      <c r="B109" s="130">
        <v>46005.0</v>
      </c>
      <c r="C109" s="116"/>
      <c r="D109" s="131">
        <v>1242321.0</v>
      </c>
      <c r="E109" s="102"/>
      <c r="F109" s="102"/>
      <c r="G109" s="102"/>
      <c r="H109" s="146"/>
      <c r="I109" s="87"/>
      <c r="J109" s="86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</row>
    <row r="110" ht="18.75" customHeight="1">
      <c r="A110" s="13">
        <v>106.0</v>
      </c>
      <c r="B110" s="130">
        <v>46005.0</v>
      </c>
      <c r="C110" s="116"/>
      <c r="D110" s="131">
        <v>6204471.0</v>
      </c>
      <c r="E110" s="102"/>
      <c r="F110" s="102"/>
      <c r="G110" s="102"/>
      <c r="H110" s="146"/>
      <c r="I110" s="87"/>
      <c r="J110" s="86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</row>
    <row r="111" ht="18.75" customHeight="1">
      <c r="A111" s="13">
        <v>107.0</v>
      </c>
      <c r="B111" s="130">
        <v>46005.0</v>
      </c>
      <c r="C111" s="133">
        <v>5000000.0</v>
      </c>
      <c r="D111" s="134"/>
      <c r="E111" s="102"/>
      <c r="F111" s="102"/>
      <c r="G111" s="102"/>
      <c r="H111" s="146"/>
      <c r="I111" s="87"/>
      <c r="J111" s="86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</row>
    <row r="112" ht="18.75" customHeight="1">
      <c r="A112" s="13">
        <v>108.0</v>
      </c>
      <c r="B112" s="130">
        <v>46005.0</v>
      </c>
      <c r="C112" s="116"/>
      <c r="D112" s="131">
        <v>1369030.0</v>
      </c>
      <c r="E112" s="102"/>
      <c r="F112" s="102"/>
      <c r="G112" s="102"/>
      <c r="H112" s="146"/>
      <c r="I112" s="87"/>
      <c r="J112" s="86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</row>
    <row r="113" ht="18.75" customHeight="1">
      <c r="A113" s="13">
        <v>109.0</v>
      </c>
      <c r="B113" s="130">
        <v>46005.0</v>
      </c>
      <c r="C113" s="116"/>
      <c r="D113" s="131">
        <v>4343317.0</v>
      </c>
      <c r="E113" s="102"/>
      <c r="F113" s="102"/>
      <c r="G113" s="102"/>
      <c r="H113" s="146"/>
      <c r="I113" s="87"/>
      <c r="J113" s="86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</row>
    <row r="114" ht="18.75" customHeight="1">
      <c r="A114" s="13">
        <v>110.0</v>
      </c>
      <c r="B114" s="130">
        <v>46006.0</v>
      </c>
      <c r="C114" s="116"/>
      <c r="D114" s="131">
        <v>1174809.0</v>
      </c>
      <c r="E114" s="102"/>
      <c r="F114" s="102"/>
      <c r="G114" s="102"/>
      <c r="H114" s="146"/>
      <c r="I114" s="87"/>
      <c r="J114" s="86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</row>
    <row r="115" ht="18.75" customHeight="1">
      <c r="A115" s="13">
        <v>111.0</v>
      </c>
      <c r="B115" s="130">
        <v>46006.0</v>
      </c>
      <c r="C115" s="133">
        <v>3.0E7</v>
      </c>
      <c r="D115" s="134"/>
      <c r="E115" s="102"/>
      <c r="F115" s="102"/>
      <c r="G115" s="102"/>
      <c r="H115" s="146"/>
      <c r="I115" s="87"/>
      <c r="J115" s="86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</row>
    <row r="116" ht="18.75" customHeight="1">
      <c r="A116" s="13">
        <v>112.0</v>
      </c>
      <c r="B116" s="130">
        <v>46006.0</v>
      </c>
      <c r="C116" s="116"/>
      <c r="D116" s="131">
        <v>1507097.0</v>
      </c>
      <c r="E116" s="102"/>
      <c r="F116" s="102"/>
      <c r="G116" s="102"/>
      <c r="H116" s="146"/>
      <c r="I116" s="87"/>
      <c r="J116" s="86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</row>
    <row r="117" ht="18.75" customHeight="1">
      <c r="A117" s="13">
        <v>113.0</v>
      </c>
      <c r="B117" s="130">
        <v>46006.0</v>
      </c>
      <c r="C117" s="116"/>
      <c r="D117" s="131">
        <v>3982125.0</v>
      </c>
      <c r="E117" s="102"/>
      <c r="F117" s="102"/>
      <c r="G117" s="102"/>
      <c r="H117" s="146"/>
      <c r="I117" s="87"/>
      <c r="J117" s="86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</row>
    <row r="118" ht="18.75" customHeight="1">
      <c r="A118" s="13">
        <v>114.0</v>
      </c>
      <c r="B118" s="130">
        <v>46006.0</v>
      </c>
      <c r="C118" s="116"/>
      <c r="D118" s="131">
        <v>6621149.0</v>
      </c>
      <c r="E118" s="102"/>
      <c r="F118" s="102"/>
      <c r="G118" s="102"/>
      <c r="H118" s="146"/>
      <c r="I118" s="87"/>
      <c r="J118" s="86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</row>
    <row r="119" ht="18.75" customHeight="1">
      <c r="A119" s="13">
        <v>115.0</v>
      </c>
      <c r="B119" s="130">
        <v>46007.0</v>
      </c>
      <c r="C119" s="116"/>
      <c r="D119" s="131">
        <v>1108823.0</v>
      </c>
      <c r="E119" s="102"/>
      <c r="F119" s="102"/>
      <c r="G119" s="102"/>
      <c r="H119" s="146"/>
      <c r="I119" s="87"/>
      <c r="J119" s="86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</row>
    <row r="120" ht="18.75" customHeight="1">
      <c r="A120" s="13">
        <v>116.0</v>
      </c>
      <c r="B120" s="130">
        <v>46007.0</v>
      </c>
      <c r="C120" s="116"/>
      <c r="D120" s="131">
        <v>4661107.0</v>
      </c>
      <c r="E120" s="102"/>
      <c r="F120" s="102"/>
      <c r="G120" s="102"/>
      <c r="H120" s="146"/>
      <c r="I120" s="87"/>
      <c r="J120" s="86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</row>
    <row r="121" ht="18.75" customHeight="1">
      <c r="A121" s="13">
        <v>117.0</v>
      </c>
      <c r="B121" s="130">
        <v>46007.0</v>
      </c>
      <c r="C121" s="116"/>
      <c r="D121" s="131">
        <v>4733344.0</v>
      </c>
      <c r="E121" s="102"/>
      <c r="F121" s="102"/>
      <c r="G121" s="102"/>
      <c r="H121" s="146"/>
      <c r="I121" s="87"/>
      <c r="J121" s="86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</row>
    <row r="122" ht="18.75" customHeight="1">
      <c r="A122" s="13">
        <v>118.0</v>
      </c>
      <c r="B122" s="130">
        <v>46007.0</v>
      </c>
      <c r="C122" s="133">
        <v>1.0E7</v>
      </c>
      <c r="D122" s="134"/>
      <c r="E122" s="102"/>
      <c r="F122" s="102"/>
      <c r="G122" s="102"/>
      <c r="H122" s="146"/>
      <c r="I122" s="87"/>
      <c r="J122" s="86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</row>
    <row r="123" ht="18.75" customHeight="1">
      <c r="A123" s="13">
        <v>119.0</v>
      </c>
      <c r="B123" s="130">
        <v>46008.0</v>
      </c>
      <c r="C123" s="116"/>
      <c r="D123" s="131">
        <v>4992585.0</v>
      </c>
      <c r="E123" s="102"/>
      <c r="F123" s="102"/>
      <c r="G123" s="102"/>
      <c r="H123" s="146"/>
      <c r="I123" s="87"/>
      <c r="J123" s="86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</row>
    <row r="124" ht="18.75" customHeight="1">
      <c r="A124" s="13">
        <v>120.0</v>
      </c>
      <c r="B124" s="130">
        <v>46008.0</v>
      </c>
      <c r="C124" s="116"/>
      <c r="D124" s="131">
        <v>1655069.0</v>
      </c>
      <c r="E124" s="102"/>
      <c r="F124" s="102"/>
      <c r="G124" s="102"/>
      <c r="H124" s="146"/>
      <c r="I124" s="87"/>
      <c r="J124" s="86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</row>
    <row r="125" ht="18.75" customHeight="1">
      <c r="A125" s="13">
        <v>121.0</v>
      </c>
      <c r="B125" s="130">
        <v>46009.0</v>
      </c>
      <c r="C125" s="116"/>
      <c r="D125" s="131">
        <v>1446700.0</v>
      </c>
      <c r="E125" s="102"/>
      <c r="F125" s="102"/>
      <c r="G125" s="102"/>
      <c r="H125" s="146"/>
      <c r="I125" s="87"/>
      <c r="J125" s="86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</row>
    <row r="126" ht="18.75" customHeight="1">
      <c r="A126" s="13">
        <v>124.0</v>
      </c>
      <c r="B126" s="130">
        <v>46009.0</v>
      </c>
      <c r="C126" s="133">
        <v>1.0E7</v>
      </c>
      <c r="D126" s="134"/>
      <c r="E126" s="102"/>
      <c r="F126" s="102"/>
      <c r="G126" s="102"/>
      <c r="H126" s="146"/>
      <c r="I126" s="87"/>
      <c r="J126" s="86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</row>
    <row r="127" ht="18.75" customHeight="1">
      <c r="A127" s="56" t="s">
        <v>40</v>
      </c>
      <c r="B127" s="41"/>
      <c r="C127" s="57">
        <f t="shared" ref="C127:D127" si="2">SUM(C4:C126)</f>
        <v>250167321</v>
      </c>
      <c r="D127" s="57">
        <f t="shared" si="2"/>
        <v>228612383</v>
      </c>
      <c r="E127" s="58"/>
      <c r="F127" s="58"/>
      <c r="G127" s="139"/>
      <c r="H127" s="146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</row>
    <row r="128" ht="18.75" customHeight="1">
      <c r="A128" s="85" t="s">
        <v>41</v>
      </c>
      <c r="B128" s="87"/>
      <c r="C128" s="57">
        <f>'Tháng 11'!C205</f>
        <v>-61956197</v>
      </c>
      <c r="D128" s="85" t="s">
        <v>42</v>
      </c>
      <c r="E128" s="86"/>
      <c r="F128" s="86"/>
      <c r="G128" s="140"/>
      <c r="H128" s="146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</row>
    <row r="129" ht="18.75" customHeight="1">
      <c r="A129" s="85" t="s">
        <v>43</v>
      </c>
      <c r="B129" s="87"/>
      <c r="C129" s="141">
        <f>C127-D127</f>
        <v>21554938</v>
      </c>
      <c r="D129" s="85" t="s">
        <v>44</v>
      </c>
      <c r="E129" s="87"/>
      <c r="F129" s="86"/>
      <c r="G129" s="140"/>
      <c r="H129" s="146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</row>
    <row r="130" ht="18.75" customHeight="1">
      <c r="A130" s="85" t="s">
        <v>45</v>
      </c>
      <c r="B130" s="87"/>
      <c r="C130" s="57">
        <f>C128+C129</f>
        <v>-40401259</v>
      </c>
      <c r="D130" s="85" t="s">
        <v>46</v>
      </c>
      <c r="E130" s="87"/>
      <c r="F130" s="87"/>
      <c r="G130" s="140"/>
      <c r="H130" s="146"/>
      <c r="I130" s="87"/>
      <c r="J130" s="86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</row>
    <row r="131" ht="18.75" customHeight="1">
      <c r="A131" s="85" t="s">
        <v>81</v>
      </c>
      <c r="B131" s="87"/>
      <c r="C131" s="57">
        <f>C1+C129</f>
        <v>21554938</v>
      </c>
      <c r="D131" s="85" t="s">
        <v>82</v>
      </c>
      <c r="E131" s="87"/>
      <c r="F131" s="87"/>
      <c r="G131" s="140"/>
      <c r="H131" s="146"/>
      <c r="I131" s="87"/>
      <c r="J131" s="86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</row>
    <row r="132" ht="18.75" customHeight="1">
      <c r="A132" s="87"/>
      <c r="B132" s="87"/>
      <c r="C132" s="87"/>
      <c r="D132" s="87"/>
      <c r="E132" s="87"/>
      <c r="F132" s="87"/>
      <c r="G132" s="140"/>
      <c r="H132" s="146"/>
      <c r="I132" s="87"/>
      <c r="J132" s="86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</row>
    <row r="133" ht="18.75" customHeight="1">
      <c r="A133" s="83" t="s">
        <v>76</v>
      </c>
      <c r="B133" s="87"/>
      <c r="C133" s="87"/>
      <c r="D133" s="87"/>
      <c r="E133" s="87"/>
      <c r="F133" s="87"/>
      <c r="G133" s="140"/>
      <c r="H133" s="146"/>
      <c r="I133" s="87"/>
      <c r="J133" s="86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</row>
    <row r="134" ht="18.75" customHeight="1">
      <c r="A134" s="87"/>
      <c r="B134" s="87"/>
      <c r="C134" s="87"/>
      <c r="D134" s="87"/>
      <c r="E134" s="87"/>
      <c r="F134" s="87"/>
      <c r="G134" s="87"/>
      <c r="H134" s="146"/>
      <c r="I134" s="87"/>
      <c r="J134" s="86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</row>
    <row r="135" ht="18.75" customHeight="1">
      <c r="A135" s="87"/>
      <c r="B135" s="87"/>
      <c r="C135" s="154">
        <f>C126+C122+C115+C111+C107+C102+C99+C95+C94+C90+C88+C85+C78+C69+C59+C47+C39+C28+C26+C20+C16+C10+C6+C4</f>
        <v>239099000</v>
      </c>
      <c r="D135" s="154">
        <f>D127-D73-D52-D51-D41-D33</f>
        <v>220223606</v>
      </c>
      <c r="E135" s="87"/>
      <c r="F135" s="87"/>
      <c r="G135" s="87"/>
      <c r="H135" s="146"/>
      <c r="I135" s="87"/>
      <c r="J135" s="86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</row>
    <row r="136" ht="18.75" customHeight="1">
      <c r="A136" s="87"/>
      <c r="B136" s="87"/>
      <c r="C136" s="87"/>
      <c r="D136" s="155">
        <v>2.26831626E8</v>
      </c>
      <c r="E136" s="87"/>
      <c r="F136" s="87"/>
      <c r="G136" s="87"/>
      <c r="H136" s="146"/>
      <c r="I136" s="87"/>
      <c r="J136" s="86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</row>
    <row r="137" ht="18.75" customHeight="1">
      <c r="A137" s="87"/>
      <c r="B137" s="87"/>
      <c r="C137" s="87"/>
      <c r="D137" s="156">
        <f>D136-D135</f>
        <v>6608020</v>
      </c>
      <c r="E137" s="87"/>
      <c r="F137" s="87"/>
      <c r="G137" s="87"/>
      <c r="H137" s="146"/>
      <c r="I137" s="87"/>
      <c r="J137" s="86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</row>
    <row r="138" ht="18.75" customHeight="1">
      <c r="A138" s="87"/>
      <c r="B138" s="87"/>
      <c r="C138" s="87"/>
      <c r="D138" s="156">
        <f>D135*1.1%</f>
        <v>2422459.666</v>
      </c>
      <c r="E138" s="87"/>
      <c r="F138" s="87"/>
      <c r="G138" s="87"/>
      <c r="H138" s="146"/>
      <c r="I138" s="87"/>
      <c r="J138" s="86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</row>
    <row r="139" ht="18.75" customHeight="1">
      <c r="A139" s="87"/>
      <c r="B139" s="87"/>
      <c r="C139" s="87"/>
      <c r="D139" s="154">
        <f>D135+D138</f>
        <v>222646065.7</v>
      </c>
      <c r="E139" s="87"/>
      <c r="F139" s="87"/>
      <c r="G139" s="87"/>
      <c r="H139" s="146"/>
      <c r="I139" s="87"/>
      <c r="J139" s="86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</row>
    <row r="140" ht="18.75" customHeight="1">
      <c r="A140" s="87"/>
      <c r="B140" s="87"/>
      <c r="C140" s="87"/>
      <c r="D140" s="87"/>
      <c r="E140" s="87"/>
      <c r="F140" s="87"/>
      <c r="G140" s="87"/>
      <c r="H140" s="146"/>
      <c r="I140" s="87"/>
      <c r="J140" s="86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</row>
    <row r="141" ht="18.75" customHeight="1">
      <c r="A141" s="87"/>
      <c r="B141" s="87"/>
      <c r="C141" s="87"/>
      <c r="D141" s="87"/>
      <c r="E141" s="87"/>
      <c r="F141" s="87"/>
      <c r="G141" s="87"/>
      <c r="H141" s="146"/>
      <c r="I141" s="87"/>
      <c r="J141" s="86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</row>
    <row r="142" ht="18.75" customHeight="1">
      <c r="A142" s="87"/>
      <c r="B142" s="87"/>
      <c r="C142" s="87"/>
      <c r="D142" s="87"/>
      <c r="E142" s="87"/>
      <c r="F142" s="87"/>
      <c r="G142" s="87"/>
      <c r="H142" s="146"/>
      <c r="I142" s="87"/>
      <c r="J142" s="86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</row>
    <row r="143" ht="18.75" customHeight="1">
      <c r="A143" s="87"/>
      <c r="B143" s="87"/>
      <c r="C143" s="87"/>
      <c r="D143" s="87"/>
      <c r="E143" s="87"/>
      <c r="F143" s="87"/>
      <c r="G143" s="87"/>
      <c r="H143" s="146"/>
      <c r="I143" s="87"/>
      <c r="J143" s="86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</row>
    <row r="144" ht="18.75" customHeight="1">
      <c r="A144" s="87"/>
      <c r="B144" s="87"/>
      <c r="C144" s="87"/>
      <c r="D144" s="87"/>
      <c r="E144" s="87"/>
      <c r="F144" s="87"/>
      <c r="G144" s="87"/>
      <c r="H144" s="146"/>
      <c r="I144" s="87"/>
      <c r="J144" s="86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</row>
    <row r="145" ht="18.75" customHeight="1">
      <c r="A145" s="87"/>
      <c r="B145" s="87"/>
      <c r="C145" s="87"/>
      <c r="D145" s="87"/>
      <c r="E145" s="87"/>
      <c r="F145" s="87"/>
      <c r="G145" s="87"/>
      <c r="H145" s="146"/>
      <c r="I145" s="87"/>
      <c r="J145" s="86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</row>
    <row r="146" ht="18.75" customHeight="1">
      <c r="A146" s="87"/>
      <c r="B146" s="87"/>
      <c r="C146" s="87"/>
      <c r="D146" s="87"/>
      <c r="E146" s="87"/>
      <c r="F146" s="87"/>
      <c r="G146" s="87"/>
      <c r="H146" s="146"/>
      <c r="I146" s="87"/>
      <c r="J146" s="86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</row>
    <row r="147" ht="18.75" customHeight="1">
      <c r="A147" s="87"/>
      <c r="B147" s="87"/>
      <c r="C147" s="87"/>
      <c r="D147" s="87"/>
      <c r="E147" s="87"/>
      <c r="F147" s="87"/>
      <c r="G147" s="87"/>
      <c r="H147" s="146"/>
      <c r="I147" s="87"/>
      <c r="J147" s="86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</row>
    <row r="148" ht="18.75" customHeight="1">
      <c r="A148" s="87"/>
      <c r="B148" s="87"/>
      <c r="C148" s="87"/>
      <c r="D148" s="87"/>
      <c r="E148" s="87"/>
      <c r="F148" s="87"/>
      <c r="G148" s="87"/>
      <c r="H148" s="146"/>
      <c r="I148" s="87"/>
      <c r="J148" s="86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</row>
    <row r="149" ht="18.75" customHeight="1">
      <c r="A149" s="87"/>
      <c r="B149" s="87"/>
      <c r="C149" s="87"/>
      <c r="D149" s="87"/>
      <c r="E149" s="87"/>
      <c r="F149" s="87"/>
      <c r="G149" s="87"/>
      <c r="H149" s="146"/>
      <c r="I149" s="87"/>
      <c r="J149" s="86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</row>
    <row r="150" ht="18.75" customHeight="1">
      <c r="A150" s="87"/>
      <c r="B150" s="87"/>
      <c r="C150" s="87"/>
      <c r="D150" s="87"/>
      <c r="E150" s="87"/>
      <c r="F150" s="87"/>
      <c r="G150" s="87"/>
      <c r="H150" s="146"/>
      <c r="I150" s="87"/>
      <c r="J150" s="86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</row>
    <row r="151" ht="18.75" customHeight="1">
      <c r="A151" s="87"/>
      <c r="B151" s="87"/>
      <c r="C151" s="87"/>
      <c r="D151" s="87"/>
      <c r="E151" s="87"/>
      <c r="F151" s="87"/>
      <c r="G151" s="87"/>
      <c r="H151" s="146"/>
      <c r="I151" s="87"/>
      <c r="J151" s="86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</row>
    <row r="152" ht="18.75" customHeight="1">
      <c r="A152" s="87"/>
      <c r="B152" s="87"/>
      <c r="C152" s="87"/>
      <c r="D152" s="87"/>
      <c r="E152" s="87"/>
      <c r="F152" s="87"/>
      <c r="G152" s="87"/>
      <c r="H152" s="146"/>
      <c r="I152" s="87"/>
      <c r="J152" s="86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</row>
    <row r="153" ht="18.75" customHeight="1">
      <c r="A153" s="87"/>
      <c r="B153" s="87"/>
      <c r="C153" s="87"/>
      <c r="D153" s="87"/>
      <c r="E153" s="87"/>
      <c r="F153" s="87"/>
      <c r="G153" s="87"/>
      <c r="H153" s="146"/>
      <c r="I153" s="87"/>
      <c r="J153" s="86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</row>
    <row r="154" ht="18.75" customHeight="1">
      <c r="A154" s="87"/>
      <c r="B154" s="87"/>
      <c r="C154" s="87"/>
      <c r="D154" s="87"/>
      <c r="E154" s="87"/>
      <c r="F154" s="87"/>
      <c r="G154" s="87"/>
      <c r="H154" s="146"/>
      <c r="I154" s="87"/>
      <c r="J154" s="86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</row>
    <row r="155" ht="18.75" customHeight="1">
      <c r="A155" s="87"/>
      <c r="B155" s="87"/>
      <c r="C155" s="87"/>
      <c r="D155" s="87"/>
      <c r="E155" s="87"/>
      <c r="F155" s="87"/>
      <c r="G155" s="87"/>
      <c r="H155" s="146"/>
      <c r="I155" s="87"/>
      <c r="J155" s="86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</row>
    <row r="156" ht="18.75" customHeight="1">
      <c r="A156" s="87"/>
      <c r="B156" s="87"/>
      <c r="C156" s="87"/>
      <c r="D156" s="87"/>
      <c r="E156" s="87"/>
      <c r="F156" s="87"/>
      <c r="G156" s="87"/>
      <c r="H156" s="146"/>
      <c r="I156" s="87"/>
      <c r="J156" s="86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</row>
    <row r="157" ht="18.75" customHeight="1">
      <c r="A157" s="87"/>
      <c r="B157" s="87"/>
      <c r="C157" s="87"/>
      <c r="D157" s="87"/>
      <c r="E157" s="87"/>
      <c r="F157" s="87"/>
      <c r="G157" s="87"/>
      <c r="H157" s="146"/>
      <c r="I157" s="87"/>
      <c r="J157" s="86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</row>
    <row r="158" ht="18.75" customHeight="1">
      <c r="A158" s="87"/>
      <c r="B158" s="87"/>
      <c r="C158" s="87"/>
      <c r="D158" s="87"/>
      <c r="E158" s="87"/>
      <c r="F158" s="87"/>
      <c r="G158" s="87"/>
      <c r="H158" s="146"/>
      <c r="I158" s="87"/>
      <c r="J158" s="86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</row>
    <row r="159" ht="18.75" customHeight="1">
      <c r="A159" s="87"/>
      <c r="B159" s="87"/>
      <c r="C159" s="87"/>
      <c r="D159" s="87"/>
      <c r="E159" s="87"/>
      <c r="F159" s="87"/>
      <c r="G159" s="87"/>
      <c r="H159" s="146"/>
      <c r="I159" s="87"/>
      <c r="J159" s="86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</row>
    <row r="160" ht="18.75" customHeight="1">
      <c r="A160" s="87"/>
      <c r="B160" s="87"/>
      <c r="C160" s="87"/>
      <c r="D160" s="87"/>
      <c r="E160" s="87"/>
      <c r="F160" s="87"/>
      <c r="G160" s="87"/>
      <c r="H160" s="146"/>
      <c r="I160" s="87"/>
      <c r="J160" s="86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</row>
    <row r="161" ht="18.75" customHeight="1">
      <c r="A161" s="87"/>
      <c r="B161" s="87"/>
      <c r="C161" s="87"/>
      <c r="D161" s="87"/>
      <c r="E161" s="87"/>
      <c r="F161" s="87"/>
      <c r="G161" s="87"/>
      <c r="H161" s="146"/>
      <c r="I161" s="87"/>
      <c r="J161" s="86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</row>
    <row r="162" ht="18.75" customHeight="1">
      <c r="A162" s="87"/>
      <c r="B162" s="87"/>
      <c r="C162" s="87"/>
      <c r="D162" s="87"/>
      <c r="E162" s="87"/>
      <c r="F162" s="87"/>
      <c r="G162" s="87"/>
      <c r="H162" s="146"/>
      <c r="I162" s="87"/>
      <c r="J162" s="86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</row>
    <row r="163" ht="18.75" customHeight="1">
      <c r="A163" s="87"/>
      <c r="B163" s="87"/>
      <c r="C163" s="87"/>
      <c r="D163" s="87"/>
      <c r="E163" s="87"/>
      <c r="F163" s="87"/>
      <c r="G163" s="87"/>
      <c r="H163" s="146"/>
      <c r="I163" s="87"/>
      <c r="J163" s="86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</row>
    <row r="164" ht="18.75" customHeight="1">
      <c r="A164" s="87"/>
      <c r="B164" s="87"/>
      <c r="C164" s="87"/>
      <c r="D164" s="87"/>
      <c r="E164" s="87"/>
      <c r="F164" s="87"/>
      <c r="G164" s="87"/>
      <c r="H164" s="146"/>
      <c r="I164" s="87"/>
      <c r="J164" s="86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</row>
    <row r="165" ht="18.75" customHeight="1">
      <c r="A165" s="87"/>
      <c r="B165" s="87"/>
      <c r="C165" s="87"/>
      <c r="D165" s="87"/>
      <c r="E165" s="87"/>
      <c r="F165" s="87"/>
      <c r="G165" s="87"/>
      <c r="H165" s="146"/>
      <c r="I165" s="87"/>
      <c r="J165" s="86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</row>
    <row r="166" ht="18.75" customHeight="1">
      <c r="A166" s="87"/>
      <c r="B166" s="87"/>
      <c r="C166" s="87"/>
      <c r="D166" s="87"/>
      <c r="E166" s="87"/>
      <c r="F166" s="87"/>
      <c r="G166" s="87"/>
      <c r="H166" s="146"/>
      <c r="I166" s="87"/>
      <c r="J166" s="86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</row>
    <row r="167" ht="18.75" customHeight="1">
      <c r="A167" s="87"/>
      <c r="B167" s="87"/>
      <c r="C167" s="87"/>
      <c r="D167" s="87"/>
      <c r="E167" s="87"/>
      <c r="F167" s="87"/>
      <c r="G167" s="87"/>
      <c r="H167" s="146"/>
      <c r="I167" s="87"/>
      <c r="J167" s="86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</row>
    <row r="168" ht="18.75" customHeight="1">
      <c r="A168" s="87"/>
      <c r="B168" s="87"/>
      <c r="C168" s="87"/>
      <c r="D168" s="87"/>
      <c r="E168" s="87"/>
      <c r="F168" s="87"/>
      <c r="G168" s="87"/>
      <c r="H168" s="146"/>
      <c r="I168" s="87"/>
      <c r="J168" s="86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</row>
    <row r="169" ht="18.75" customHeight="1">
      <c r="A169" s="87"/>
      <c r="B169" s="87"/>
      <c r="C169" s="87"/>
      <c r="D169" s="87"/>
      <c r="E169" s="87"/>
      <c r="F169" s="87"/>
      <c r="G169" s="87"/>
      <c r="H169" s="146"/>
      <c r="I169" s="87"/>
      <c r="J169" s="86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</row>
    <row r="170" ht="18.75" customHeight="1">
      <c r="A170" s="87"/>
      <c r="B170" s="87"/>
      <c r="C170" s="87"/>
      <c r="D170" s="87"/>
      <c r="E170" s="87"/>
      <c r="F170" s="87"/>
      <c r="G170" s="87"/>
      <c r="H170" s="146"/>
      <c r="I170" s="87"/>
      <c r="J170" s="86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</row>
    <row r="171" ht="18.75" customHeight="1">
      <c r="A171" s="87"/>
      <c r="B171" s="87"/>
      <c r="C171" s="87"/>
      <c r="D171" s="87"/>
      <c r="E171" s="87"/>
      <c r="F171" s="87"/>
      <c r="G171" s="87"/>
      <c r="H171" s="146"/>
      <c r="I171" s="87"/>
      <c r="J171" s="86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</row>
    <row r="172" ht="18.75" customHeight="1">
      <c r="A172" s="87"/>
      <c r="B172" s="87"/>
      <c r="C172" s="87"/>
      <c r="D172" s="87"/>
      <c r="E172" s="87"/>
      <c r="F172" s="87"/>
      <c r="G172" s="87"/>
      <c r="H172" s="146"/>
      <c r="I172" s="87"/>
      <c r="J172" s="86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</row>
    <row r="173" ht="18.75" customHeight="1">
      <c r="A173" s="87"/>
      <c r="B173" s="87"/>
      <c r="C173" s="87"/>
      <c r="D173" s="87"/>
      <c r="E173" s="87"/>
      <c r="F173" s="87"/>
      <c r="G173" s="87"/>
      <c r="H173" s="146"/>
      <c r="I173" s="87"/>
      <c r="J173" s="86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</row>
    <row r="174" ht="18.75" customHeight="1">
      <c r="A174" s="87"/>
      <c r="B174" s="87"/>
      <c r="C174" s="87"/>
      <c r="D174" s="87"/>
      <c r="E174" s="87"/>
      <c r="F174" s="87"/>
      <c r="G174" s="87"/>
      <c r="H174" s="146"/>
      <c r="I174" s="87"/>
      <c r="J174" s="86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</row>
    <row r="175" ht="18.75" customHeight="1">
      <c r="A175" s="87"/>
      <c r="B175" s="87"/>
      <c r="C175" s="87"/>
      <c r="D175" s="87"/>
      <c r="E175" s="87"/>
      <c r="F175" s="87"/>
      <c r="G175" s="87"/>
      <c r="H175" s="146"/>
      <c r="I175" s="87"/>
      <c r="J175" s="86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</row>
    <row r="176" ht="18.75" customHeight="1">
      <c r="A176" s="87"/>
      <c r="B176" s="87"/>
      <c r="C176" s="87"/>
      <c r="D176" s="87"/>
      <c r="E176" s="87"/>
      <c r="F176" s="87"/>
      <c r="G176" s="87"/>
      <c r="H176" s="146"/>
      <c r="I176" s="87"/>
      <c r="J176" s="86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</row>
    <row r="177" ht="18.75" customHeight="1">
      <c r="A177" s="87"/>
      <c r="B177" s="87"/>
      <c r="C177" s="87"/>
      <c r="D177" s="87"/>
      <c r="E177" s="87"/>
      <c r="F177" s="87"/>
      <c r="G177" s="87"/>
      <c r="H177" s="146"/>
      <c r="I177" s="87"/>
      <c r="J177" s="86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</row>
    <row r="178" ht="18.75" customHeight="1">
      <c r="A178" s="87"/>
      <c r="B178" s="87"/>
      <c r="C178" s="87"/>
      <c r="D178" s="87"/>
      <c r="E178" s="87"/>
      <c r="F178" s="87"/>
      <c r="G178" s="87"/>
      <c r="H178" s="146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</row>
    <row r="179" ht="18.75" customHeight="1">
      <c r="A179" s="87"/>
      <c r="B179" s="87"/>
      <c r="C179" s="87"/>
      <c r="D179" s="87"/>
      <c r="E179" s="87"/>
      <c r="F179" s="87"/>
      <c r="G179" s="87"/>
      <c r="H179" s="146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</row>
    <row r="180" ht="18.75" customHeight="1">
      <c r="A180" s="87"/>
      <c r="B180" s="87"/>
      <c r="C180" s="87"/>
      <c r="D180" s="87"/>
      <c r="E180" s="87"/>
      <c r="F180" s="87"/>
      <c r="G180" s="87"/>
      <c r="H180" s="146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</row>
    <row r="181" ht="18.75" customHeight="1">
      <c r="A181" s="87"/>
      <c r="B181" s="87"/>
      <c r="C181" s="87"/>
      <c r="D181" s="87"/>
      <c r="E181" s="87"/>
      <c r="F181" s="87"/>
      <c r="G181" s="87"/>
      <c r="H181" s="146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</row>
    <row r="182" ht="18.75" customHeight="1">
      <c r="A182" s="87"/>
      <c r="B182" s="87"/>
      <c r="C182" s="87"/>
      <c r="D182" s="87"/>
      <c r="E182" s="87"/>
      <c r="F182" s="87"/>
      <c r="G182" s="87"/>
      <c r="H182" s="146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</row>
    <row r="183" ht="18.75" customHeight="1">
      <c r="A183" s="87"/>
      <c r="B183" s="87"/>
      <c r="C183" s="87"/>
      <c r="D183" s="87"/>
      <c r="E183" s="87"/>
      <c r="F183" s="87"/>
      <c r="G183" s="87"/>
      <c r="H183" s="146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</row>
    <row r="184" ht="18.75" customHeight="1">
      <c r="A184" s="87"/>
      <c r="B184" s="87"/>
      <c r="C184" s="87"/>
      <c r="D184" s="87"/>
      <c r="E184" s="87"/>
      <c r="F184" s="87"/>
      <c r="G184" s="87"/>
      <c r="H184" s="146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</row>
    <row r="185" ht="18.75" customHeight="1">
      <c r="A185" s="87"/>
      <c r="B185" s="87"/>
      <c r="C185" s="87"/>
      <c r="D185" s="87"/>
      <c r="E185" s="87"/>
      <c r="F185" s="87"/>
      <c r="G185" s="87"/>
      <c r="H185" s="146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</row>
    <row r="186" ht="18.75" customHeight="1">
      <c r="A186" s="87"/>
      <c r="B186" s="87"/>
      <c r="C186" s="87"/>
      <c r="D186" s="87"/>
      <c r="E186" s="87"/>
      <c r="F186" s="87"/>
      <c r="G186" s="87"/>
      <c r="H186" s="146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</row>
    <row r="187" ht="18.75" customHeight="1">
      <c r="A187" s="87"/>
      <c r="B187" s="87"/>
      <c r="C187" s="87"/>
      <c r="D187" s="87"/>
      <c r="E187" s="87"/>
      <c r="F187" s="87"/>
      <c r="G187" s="87"/>
      <c r="H187" s="146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</row>
    <row r="188" ht="18.75" customHeight="1">
      <c r="A188" s="87"/>
      <c r="B188" s="87"/>
      <c r="C188" s="87"/>
      <c r="D188" s="87"/>
      <c r="E188" s="87"/>
      <c r="F188" s="87"/>
      <c r="G188" s="87"/>
      <c r="H188" s="146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</row>
    <row r="189" ht="18.75" customHeight="1">
      <c r="A189" s="87"/>
      <c r="B189" s="87"/>
      <c r="C189" s="87"/>
      <c r="D189" s="87"/>
      <c r="E189" s="87"/>
      <c r="F189" s="87"/>
      <c r="G189" s="87"/>
      <c r="H189" s="146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</row>
    <row r="190" ht="18.75" customHeight="1">
      <c r="A190" s="87"/>
      <c r="B190" s="87"/>
      <c r="C190" s="87"/>
      <c r="D190" s="87"/>
      <c r="E190" s="87"/>
      <c r="F190" s="87"/>
      <c r="G190" s="87"/>
      <c r="H190" s="146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</row>
    <row r="191" ht="18.75" customHeight="1">
      <c r="A191" s="87"/>
      <c r="B191" s="87"/>
      <c r="C191" s="87"/>
      <c r="D191" s="87"/>
      <c r="E191" s="87"/>
      <c r="F191" s="87"/>
      <c r="G191" s="87"/>
      <c r="H191" s="146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</row>
    <row r="192" ht="18.75" customHeight="1">
      <c r="A192" s="87"/>
      <c r="B192" s="87"/>
      <c r="C192" s="87"/>
      <c r="D192" s="87"/>
      <c r="E192" s="87"/>
      <c r="F192" s="87"/>
      <c r="G192" s="87"/>
      <c r="H192" s="146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</row>
    <row r="193" ht="18.75" customHeight="1">
      <c r="A193" s="87"/>
      <c r="B193" s="87"/>
      <c r="C193" s="87"/>
      <c r="D193" s="87"/>
      <c r="E193" s="87"/>
      <c r="F193" s="87"/>
      <c r="G193" s="87"/>
      <c r="H193" s="146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</row>
    <row r="194" ht="18.75" customHeight="1">
      <c r="A194" s="87"/>
      <c r="B194" s="87"/>
      <c r="C194" s="87"/>
      <c r="D194" s="87"/>
      <c r="E194" s="87"/>
      <c r="F194" s="87"/>
      <c r="G194" s="87"/>
      <c r="H194" s="146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</row>
    <row r="195" ht="18.75" customHeight="1">
      <c r="A195" s="87"/>
      <c r="B195" s="87"/>
      <c r="C195" s="87"/>
      <c r="D195" s="87"/>
      <c r="E195" s="87"/>
      <c r="F195" s="87"/>
      <c r="G195" s="87"/>
      <c r="H195" s="146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</row>
    <row r="196" ht="18.75" customHeight="1">
      <c r="A196" s="87"/>
      <c r="B196" s="87"/>
      <c r="C196" s="87"/>
      <c r="D196" s="87"/>
      <c r="E196" s="87"/>
      <c r="F196" s="87"/>
      <c r="G196" s="87"/>
      <c r="H196" s="146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</row>
    <row r="197" ht="18.75" customHeight="1">
      <c r="A197" s="87"/>
      <c r="B197" s="87"/>
      <c r="C197" s="87"/>
      <c r="D197" s="87"/>
      <c r="E197" s="87"/>
      <c r="F197" s="87"/>
      <c r="G197" s="87"/>
      <c r="H197" s="146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</row>
    <row r="198" ht="18.75" customHeight="1">
      <c r="A198" s="87"/>
      <c r="B198" s="87"/>
      <c r="C198" s="87"/>
      <c r="D198" s="87"/>
      <c r="E198" s="87"/>
      <c r="F198" s="87"/>
      <c r="G198" s="87"/>
      <c r="H198" s="146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</row>
    <row r="199" ht="18.75" customHeight="1">
      <c r="A199" s="87"/>
      <c r="B199" s="87"/>
      <c r="C199" s="87"/>
      <c r="D199" s="87"/>
      <c r="E199" s="87"/>
      <c r="F199" s="87"/>
      <c r="G199" s="87"/>
      <c r="H199" s="146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</row>
    <row r="200" ht="18.75" customHeight="1">
      <c r="A200" s="87"/>
      <c r="B200" s="87"/>
      <c r="C200" s="87"/>
      <c r="D200" s="87"/>
      <c r="E200" s="87"/>
      <c r="F200" s="87"/>
      <c r="G200" s="87"/>
      <c r="H200" s="146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</row>
    <row r="201" ht="18.75" customHeight="1">
      <c r="A201" s="87"/>
      <c r="B201" s="87"/>
      <c r="C201" s="87"/>
      <c r="D201" s="87"/>
      <c r="E201" s="87"/>
      <c r="F201" s="87"/>
      <c r="G201" s="87"/>
      <c r="H201" s="146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</row>
    <row r="202" ht="18.75" customHeight="1">
      <c r="A202" s="87"/>
      <c r="B202" s="87"/>
      <c r="C202" s="87"/>
      <c r="D202" s="87"/>
      <c r="E202" s="87"/>
      <c r="F202" s="87"/>
      <c r="G202" s="87"/>
      <c r="H202" s="146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</row>
    <row r="203" ht="18.75" customHeight="1">
      <c r="A203" s="87"/>
      <c r="B203" s="87"/>
      <c r="C203" s="87"/>
      <c r="D203" s="87"/>
      <c r="E203" s="87"/>
      <c r="F203" s="87"/>
      <c r="G203" s="87"/>
      <c r="H203" s="146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</row>
    <row r="204" ht="18.75" customHeight="1">
      <c r="A204" s="87"/>
      <c r="B204" s="87"/>
      <c r="C204" s="87"/>
      <c r="D204" s="87"/>
      <c r="E204" s="87"/>
      <c r="F204" s="87"/>
      <c r="G204" s="87"/>
      <c r="H204" s="146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</row>
    <row r="205" ht="18.75" customHeight="1">
      <c r="A205" s="87"/>
      <c r="B205" s="87"/>
      <c r="C205" s="87"/>
      <c r="D205" s="87"/>
      <c r="E205" s="87"/>
      <c r="F205" s="87"/>
      <c r="G205" s="87"/>
      <c r="H205" s="146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</row>
    <row r="206" ht="18.75" customHeight="1">
      <c r="A206" s="87"/>
      <c r="B206" s="87"/>
      <c r="C206" s="87"/>
      <c r="D206" s="87"/>
      <c r="E206" s="87"/>
      <c r="F206" s="87"/>
      <c r="G206" s="87"/>
      <c r="H206" s="146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</row>
    <row r="207" ht="18.75" customHeight="1">
      <c r="A207" s="87"/>
      <c r="B207" s="87"/>
      <c r="C207" s="87"/>
      <c r="D207" s="87"/>
      <c r="E207" s="87"/>
      <c r="F207" s="87"/>
      <c r="G207" s="87"/>
      <c r="H207" s="146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</row>
    <row r="208" ht="18.75" customHeight="1">
      <c r="A208" s="87"/>
      <c r="B208" s="87"/>
      <c r="C208" s="87"/>
      <c r="D208" s="87"/>
      <c r="E208" s="87"/>
      <c r="F208" s="87"/>
      <c r="G208" s="87"/>
      <c r="H208" s="146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</row>
    <row r="209" ht="18.75" customHeight="1">
      <c r="A209" s="87"/>
      <c r="B209" s="87"/>
      <c r="C209" s="87"/>
      <c r="D209" s="87"/>
      <c r="E209" s="87"/>
      <c r="F209" s="87"/>
      <c r="G209" s="87"/>
      <c r="H209" s="146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</row>
    <row r="210" ht="18.75" customHeight="1">
      <c r="A210" s="87"/>
      <c r="B210" s="87"/>
      <c r="C210" s="87"/>
      <c r="D210" s="87"/>
      <c r="E210" s="87"/>
      <c r="F210" s="87"/>
      <c r="G210" s="87"/>
      <c r="H210" s="146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</row>
    <row r="211" ht="18.75" customHeight="1">
      <c r="A211" s="87"/>
      <c r="B211" s="87"/>
      <c r="C211" s="87"/>
      <c r="D211" s="87"/>
      <c r="E211" s="87"/>
      <c r="F211" s="87"/>
      <c r="G211" s="87"/>
      <c r="H211" s="146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</row>
    <row r="212" ht="18.75" customHeight="1">
      <c r="A212" s="87"/>
      <c r="B212" s="87"/>
      <c r="C212" s="87"/>
      <c r="D212" s="87"/>
      <c r="E212" s="87"/>
      <c r="F212" s="87"/>
      <c r="G212" s="87"/>
      <c r="H212" s="146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</row>
    <row r="213" ht="18.75" customHeight="1">
      <c r="A213" s="87"/>
      <c r="B213" s="87"/>
      <c r="C213" s="87"/>
      <c r="D213" s="87"/>
      <c r="E213" s="87"/>
      <c r="F213" s="87"/>
      <c r="G213" s="87"/>
      <c r="H213" s="146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</row>
    <row r="214" ht="18.75" customHeight="1">
      <c r="A214" s="87"/>
      <c r="B214" s="87"/>
      <c r="C214" s="87"/>
      <c r="D214" s="87"/>
      <c r="E214" s="87"/>
      <c r="F214" s="87"/>
      <c r="G214" s="87"/>
      <c r="H214" s="146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</row>
    <row r="215" ht="18.75" customHeight="1">
      <c r="A215" s="87"/>
      <c r="B215" s="87"/>
      <c r="C215" s="87"/>
      <c r="D215" s="87"/>
      <c r="E215" s="87"/>
      <c r="F215" s="87"/>
      <c r="G215" s="87"/>
      <c r="H215" s="146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</row>
    <row r="216" ht="18.75" customHeight="1">
      <c r="A216" s="87"/>
      <c r="B216" s="87"/>
      <c r="C216" s="87"/>
      <c r="D216" s="87"/>
      <c r="E216" s="87"/>
      <c r="F216" s="87"/>
      <c r="G216" s="87"/>
      <c r="H216" s="146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</row>
    <row r="217" ht="18.75" customHeight="1">
      <c r="A217" s="87"/>
      <c r="B217" s="87"/>
      <c r="C217" s="87"/>
      <c r="D217" s="87"/>
      <c r="E217" s="87"/>
      <c r="F217" s="87"/>
      <c r="G217" s="87"/>
      <c r="H217" s="146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</row>
    <row r="218" ht="18.75" customHeight="1">
      <c r="A218" s="87"/>
      <c r="B218" s="87"/>
      <c r="C218" s="87"/>
      <c r="D218" s="87"/>
      <c r="E218" s="87"/>
      <c r="F218" s="87"/>
      <c r="G218" s="87"/>
      <c r="H218" s="146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</row>
    <row r="219" ht="18.75" customHeight="1">
      <c r="A219" s="87"/>
      <c r="B219" s="87"/>
      <c r="C219" s="87"/>
      <c r="D219" s="87"/>
      <c r="E219" s="87"/>
      <c r="F219" s="87"/>
      <c r="G219" s="87"/>
      <c r="H219" s="146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</row>
    <row r="220" ht="18.75" customHeight="1">
      <c r="A220" s="87"/>
      <c r="B220" s="87"/>
      <c r="C220" s="87"/>
      <c r="D220" s="87"/>
      <c r="E220" s="87"/>
      <c r="F220" s="87"/>
      <c r="G220" s="87"/>
      <c r="H220" s="146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</row>
    <row r="221" ht="18.75" customHeight="1">
      <c r="A221" s="87"/>
      <c r="B221" s="87"/>
      <c r="C221" s="87"/>
      <c r="D221" s="87"/>
      <c r="E221" s="87"/>
      <c r="F221" s="87"/>
      <c r="G221" s="87"/>
      <c r="H221" s="146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</row>
    <row r="222" ht="18.75" customHeight="1">
      <c r="A222" s="87"/>
      <c r="B222" s="87"/>
      <c r="C222" s="87"/>
      <c r="D222" s="87"/>
      <c r="E222" s="87"/>
      <c r="F222" s="87"/>
      <c r="G222" s="87"/>
      <c r="H222" s="146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</row>
    <row r="223" ht="18.75" customHeight="1">
      <c r="A223" s="87"/>
      <c r="B223" s="87"/>
      <c r="C223" s="87"/>
      <c r="D223" s="87"/>
      <c r="E223" s="87"/>
      <c r="F223" s="87"/>
      <c r="G223" s="87"/>
      <c r="H223" s="146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</row>
    <row r="224" ht="18.75" customHeight="1">
      <c r="A224" s="87"/>
      <c r="B224" s="87"/>
      <c r="C224" s="87"/>
      <c r="D224" s="87"/>
      <c r="E224" s="87"/>
      <c r="F224" s="87"/>
      <c r="G224" s="87"/>
      <c r="H224" s="146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</row>
    <row r="225" ht="18.75" customHeight="1">
      <c r="A225" s="87"/>
      <c r="B225" s="87"/>
      <c r="C225" s="87"/>
      <c r="D225" s="87"/>
      <c r="E225" s="87"/>
      <c r="F225" s="87"/>
      <c r="G225" s="87"/>
      <c r="H225" s="146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</row>
    <row r="226" ht="18.75" customHeight="1">
      <c r="A226" s="87"/>
      <c r="B226" s="87"/>
      <c r="C226" s="87"/>
      <c r="D226" s="87"/>
      <c r="E226" s="87"/>
      <c r="F226" s="87"/>
      <c r="G226" s="87"/>
      <c r="H226" s="146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</row>
    <row r="227" ht="18.75" customHeight="1">
      <c r="A227" s="87"/>
      <c r="B227" s="87"/>
      <c r="C227" s="87"/>
      <c r="D227" s="87"/>
      <c r="E227" s="87"/>
      <c r="F227" s="87"/>
      <c r="G227" s="87"/>
      <c r="H227" s="146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</row>
    <row r="228" ht="18.75" customHeight="1">
      <c r="A228" s="87"/>
      <c r="B228" s="87"/>
      <c r="C228" s="87"/>
      <c r="D228" s="87"/>
      <c r="E228" s="87"/>
      <c r="F228" s="87"/>
      <c r="G228" s="87"/>
      <c r="H228" s="146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</row>
    <row r="229" ht="18.75" customHeight="1">
      <c r="A229" s="87"/>
      <c r="B229" s="87"/>
      <c r="C229" s="87"/>
      <c r="D229" s="87"/>
      <c r="E229" s="87"/>
      <c r="F229" s="87"/>
      <c r="G229" s="87"/>
      <c r="H229" s="146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</row>
    <row r="230" ht="18.75" customHeight="1">
      <c r="A230" s="87"/>
      <c r="B230" s="87"/>
      <c r="C230" s="87"/>
      <c r="D230" s="87"/>
      <c r="E230" s="87"/>
      <c r="F230" s="87"/>
      <c r="G230" s="87"/>
      <c r="H230" s="146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</row>
    <row r="231" ht="18.75" customHeight="1">
      <c r="A231" s="87"/>
      <c r="B231" s="87"/>
      <c r="C231" s="87"/>
      <c r="D231" s="87"/>
      <c r="E231" s="87"/>
      <c r="F231" s="87"/>
      <c r="G231" s="87"/>
      <c r="H231" s="146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</row>
    <row r="232" ht="18.75" customHeight="1">
      <c r="A232" s="87"/>
      <c r="B232" s="87"/>
      <c r="C232" s="87"/>
      <c r="D232" s="87"/>
      <c r="E232" s="87"/>
      <c r="F232" s="87"/>
      <c r="G232" s="87"/>
      <c r="H232" s="146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</row>
    <row r="233" ht="18.75" customHeight="1">
      <c r="A233" s="87"/>
      <c r="B233" s="87"/>
      <c r="C233" s="87"/>
      <c r="D233" s="87"/>
      <c r="E233" s="87"/>
      <c r="F233" s="87"/>
      <c r="G233" s="87"/>
      <c r="H233" s="146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</row>
    <row r="234" ht="18.75" customHeight="1">
      <c r="A234" s="87"/>
      <c r="B234" s="87"/>
      <c r="C234" s="87"/>
      <c r="D234" s="87"/>
      <c r="E234" s="87"/>
      <c r="F234" s="87"/>
      <c r="G234" s="87"/>
      <c r="H234" s="146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</row>
    <row r="235" ht="18.75" customHeight="1">
      <c r="A235" s="87"/>
      <c r="B235" s="87"/>
      <c r="C235" s="87"/>
      <c r="D235" s="87"/>
      <c r="E235" s="87"/>
      <c r="F235" s="87"/>
      <c r="G235" s="87"/>
      <c r="H235" s="146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</row>
    <row r="236" ht="18.75" customHeight="1">
      <c r="A236" s="87"/>
      <c r="B236" s="87"/>
      <c r="C236" s="87"/>
      <c r="D236" s="87"/>
      <c r="E236" s="87"/>
      <c r="F236" s="87"/>
      <c r="G236" s="87"/>
      <c r="H236" s="146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</row>
    <row r="237" ht="18.75" customHeight="1">
      <c r="A237" s="87"/>
      <c r="B237" s="87"/>
      <c r="C237" s="87"/>
      <c r="D237" s="87"/>
      <c r="E237" s="87"/>
      <c r="F237" s="87"/>
      <c r="G237" s="87"/>
      <c r="H237" s="146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</row>
    <row r="238" ht="18.75" customHeight="1">
      <c r="A238" s="87"/>
      <c r="B238" s="87"/>
      <c r="C238" s="87"/>
      <c r="D238" s="87"/>
      <c r="E238" s="87"/>
      <c r="F238" s="87"/>
      <c r="G238" s="87"/>
      <c r="H238" s="146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</row>
    <row r="239" ht="18.75" customHeight="1">
      <c r="A239" s="87"/>
      <c r="B239" s="87"/>
      <c r="C239" s="87"/>
      <c r="D239" s="87"/>
      <c r="E239" s="87"/>
      <c r="F239" s="87"/>
      <c r="G239" s="87"/>
      <c r="H239" s="146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</row>
    <row r="240" ht="18.75" customHeight="1">
      <c r="A240" s="87"/>
      <c r="B240" s="87"/>
      <c r="C240" s="87"/>
      <c r="D240" s="87"/>
      <c r="E240" s="87"/>
      <c r="F240" s="87"/>
      <c r="G240" s="87"/>
      <c r="H240" s="146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</row>
    <row r="241" ht="18.75" customHeight="1">
      <c r="A241" s="87"/>
      <c r="B241" s="87"/>
      <c r="C241" s="87"/>
      <c r="D241" s="87"/>
      <c r="E241" s="87"/>
      <c r="F241" s="87"/>
      <c r="G241" s="87"/>
      <c r="H241" s="146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</row>
    <row r="242" ht="18.75" customHeight="1">
      <c r="A242" s="87"/>
      <c r="B242" s="87"/>
      <c r="C242" s="87"/>
      <c r="D242" s="87"/>
      <c r="E242" s="87"/>
      <c r="F242" s="87"/>
      <c r="G242" s="87"/>
      <c r="H242" s="146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</row>
    <row r="243" ht="18.75" customHeight="1">
      <c r="A243" s="87"/>
      <c r="B243" s="87"/>
      <c r="C243" s="87"/>
      <c r="D243" s="87"/>
      <c r="E243" s="87"/>
      <c r="F243" s="87"/>
      <c r="G243" s="87"/>
      <c r="H243" s="146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</row>
    <row r="244" ht="18.75" customHeight="1">
      <c r="A244" s="87"/>
      <c r="B244" s="87"/>
      <c r="C244" s="87"/>
      <c r="D244" s="87"/>
      <c r="E244" s="87"/>
      <c r="F244" s="87"/>
      <c r="G244" s="87"/>
      <c r="H244" s="146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</row>
    <row r="245" ht="18.75" customHeight="1">
      <c r="A245" s="87"/>
      <c r="B245" s="87"/>
      <c r="C245" s="87"/>
      <c r="D245" s="87"/>
      <c r="E245" s="87"/>
      <c r="F245" s="87"/>
      <c r="G245" s="87"/>
      <c r="H245" s="146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</row>
    <row r="246" ht="18.75" customHeight="1">
      <c r="A246" s="87"/>
      <c r="B246" s="87"/>
      <c r="C246" s="87"/>
      <c r="D246" s="87"/>
      <c r="E246" s="87"/>
      <c r="F246" s="87"/>
      <c r="G246" s="87"/>
      <c r="H246" s="146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</row>
    <row r="247" ht="18.75" customHeight="1">
      <c r="A247" s="87"/>
      <c r="B247" s="87"/>
      <c r="C247" s="87"/>
      <c r="D247" s="87"/>
      <c r="E247" s="87"/>
      <c r="F247" s="87"/>
      <c r="G247" s="87"/>
      <c r="H247" s="146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</row>
    <row r="248" ht="18.75" customHeight="1">
      <c r="A248" s="87"/>
      <c r="B248" s="87"/>
      <c r="C248" s="87"/>
      <c r="D248" s="87"/>
      <c r="E248" s="87"/>
      <c r="F248" s="87"/>
      <c r="G248" s="87"/>
      <c r="H248" s="146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</row>
    <row r="249" ht="18.75" customHeight="1">
      <c r="A249" s="87"/>
      <c r="B249" s="87"/>
      <c r="C249" s="87"/>
      <c r="D249" s="87"/>
      <c r="E249" s="87"/>
      <c r="F249" s="87"/>
      <c r="G249" s="87"/>
      <c r="H249" s="146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</row>
    <row r="250" ht="18.75" customHeight="1">
      <c r="A250" s="87"/>
      <c r="B250" s="87"/>
      <c r="C250" s="87"/>
      <c r="D250" s="87"/>
      <c r="E250" s="87"/>
      <c r="F250" s="87"/>
      <c r="G250" s="87"/>
      <c r="H250" s="146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</row>
    <row r="251" ht="18.75" customHeight="1">
      <c r="A251" s="87"/>
      <c r="B251" s="87"/>
      <c r="C251" s="87"/>
      <c r="D251" s="87"/>
      <c r="E251" s="87"/>
      <c r="F251" s="87"/>
      <c r="G251" s="87"/>
      <c r="H251" s="146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</row>
    <row r="252" ht="18.75" customHeight="1">
      <c r="A252" s="87"/>
      <c r="B252" s="87"/>
      <c r="C252" s="87"/>
      <c r="D252" s="87"/>
      <c r="E252" s="87"/>
      <c r="F252" s="87"/>
      <c r="G252" s="87"/>
      <c r="H252" s="146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</row>
    <row r="253" ht="18.75" customHeight="1">
      <c r="A253" s="87"/>
      <c r="B253" s="87"/>
      <c r="C253" s="87"/>
      <c r="D253" s="87"/>
      <c r="E253" s="87"/>
      <c r="F253" s="87"/>
      <c r="G253" s="87"/>
      <c r="H253" s="146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</row>
    <row r="254" ht="18.75" customHeight="1">
      <c r="A254" s="87"/>
      <c r="B254" s="87"/>
      <c r="C254" s="87"/>
      <c r="D254" s="87"/>
      <c r="E254" s="87"/>
      <c r="F254" s="87"/>
      <c r="G254" s="87"/>
      <c r="H254" s="146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</row>
    <row r="255" ht="18.75" customHeight="1">
      <c r="A255" s="87"/>
      <c r="B255" s="87"/>
      <c r="C255" s="87"/>
      <c r="D255" s="87"/>
      <c r="E255" s="87"/>
      <c r="F255" s="87"/>
      <c r="G255" s="87"/>
      <c r="H255" s="146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</row>
    <row r="256" ht="18.75" customHeight="1">
      <c r="A256" s="87"/>
      <c r="B256" s="87"/>
      <c r="C256" s="87"/>
      <c r="D256" s="87"/>
      <c r="E256" s="87"/>
      <c r="F256" s="87"/>
      <c r="G256" s="87"/>
      <c r="H256" s="146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</row>
    <row r="257" ht="18.75" customHeight="1">
      <c r="A257" s="87"/>
      <c r="B257" s="87"/>
      <c r="C257" s="87"/>
      <c r="D257" s="87"/>
      <c r="E257" s="87"/>
      <c r="F257" s="87"/>
      <c r="G257" s="87"/>
      <c r="H257" s="146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</row>
    <row r="258" ht="18.75" customHeight="1">
      <c r="A258" s="87"/>
      <c r="B258" s="87"/>
      <c r="C258" s="87"/>
      <c r="D258" s="87"/>
      <c r="E258" s="87"/>
      <c r="F258" s="87"/>
      <c r="G258" s="87"/>
      <c r="H258" s="146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</row>
    <row r="259" ht="18.75" customHeight="1">
      <c r="A259" s="87"/>
      <c r="B259" s="87"/>
      <c r="C259" s="87"/>
      <c r="D259" s="87"/>
      <c r="E259" s="87"/>
      <c r="F259" s="87"/>
      <c r="G259" s="87"/>
      <c r="H259" s="146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</row>
    <row r="260" ht="18.75" customHeight="1">
      <c r="A260" s="87"/>
      <c r="B260" s="87"/>
      <c r="C260" s="87"/>
      <c r="D260" s="87"/>
      <c r="E260" s="87"/>
      <c r="F260" s="87"/>
      <c r="G260" s="87"/>
      <c r="H260" s="146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</row>
    <row r="261" ht="18.75" customHeight="1">
      <c r="A261" s="87"/>
      <c r="B261" s="87"/>
      <c r="C261" s="87"/>
      <c r="D261" s="87"/>
      <c r="E261" s="87"/>
      <c r="F261" s="87"/>
      <c r="G261" s="87"/>
      <c r="H261" s="146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</row>
    <row r="262" ht="18.75" customHeight="1">
      <c r="A262" s="87"/>
      <c r="B262" s="87"/>
      <c r="C262" s="87"/>
      <c r="D262" s="87"/>
      <c r="E262" s="87"/>
      <c r="F262" s="87"/>
      <c r="G262" s="87"/>
      <c r="H262" s="146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</row>
    <row r="263" ht="18.75" customHeight="1">
      <c r="A263" s="87"/>
      <c r="B263" s="87"/>
      <c r="C263" s="87"/>
      <c r="D263" s="87"/>
      <c r="E263" s="87"/>
      <c r="F263" s="87"/>
      <c r="G263" s="87"/>
      <c r="H263" s="146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</row>
    <row r="264" ht="18.75" customHeight="1">
      <c r="A264" s="87"/>
      <c r="B264" s="87"/>
      <c r="C264" s="87"/>
      <c r="D264" s="87"/>
      <c r="E264" s="87"/>
      <c r="F264" s="87"/>
      <c r="G264" s="87"/>
      <c r="H264" s="146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</row>
    <row r="265" ht="18.75" customHeight="1">
      <c r="A265" s="87"/>
      <c r="B265" s="87"/>
      <c r="C265" s="87"/>
      <c r="D265" s="87"/>
      <c r="E265" s="87"/>
      <c r="F265" s="87"/>
      <c r="G265" s="87"/>
      <c r="H265" s="146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</row>
    <row r="266" ht="18.75" customHeight="1">
      <c r="A266" s="87"/>
      <c r="B266" s="87"/>
      <c r="C266" s="87"/>
      <c r="D266" s="87"/>
      <c r="E266" s="87"/>
      <c r="F266" s="87"/>
      <c r="G266" s="87"/>
      <c r="H266" s="146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</row>
    <row r="267" ht="18.75" customHeight="1">
      <c r="A267" s="87"/>
      <c r="B267" s="87"/>
      <c r="C267" s="87"/>
      <c r="D267" s="87"/>
      <c r="E267" s="87"/>
      <c r="F267" s="87"/>
      <c r="G267" s="87"/>
      <c r="H267" s="146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</row>
    <row r="268" ht="18.75" customHeight="1">
      <c r="A268" s="87"/>
      <c r="B268" s="87"/>
      <c r="C268" s="87"/>
      <c r="D268" s="87"/>
      <c r="E268" s="87"/>
      <c r="F268" s="87"/>
      <c r="G268" s="87"/>
      <c r="H268" s="146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</row>
    <row r="269" ht="18.75" customHeight="1">
      <c r="A269" s="87"/>
      <c r="B269" s="87"/>
      <c r="C269" s="87"/>
      <c r="D269" s="87"/>
      <c r="E269" s="87"/>
      <c r="F269" s="87"/>
      <c r="G269" s="87"/>
      <c r="H269" s="146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</row>
    <row r="270" ht="18.75" customHeight="1">
      <c r="A270" s="87"/>
      <c r="B270" s="87"/>
      <c r="C270" s="87"/>
      <c r="D270" s="87"/>
      <c r="E270" s="87"/>
      <c r="F270" s="87"/>
      <c r="G270" s="87"/>
      <c r="H270" s="146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</row>
    <row r="271" ht="18.75" customHeight="1">
      <c r="A271" s="87"/>
      <c r="B271" s="87"/>
      <c r="C271" s="87"/>
      <c r="D271" s="87"/>
      <c r="E271" s="87"/>
      <c r="F271" s="87"/>
      <c r="G271" s="87"/>
      <c r="H271" s="146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</row>
    <row r="272" ht="18.75" customHeight="1">
      <c r="A272" s="87"/>
      <c r="B272" s="87"/>
      <c r="C272" s="87"/>
      <c r="D272" s="87"/>
      <c r="E272" s="87"/>
      <c r="F272" s="87"/>
      <c r="G272" s="87"/>
      <c r="H272" s="146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</row>
    <row r="273" ht="18.75" customHeight="1">
      <c r="A273" s="87"/>
      <c r="B273" s="87"/>
      <c r="C273" s="87"/>
      <c r="D273" s="87"/>
      <c r="E273" s="87"/>
      <c r="F273" s="87"/>
      <c r="G273" s="87"/>
      <c r="H273" s="146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</row>
    <row r="274" ht="18.75" customHeight="1">
      <c r="A274" s="87"/>
      <c r="B274" s="87"/>
      <c r="C274" s="87"/>
      <c r="D274" s="87"/>
      <c r="E274" s="87"/>
      <c r="F274" s="87"/>
      <c r="G274" s="87"/>
      <c r="H274" s="146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</row>
    <row r="275" ht="18.75" customHeight="1">
      <c r="A275" s="87"/>
      <c r="B275" s="87"/>
      <c r="C275" s="87"/>
      <c r="D275" s="87"/>
      <c r="E275" s="87"/>
      <c r="F275" s="87"/>
      <c r="G275" s="87"/>
      <c r="H275" s="146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</row>
    <row r="276" ht="18.75" customHeight="1">
      <c r="A276" s="87"/>
      <c r="B276" s="87"/>
      <c r="C276" s="87"/>
      <c r="D276" s="87"/>
      <c r="E276" s="87"/>
      <c r="F276" s="87"/>
      <c r="G276" s="87"/>
      <c r="H276" s="146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</row>
    <row r="277" ht="18.75" customHeight="1">
      <c r="A277" s="87"/>
      <c r="B277" s="87"/>
      <c r="C277" s="87"/>
      <c r="D277" s="87"/>
      <c r="E277" s="87"/>
      <c r="F277" s="87"/>
      <c r="G277" s="87"/>
      <c r="H277" s="146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</row>
    <row r="278" ht="18.75" customHeight="1">
      <c r="A278" s="87"/>
      <c r="B278" s="87"/>
      <c r="C278" s="87"/>
      <c r="D278" s="87"/>
      <c r="E278" s="87"/>
      <c r="F278" s="87"/>
      <c r="G278" s="87"/>
      <c r="H278" s="146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</row>
    <row r="279" ht="18.75" customHeight="1">
      <c r="A279" s="87"/>
      <c r="B279" s="87"/>
      <c r="C279" s="87"/>
      <c r="D279" s="87"/>
      <c r="E279" s="87"/>
      <c r="F279" s="87"/>
      <c r="G279" s="87"/>
      <c r="H279" s="146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</row>
    <row r="280" ht="18.75" customHeight="1">
      <c r="A280" s="87"/>
      <c r="B280" s="87"/>
      <c r="C280" s="87"/>
      <c r="D280" s="87"/>
      <c r="E280" s="87"/>
      <c r="F280" s="87"/>
      <c r="G280" s="87"/>
      <c r="H280" s="146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</row>
    <row r="281" ht="18.75" customHeight="1">
      <c r="A281" s="87"/>
      <c r="B281" s="87"/>
      <c r="C281" s="87"/>
      <c r="D281" s="87"/>
      <c r="E281" s="87"/>
      <c r="F281" s="87"/>
      <c r="G281" s="87"/>
      <c r="H281" s="146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</row>
    <row r="282" ht="18.75" customHeight="1">
      <c r="A282" s="87"/>
      <c r="B282" s="87"/>
      <c r="C282" s="87"/>
      <c r="D282" s="87"/>
      <c r="E282" s="87"/>
      <c r="F282" s="87"/>
      <c r="G282" s="87"/>
      <c r="H282" s="146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</row>
    <row r="283" ht="18.75" customHeight="1">
      <c r="A283" s="87"/>
      <c r="B283" s="87"/>
      <c r="C283" s="87"/>
      <c r="D283" s="87"/>
      <c r="E283" s="87"/>
      <c r="F283" s="87"/>
      <c r="G283" s="87"/>
      <c r="H283" s="146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</row>
    <row r="284" ht="18.75" customHeight="1">
      <c r="A284" s="87"/>
      <c r="B284" s="87"/>
      <c r="C284" s="87"/>
      <c r="D284" s="87"/>
      <c r="E284" s="87"/>
      <c r="F284" s="87"/>
      <c r="G284" s="87"/>
      <c r="H284" s="146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</row>
    <row r="285" ht="18.75" customHeight="1">
      <c r="A285" s="87"/>
      <c r="B285" s="87"/>
      <c r="C285" s="87"/>
      <c r="D285" s="87"/>
      <c r="E285" s="87"/>
      <c r="F285" s="87"/>
      <c r="G285" s="87"/>
      <c r="H285" s="146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</row>
    <row r="286" ht="18.75" customHeight="1">
      <c r="A286" s="87"/>
      <c r="B286" s="87"/>
      <c r="C286" s="87"/>
      <c r="D286" s="87"/>
      <c r="E286" s="87"/>
      <c r="F286" s="87"/>
      <c r="G286" s="87"/>
      <c r="H286" s="146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</row>
    <row r="287" ht="18.75" customHeight="1">
      <c r="A287" s="87"/>
      <c r="B287" s="87"/>
      <c r="C287" s="87"/>
      <c r="D287" s="87"/>
      <c r="E287" s="87"/>
      <c r="F287" s="87"/>
      <c r="G287" s="87"/>
      <c r="H287" s="146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</row>
    <row r="288" ht="18.75" customHeight="1">
      <c r="A288" s="87"/>
      <c r="B288" s="87"/>
      <c r="C288" s="87"/>
      <c r="D288" s="87"/>
      <c r="E288" s="87"/>
      <c r="F288" s="87"/>
      <c r="G288" s="87"/>
      <c r="H288" s="146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</row>
    <row r="289" ht="18.75" customHeight="1">
      <c r="A289" s="87"/>
      <c r="B289" s="87"/>
      <c r="C289" s="87"/>
      <c r="D289" s="87"/>
      <c r="E289" s="87"/>
      <c r="F289" s="87"/>
      <c r="G289" s="87"/>
      <c r="H289" s="146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</row>
    <row r="290" ht="18.75" customHeight="1">
      <c r="A290" s="87"/>
      <c r="B290" s="87"/>
      <c r="C290" s="87"/>
      <c r="D290" s="87"/>
      <c r="E290" s="87"/>
      <c r="F290" s="87"/>
      <c r="G290" s="87"/>
      <c r="H290" s="146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</row>
    <row r="291" ht="18.75" customHeight="1">
      <c r="A291" s="87"/>
      <c r="B291" s="87"/>
      <c r="C291" s="87"/>
      <c r="D291" s="87"/>
      <c r="E291" s="87"/>
      <c r="F291" s="87"/>
      <c r="G291" s="87"/>
      <c r="H291" s="146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</row>
    <row r="292" ht="18.75" customHeight="1">
      <c r="A292" s="87"/>
      <c r="B292" s="87"/>
      <c r="C292" s="87"/>
      <c r="D292" s="87"/>
      <c r="E292" s="87"/>
      <c r="F292" s="87"/>
      <c r="G292" s="87"/>
      <c r="H292" s="146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</row>
    <row r="293" ht="18.75" customHeight="1">
      <c r="A293" s="87"/>
      <c r="B293" s="87"/>
      <c r="C293" s="87"/>
      <c r="D293" s="87"/>
      <c r="E293" s="87"/>
      <c r="F293" s="87"/>
      <c r="G293" s="87"/>
      <c r="H293" s="146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</row>
    <row r="294" ht="18.75" customHeight="1">
      <c r="A294" s="87"/>
      <c r="B294" s="87"/>
      <c r="C294" s="87"/>
      <c r="D294" s="87"/>
      <c r="E294" s="87"/>
      <c r="F294" s="87"/>
      <c r="G294" s="87"/>
      <c r="H294" s="146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</row>
    <row r="295" ht="18.75" customHeight="1">
      <c r="A295" s="87"/>
      <c r="B295" s="87"/>
      <c r="C295" s="87"/>
      <c r="D295" s="87"/>
      <c r="E295" s="87"/>
      <c r="F295" s="87"/>
      <c r="G295" s="87"/>
      <c r="H295" s="146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</row>
    <row r="296" ht="18.75" customHeight="1">
      <c r="A296" s="87"/>
      <c r="B296" s="87"/>
      <c r="C296" s="87"/>
      <c r="D296" s="87"/>
      <c r="E296" s="87"/>
      <c r="F296" s="87"/>
      <c r="G296" s="87"/>
      <c r="H296" s="146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</row>
    <row r="297" ht="18.75" customHeight="1">
      <c r="A297" s="87"/>
      <c r="B297" s="87"/>
      <c r="C297" s="87"/>
      <c r="D297" s="87"/>
      <c r="E297" s="87"/>
      <c r="F297" s="87"/>
      <c r="G297" s="87"/>
      <c r="H297" s="146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</row>
    <row r="298" ht="18.75" customHeight="1">
      <c r="A298" s="87"/>
      <c r="B298" s="87"/>
      <c r="C298" s="87"/>
      <c r="D298" s="87"/>
      <c r="E298" s="87"/>
      <c r="F298" s="87"/>
      <c r="G298" s="87"/>
      <c r="H298" s="146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</row>
    <row r="299" ht="18.75" customHeight="1">
      <c r="A299" s="87"/>
      <c r="B299" s="87"/>
      <c r="C299" s="87"/>
      <c r="D299" s="87"/>
      <c r="E299" s="87"/>
      <c r="F299" s="87"/>
      <c r="G299" s="87"/>
      <c r="H299" s="146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</row>
    <row r="300" ht="18.75" customHeight="1">
      <c r="A300" s="87"/>
      <c r="B300" s="87"/>
      <c r="C300" s="87"/>
      <c r="D300" s="87"/>
      <c r="E300" s="87"/>
      <c r="F300" s="87"/>
      <c r="G300" s="87"/>
      <c r="H300" s="146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</row>
    <row r="301" ht="18.75" customHeight="1">
      <c r="A301" s="87"/>
      <c r="B301" s="87"/>
      <c r="C301" s="87"/>
      <c r="D301" s="87"/>
      <c r="E301" s="87"/>
      <c r="F301" s="87"/>
      <c r="G301" s="87"/>
      <c r="H301" s="146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</row>
    <row r="302" ht="18.75" customHeight="1">
      <c r="A302" s="87"/>
      <c r="B302" s="87"/>
      <c r="C302" s="87"/>
      <c r="D302" s="87"/>
      <c r="E302" s="87"/>
      <c r="F302" s="87"/>
      <c r="G302" s="87"/>
      <c r="H302" s="146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</row>
    <row r="303" ht="18.75" customHeight="1">
      <c r="A303" s="87"/>
      <c r="B303" s="87"/>
      <c r="C303" s="87"/>
      <c r="D303" s="87"/>
      <c r="E303" s="87"/>
      <c r="F303" s="87"/>
      <c r="G303" s="87"/>
      <c r="H303" s="146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</row>
    <row r="304" ht="18.75" customHeight="1">
      <c r="A304" s="87"/>
      <c r="B304" s="87"/>
      <c r="C304" s="87"/>
      <c r="D304" s="87"/>
      <c r="E304" s="87"/>
      <c r="F304" s="87"/>
      <c r="G304" s="87"/>
      <c r="H304" s="146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</row>
    <row r="305" ht="18.75" customHeight="1">
      <c r="A305" s="87"/>
      <c r="B305" s="87"/>
      <c r="C305" s="87"/>
      <c r="D305" s="87"/>
      <c r="E305" s="87"/>
      <c r="F305" s="87"/>
      <c r="G305" s="87"/>
      <c r="H305" s="146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</row>
    <row r="306" ht="18.75" customHeight="1">
      <c r="A306" s="87"/>
      <c r="B306" s="87"/>
      <c r="C306" s="87"/>
      <c r="D306" s="87"/>
      <c r="E306" s="87"/>
      <c r="F306" s="87"/>
      <c r="G306" s="87"/>
      <c r="H306" s="146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</row>
    <row r="307" ht="18.75" customHeight="1">
      <c r="A307" s="87"/>
      <c r="B307" s="87"/>
      <c r="C307" s="87"/>
      <c r="D307" s="87"/>
      <c r="E307" s="87"/>
      <c r="F307" s="87"/>
      <c r="G307" s="87"/>
      <c r="H307" s="146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</row>
    <row r="308" ht="18.75" customHeight="1">
      <c r="A308" s="87"/>
      <c r="B308" s="87"/>
      <c r="C308" s="87"/>
      <c r="D308" s="87"/>
      <c r="E308" s="87"/>
      <c r="F308" s="87"/>
      <c r="G308" s="87"/>
      <c r="H308" s="146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</row>
    <row r="309" ht="18.75" customHeight="1">
      <c r="A309" s="87"/>
      <c r="B309" s="87"/>
      <c r="C309" s="87"/>
      <c r="D309" s="87"/>
      <c r="E309" s="87"/>
      <c r="F309" s="87"/>
      <c r="G309" s="87"/>
      <c r="H309" s="146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</row>
    <row r="310" ht="18.75" customHeight="1">
      <c r="A310" s="87"/>
      <c r="B310" s="87"/>
      <c r="C310" s="87"/>
      <c r="D310" s="87"/>
      <c r="E310" s="87"/>
      <c r="F310" s="87"/>
      <c r="G310" s="87"/>
      <c r="H310" s="146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</row>
    <row r="311" ht="18.75" customHeight="1">
      <c r="A311" s="87"/>
      <c r="B311" s="87"/>
      <c r="C311" s="87"/>
      <c r="D311" s="87"/>
      <c r="E311" s="87"/>
      <c r="F311" s="87"/>
      <c r="G311" s="87"/>
      <c r="H311" s="146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</row>
    <row r="312" ht="18.75" customHeight="1">
      <c r="A312" s="87"/>
      <c r="B312" s="87"/>
      <c r="C312" s="87"/>
      <c r="D312" s="87"/>
      <c r="E312" s="87"/>
      <c r="F312" s="87"/>
      <c r="G312" s="87"/>
      <c r="H312" s="146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</row>
    <row r="313" ht="18.75" customHeight="1">
      <c r="A313" s="87"/>
      <c r="B313" s="87"/>
      <c r="C313" s="87"/>
      <c r="D313" s="87"/>
      <c r="E313" s="87"/>
      <c r="F313" s="87"/>
      <c r="G313" s="87"/>
      <c r="H313" s="146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</row>
    <row r="314" ht="18.75" customHeight="1">
      <c r="A314" s="87"/>
      <c r="B314" s="87"/>
      <c r="C314" s="87"/>
      <c r="D314" s="87"/>
      <c r="E314" s="87"/>
      <c r="F314" s="87"/>
      <c r="G314" s="87"/>
      <c r="H314" s="146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</row>
    <row r="315" ht="18.75" customHeight="1">
      <c r="A315" s="87"/>
      <c r="B315" s="87"/>
      <c r="C315" s="87"/>
      <c r="D315" s="87"/>
      <c r="E315" s="87"/>
      <c r="F315" s="87"/>
      <c r="G315" s="87"/>
      <c r="H315" s="146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</row>
    <row r="316" ht="18.75" customHeight="1">
      <c r="A316" s="87"/>
      <c r="B316" s="87"/>
      <c r="C316" s="87"/>
      <c r="D316" s="87"/>
      <c r="E316" s="87"/>
      <c r="F316" s="87"/>
      <c r="G316" s="87"/>
      <c r="H316" s="146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</row>
    <row r="317" ht="18.75" customHeight="1">
      <c r="A317" s="87"/>
      <c r="B317" s="87"/>
      <c r="C317" s="87"/>
      <c r="D317" s="87"/>
      <c r="E317" s="87"/>
      <c r="F317" s="87"/>
      <c r="G317" s="87"/>
      <c r="H317" s="146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</row>
    <row r="318" ht="18.75" customHeight="1">
      <c r="A318" s="87"/>
      <c r="B318" s="87"/>
      <c r="C318" s="87"/>
      <c r="D318" s="87"/>
      <c r="E318" s="87"/>
      <c r="F318" s="87"/>
      <c r="G318" s="87"/>
      <c r="H318" s="146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</row>
    <row r="319" ht="18.75" customHeight="1">
      <c r="A319" s="87"/>
      <c r="B319" s="87"/>
      <c r="C319" s="87"/>
      <c r="D319" s="87"/>
      <c r="E319" s="87"/>
      <c r="F319" s="87"/>
      <c r="G319" s="87"/>
      <c r="H319" s="146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</row>
    <row r="320" ht="18.75" customHeight="1">
      <c r="A320" s="87"/>
      <c r="B320" s="87"/>
      <c r="C320" s="87"/>
      <c r="D320" s="87"/>
      <c r="E320" s="87"/>
      <c r="F320" s="87"/>
      <c r="G320" s="87"/>
      <c r="H320" s="146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</row>
    <row r="321" ht="18.75" customHeight="1">
      <c r="A321" s="87"/>
      <c r="B321" s="87"/>
      <c r="C321" s="87"/>
      <c r="D321" s="87"/>
      <c r="E321" s="87"/>
      <c r="F321" s="87"/>
      <c r="G321" s="87"/>
      <c r="H321" s="146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</row>
    <row r="322" ht="18.75" customHeight="1">
      <c r="A322" s="87"/>
      <c r="B322" s="87"/>
      <c r="C322" s="87"/>
      <c r="D322" s="87"/>
      <c r="E322" s="87"/>
      <c r="F322" s="87"/>
      <c r="G322" s="87"/>
      <c r="H322" s="146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</row>
    <row r="323" ht="18.75" customHeight="1">
      <c r="A323" s="87"/>
      <c r="B323" s="87"/>
      <c r="C323" s="87"/>
      <c r="D323" s="87"/>
      <c r="E323" s="87"/>
      <c r="F323" s="87"/>
      <c r="G323" s="87"/>
      <c r="H323" s="146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</row>
    <row r="324" ht="18.75" customHeight="1">
      <c r="A324" s="87"/>
      <c r="B324" s="87"/>
      <c r="C324" s="87"/>
      <c r="D324" s="87"/>
      <c r="E324" s="87"/>
      <c r="F324" s="87"/>
      <c r="G324" s="87"/>
      <c r="H324" s="146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</row>
    <row r="325" ht="18.75" customHeight="1">
      <c r="A325" s="87"/>
      <c r="B325" s="87"/>
      <c r="C325" s="87"/>
      <c r="D325" s="87"/>
      <c r="E325" s="87"/>
      <c r="F325" s="87"/>
      <c r="G325" s="87"/>
      <c r="H325" s="146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</row>
    <row r="326" ht="18.75" customHeight="1">
      <c r="A326" s="87"/>
      <c r="B326" s="87"/>
      <c r="C326" s="87"/>
      <c r="D326" s="87"/>
      <c r="E326" s="87"/>
      <c r="F326" s="87"/>
      <c r="G326" s="87"/>
      <c r="H326" s="146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</row>
    <row r="327" ht="18.75" customHeight="1">
      <c r="A327" s="87"/>
      <c r="B327" s="87"/>
      <c r="C327" s="87"/>
      <c r="D327" s="87"/>
      <c r="E327" s="87"/>
      <c r="F327" s="87"/>
      <c r="G327" s="87"/>
      <c r="H327" s="146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</row>
    <row r="328" ht="18.75" customHeight="1">
      <c r="A328" s="87"/>
      <c r="B328" s="87"/>
      <c r="C328" s="87"/>
      <c r="D328" s="87"/>
      <c r="E328" s="87"/>
      <c r="F328" s="87"/>
      <c r="G328" s="87"/>
      <c r="H328" s="146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</row>
    <row r="329" ht="18.75" customHeight="1">
      <c r="A329" s="87"/>
      <c r="B329" s="87"/>
      <c r="C329" s="87"/>
      <c r="D329" s="87"/>
      <c r="E329" s="87"/>
      <c r="F329" s="87"/>
      <c r="G329" s="87"/>
      <c r="H329" s="146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</row>
    <row r="330" ht="18.75" customHeight="1">
      <c r="A330" s="87"/>
      <c r="B330" s="87"/>
      <c r="C330" s="87"/>
      <c r="D330" s="87"/>
      <c r="E330" s="87"/>
      <c r="F330" s="87"/>
      <c r="G330" s="87"/>
      <c r="H330" s="146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</row>
    <row r="331" ht="18.75" customHeight="1">
      <c r="A331" s="87"/>
      <c r="B331" s="87"/>
      <c r="C331" s="87"/>
      <c r="D331" s="87"/>
      <c r="E331" s="87"/>
      <c r="F331" s="87"/>
      <c r="G331" s="87"/>
      <c r="H331" s="146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</row>
    <row r="332" ht="18.75" customHeight="1">
      <c r="A332" s="87"/>
      <c r="B332" s="87"/>
      <c r="C332" s="87"/>
      <c r="D332" s="87"/>
      <c r="E332" s="87"/>
      <c r="F332" s="87"/>
      <c r="G332" s="87"/>
      <c r="H332" s="146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</row>
    <row r="333" ht="18.75" customHeight="1">
      <c r="A333" s="87"/>
      <c r="B333" s="87"/>
      <c r="C333" s="87"/>
      <c r="D333" s="87"/>
      <c r="E333" s="87"/>
      <c r="F333" s="87"/>
      <c r="G333" s="87"/>
      <c r="H333" s="146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</row>
    <row r="334" ht="18.75" customHeight="1">
      <c r="A334" s="87"/>
      <c r="B334" s="87"/>
      <c r="C334" s="87"/>
      <c r="D334" s="87"/>
      <c r="E334" s="87"/>
      <c r="F334" s="87"/>
      <c r="G334" s="87"/>
      <c r="H334" s="146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</row>
    <row r="335" ht="18.75" customHeight="1">
      <c r="A335" s="87"/>
      <c r="B335" s="87"/>
      <c r="C335" s="87"/>
      <c r="D335" s="87"/>
      <c r="E335" s="87"/>
      <c r="F335" s="87"/>
      <c r="G335" s="87"/>
      <c r="H335" s="146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</row>
    <row r="336" ht="18.75" customHeight="1">
      <c r="A336" s="87"/>
      <c r="B336" s="87"/>
      <c r="C336" s="87"/>
      <c r="D336" s="87"/>
      <c r="E336" s="87"/>
      <c r="F336" s="87"/>
      <c r="G336" s="87"/>
      <c r="H336" s="146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</row>
    <row r="337" ht="18.75" customHeight="1">
      <c r="A337" s="87"/>
      <c r="B337" s="87"/>
      <c r="C337" s="87"/>
      <c r="D337" s="87"/>
      <c r="E337" s="87"/>
      <c r="F337" s="87"/>
      <c r="G337" s="87"/>
      <c r="H337" s="146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</row>
    <row r="338" ht="18.75" customHeight="1">
      <c r="A338" s="87"/>
      <c r="B338" s="87"/>
      <c r="C338" s="87"/>
      <c r="D338" s="87"/>
      <c r="E338" s="87"/>
      <c r="F338" s="87"/>
      <c r="G338" s="87"/>
      <c r="H338" s="146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</row>
    <row r="339" ht="18.75" customHeight="1">
      <c r="A339" s="87"/>
      <c r="B339" s="87"/>
      <c r="C339" s="87"/>
      <c r="D339" s="87"/>
      <c r="E339" s="87"/>
      <c r="F339" s="87"/>
      <c r="G339" s="87"/>
      <c r="H339" s="146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</row>
    <row r="340" ht="18.75" customHeight="1">
      <c r="A340" s="87"/>
      <c r="B340" s="87"/>
      <c r="C340" s="87"/>
      <c r="D340" s="87"/>
      <c r="E340" s="87"/>
      <c r="F340" s="87"/>
      <c r="G340" s="87"/>
      <c r="H340" s="146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</row>
    <row r="341" ht="18.75" customHeight="1">
      <c r="A341" s="87"/>
      <c r="B341" s="87"/>
      <c r="C341" s="87"/>
      <c r="D341" s="87"/>
      <c r="E341" s="87"/>
      <c r="F341" s="87"/>
      <c r="G341" s="87"/>
      <c r="H341" s="146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</row>
    <row r="342" ht="18.75" customHeight="1">
      <c r="A342" s="87"/>
      <c r="B342" s="87"/>
      <c r="C342" s="87"/>
      <c r="D342" s="87"/>
      <c r="E342" s="87"/>
      <c r="F342" s="87"/>
      <c r="G342" s="87"/>
      <c r="H342" s="146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</row>
    <row r="343" ht="18.75" customHeight="1">
      <c r="A343" s="87"/>
      <c r="B343" s="87"/>
      <c r="C343" s="87"/>
      <c r="D343" s="87"/>
      <c r="E343" s="87"/>
      <c r="F343" s="87"/>
      <c r="G343" s="87"/>
      <c r="H343" s="146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</row>
    <row r="344" ht="18.75" customHeight="1">
      <c r="A344" s="87"/>
      <c r="B344" s="87"/>
      <c r="C344" s="87"/>
      <c r="D344" s="87"/>
      <c r="E344" s="87"/>
      <c r="F344" s="87"/>
      <c r="G344" s="87"/>
      <c r="H344" s="146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</row>
    <row r="345" ht="18.75" customHeight="1">
      <c r="A345" s="87"/>
      <c r="B345" s="87"/>
      <c r="C345" s="87"/>
      <c r="D345" s="87"/>
      <c r="E345" s="87"/>
      <c r="F345" s="87"/>
      <c r="G345" s="87"/>
      <c r="H345" s="146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</row>
    <row r="346" ht="18.75" customHeight="1">
      <c r="A346" s="87"/>
      <c r="B346" s="87"/>
      <c r="C346" s="87"/>
      <c r="D346" s="87"/>
      <c r="E346" s="87"/>
      <c r="F346" s="87"/>
      <c r="G346" s="87"/>
      <c r="H346" s="146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</row>
    <row r="347" ht="18.75" customHeight="1">
      <c r="A347" s="87"/>
      <c r="B347" s="87"/>
      <c r="C347" s="87"/>
      <c r="D347" s="87"/>
      <c r="E347" s="87"/>
      <c r="F347" s="87"/>
      <c r="G347" s="87"/>
      <c r="H347" s="146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</row>
    <row r="348" ht="18.75" customHeight="1">
      <c r="A348" s="87"/>
      <c r="B348" s="87"/>
      <c r="C348" s="87"/>
      <c r="D348" s="87"/>
      <c r="E348" s="87"/>
      <c r="F348" s="87"/>
      <c r="G348" s="87"/>
      <c r="H348" s="146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</row>
    <row r="349" ht="18.75" customHeight="1">
      <c r="A349" s="87"/>
      <c r="B349" s="87"/>
      <c r="C349" s="87"/>
      <c r="D349" s="87"/>
      <c r="E349" s="87"/>
      <c r="F349" s="87"/>
      <c r="G349" s="87"/>
      <c r="H349" s="146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</row>
    <row r="350" ht="18.75" customHeight="1">
      <c r="A350" s="87"/>
      <c r="B350" s="87"/>
      <c r="C350" s="87"/>
      <c r="D350" s="87"/>
      <c r="E350" s="87"/>
      <c r="F350" s="87"/>
      <c r="G350" s="87"/>
      <c r="H350" s="146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</row>
    <row r="351" ht="18.75" customHeight="1">
      <c r="A351" s="87"/>
      <c r="B351" s="87"/>
      <c r="C351" s="87"/>
      <c r="D351" s="87"/>
      <c r="E351" s="87"/>
      <c r="F351" s="87"/>
      <c r="G351" s="87"/>
      <c r="H351" s="146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</row>
    <row r="352" ht="18.75" customHeight="1">
      <c r="A352" s="87"/>
      <c r="B352" s="87"/>
      <c r="C352" s="87"/>
      <c r="D352" s="87"/>
      <c r="E352" s="87"/>
      <c r="F352" s="87"/>
      <c r="G352" s="87"/>
      <c r="H352" s="146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</row>
    <row r="353" ht="18.75" customHeight="1">
      <c r="A353" s="87"/>
      <c r="B353" s="87"/>
      <c r="C353" s="87"/>
      <c r="D353" s="87"/>
      <c r="E353" s="87"/>
      <c r="F353" s="87"/>
      <c r="G353" s="87"/>
      <c r="H353" s="146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</row>
    <row r="354" ht="18.75" customHeight="1">
      <c r="A354" s="87"/>
      <c r="B354" s="87"/>
      <c r="C354" s="87"/>
      <c r="D354" s="87"/>
      <c r="E354" s="87"/>
      <c r="F354" s="87"/>
      <c r="G354" s="87"/>
      <c r="H354" s="146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</row>
    <row r="355" ht="18.75" customHeight="1">
      <c r="A355" s="87"/>
      <c r="B355" s="87"/>
      <c r="C355" s="87"/>
      <c r="D355" s="87"/>
      <c r="E355" s="87"/>
      <c r="F355" s="87"/>
      <c r="G355" s="87"/>
      <c r="H355" s="146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</row>
    <row r="356" ht="18.75" customHeight="1">
      <c r="A356" s="87"/>
      <c r="B356" s="87"/>
      <c r="C356" s="87"/>
      <c r="D356" s="87"/>
      <c r="E356" s="87"/>
      <c r="F356" s="87"/>
      <c r="G356" s="87"/>
      <c r="H356" s="146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</row>
    <row r="357" ht="18.75" customHeight="1">
      <c r="A357" s="87"/>
      <c r="B357" s="87"/>
      <c r="C357" s="87"/>
      <c r="D357" s="87"/>
      <c r="E357" s="87"/>
      <c r="F357" s="87"/>
      <c r="G357" s="87"/>
      <c r="H357" s="146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</row>
    <row r="358" ht="18.75" customHeight="1">
      <c r="A358" s="87"/>
      <c r="B358" s="87"/>
      <c r="C358" s="87"/>
      <c r="D358" s="87"/>
      <c r="E358" s="87"/>
      <c r="F358" s="87"/>
      <c r="G358" s="87"/>
      <c r="H358" s="146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</row>
    <row r="359" ht="18.75" customHeight="1">
      <c r="A359" s="87"/>
      <c r="B359" s="87"/>
      <c r="C359" s="87"/>
      <c r="D359" s="87"/>
      <c r="E359" s="87"/>
      <c r="F359" s="87"/>
      <c r="G359" s="87"/>
      <c r="H359" s="146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</row>
    <row r="360" ht="18.75" customHeight="1">
      <c r="A360" s="87"/>
      <c r="B360" s="87"/>
      <c r="C360" s="87"/>
      <c r="D360" s="87"/>
      <c r="E360" s="87"/>
      <c r="F360" s="87"/>
      <c r="G360" s="87"/>
      <c r="H360" s="146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</row>
    <row r="361" ht="18.75" customHeight="1">
      <c r="A361" s="87"/>
      <c r="B361" s="87"/>
      <c r="C361" s="87"/>
      <c r="D361" s="87"/>
      <c r="E361" s="87"/>
      <c r="F361" s="87"/>
      <c r="G361" s="87"/>
      <c r="H361" s="146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</row>
    <row r="362" ht="18.75" customHeight="1">
      <c r="A362" s="87"/>
      <c r="B362" s="87"/>
      <c r="C362" s="87"/>
      <c r="D362" s="87"/>
      <c r="E362" s="87"/>
      <c r="F362" s="87"/>
      <c r="G362" s="87"/>
      <c r="H362" s="146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</row>
    <row r="363" ht="18.75" customHeight="1">
      <c r="A363" s="87"/>
      <c r="B363" s="87"/>
      <c r="C363" s="87"/>
      <c r="D363" s="87"/>
      <c r="E363" s="87"/>
      <c r="F363" s="87"/>
      <c r="G363" s="87"/>
      <c r="H363" s="146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</row>
    <row r="364" ht="18.75" customHeight="1">
      <c r="A364" s="87"/>
      <c r="B364" s="87"/>
      <c r="C364" s="87"/>
      <c r="D364" s="87"/>
      <c r="E364" s="87"/>
      <c r="F364" s="87"/>
      <c r="G364" s="87"/>
      <c r="H364" s="146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</row>
    <row r="365" ht="18.75" customHeight="1">
      <c r="A365" s="87"/>
      <c r="B365" s="87"/>
      <c r="C365" s="87"/>
      <c r="D365" s="87"/>
      <c r="E365" s="87"/>
      <c r="F365" s="87"/>
      <c r="G365" s="87"/>
      <c r="H365" s="146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</row>
    <row r="366" ht="18.75" customHeight="1">
      <c r="A366" s="87"/>
      <c r="B366" s="87"/>
      <c r="C366" s="87"/>
      <c r="D366" s="87"/>
      <c r="E366" s="87"/>
      <c r="F366" s="87"/>
      <c r="G366" s="87"/>
      <c r="H366" s="146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</row>
    <row r="367" ht="18.75" customHeight="1">
      <c r="A367" s="87"/>
      <c r="B367" s="87"/>
      <c r="C367" s="87"/>
      <c r="D367" s="87"/>
      <c r="E367" s="87"/>
      <c r="F367" s="87"/>
      <c r="G367" s="87"/>
      <c r="H367" s="146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</row>
    <row r="368" ht="18.75" customHeight="1">
      <c r="A368" s="87"/>
      <c r="B368" s="87"/>
      <c r="C368" s="87"/>
      <c r="D368" s="87"/>
      <c r="E368" s="87"/>
      <c r="F368" s="87"/>
      <c r="G368" s="87"/>
      <c r="H368" s="146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</row>
    <row r="369" ht="18.75" customHeight="1">
      <c r="A369" s="87"/>
      <c r="B369" s="87"/>
      <c r="C369" s="87"/>
      <c r="D369" s="87"/>
      <c r="E369" s="87"/>
      <c r="F369" s="87"/>
      <c r="G369" s="87"/>
      <c r="H369" s="146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</row>
    <row r="370" ht="18.75" customHeight="1">
      <c r="A370" s="87"/>
      <c r="B370" s="87"/>
      <c r="C370" s="87"/>
      <c r="D370" s="87"/>
      <c r="E370" s="87"/>
      <c r="F370" s="87"/>
      <c r="G370" s="87"/>
      <c r="H370" s="146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</row>
    <row r="371" ht="18.75" customHeight="1">
      <c r="A371" s="87"/>
      <c r="B371" s="87"/>
      <c r="C371" s="87"/>
      <c r="D371" s="87"/>
      <c r="E371" s="87"/>
      <c r="F371" s="87"/>
      <c r="G371" s="87"/>
      <c r="H371" s="146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</row>
    <row r="372" ht="18.75" customHeight="1">
      <c r="A372" s="87"/>
      <c r="B372" s="87"/>
      <c r="C372" s="87"/>
      <c r="D372" s="87"/>
      <c r="E372" s="87"/>
      <c r="F372" s="87"/>
      <c r="G372" s="87"/>
      <c r="H372" s="146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</row>
    <row r="373" ht="18.75" customHeight="1">
      <c r="A373" s="87"/>
      <c r="B373" s="87"/>
      <c r="C373" s="87"/>
      <c r="D373" s="87"/>
      <c r="E373" s="87"/>
      <c r="F373" s="87"/>
      <c r="G373" s="87"/>
      <c r="H373" s="146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</row>
    <row r="374" ht="18.75" customHeight="1">
      <c r="A374" s="87"/>
      <c r="B374" s="87"/>
      <c r="C374" s="87"/>
      <c r="D374" s="87"/>
      <c r="E374" s="87"/>
      <c r="F374" s="87"/>
      <c r="G374" s="87"/>
      <c r="H374" s="146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</row>
    <row r="375" ht="18.75" customHeight="1">
      <c r="A375" s="87"/>
      <c r="B375" s="87"/>
      <c r="C375" s="87"/>
      <c r="D375" s="87"/>
      <c r="E375" s="87"/>
      <c r="F375" s="87"/>
      <c r="G375" s="87"/>
      <c r="H375" s="146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</row>
    <row r="376" ht="18.75" customHeight="1">
      <c r="A376" s="87"/>
      <c r="B376" s="87"/>
      <c r="C376" s="87"/>
      <c r="D376" s="87"/>
      <c r="E376" s="87"/>
      <c r="F376" s="87"/>
      <c r="G376" s="87"/>
      <c r="H376" s="146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</row>
    <row r="377" ht="18.75" customHeight="1">
      <c r="A377" s="87"/>
      <c r="B377" s="87"/>
      <c r="C377" s="87"/>
      <c r="D377" s="87"/>
      <c r="E377" s="87"/>
      <c r="F377" s="87"/>
      <c r="G377" s="87"/>
      <c r="H377" s="146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</row>
    <row r="378" ht="18.75" customHeight="1">
      <c r="A378" s="87"/>
      <c r="B378" s="87"/>
      <c r="C378" s="87"/>
      <c r="D378" s="87"/>
      <c r="E378" s="87"/>
      <c r="F378" s="87"/>
      <c r="G378" s="87"/>
      <c r="H378" s="146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</row>
    <row r="379" ht="18.75" customHeight="1">
      <c r="A379" s="87"/>
      <c r="B379" s="87"/>
      <c r="C379" s="87"/>
      <c r="D379" s="87"/>
      <c r="E379" s="87"/>
      <c r="F379" s="87"/>
      <c r="G379" s="87"/>
      <c r="H379" s="146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</row>
    <row r="380" ht="18.75" customHeight="1">
      <c r="A380" s="87"/>
      <c r="B380" s="87"/>
      <c r="C380" s="87"/>
      <c r="D380" s="87"/>
      <c r="E380" s="87"/>
      <c r="F380" s="87"/>
      <c r="G380" s="87"/>
      <c r="H380" s="146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</row>
    <row r="381" ht="18.75" customHeight="1">
      <c r="A381" s="87"/>
      <c r="B381" s="87"/>
      <c r="C381" s="87"/>
      <c r="D381" s="87"/>
      <c r="E381" s="87"/>
      <c r="F381" s="87"/>
      <c r="G381" s="87"/>
      <c r="H381" s="146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</row>
    <row r="382" ht="18.75" customHeight="1">
      <c r="A382" s="87"/>
      <c r="B382" s="87"/>
      <c r="C382" s="87"/>
      <c r="D382" s="87"/>
      <c r="E382" s="87"/>
      <c r="F382" s="87"/>
      <c r="G382" s="87"/>
      <c r="H382" s="146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</row>
    <row r="383" ht="18.75" customHeight="1">
      <c r="A383" s="87"/>
      <c r="B383" s="87"/>
      <c r="C383" s="87"/>
      <c r="D383" s="87"/>
      <c r="E383" s="87"/>
      <c r="F383" s="87"/>
      <c r="G383" s="87"/>
      <c r="H383" s="146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</row>
    <row r="384" ht="18.75" customHeight="1">
      <c r="A384" s="87"/>
      <c r="B384" s="87"/>
      <c r="C384" s="87"/>
      <c r="D384" s="87"/>
      <c r="E384" s="87"/>
      <c r="F384" s="87"/>
      <c r="G384" s="87"/>
      <c r="H384" s="146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</row>
    <row r="385" ht="18.75" customHeight="1">
      <c r="A385" s="87"/>
      <c r="B385" s="87"/>
      <c r="C385" s="87"/>
      <c r="D385" s="87"/>
      <c r="E385" s="87"/>
      <c r="F385" s="87"/>
      <c r="G385" s="87"/>
      <c r="H385" s="146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</row>
    <row r="386" ht="18.75" customHeight="1">
      <c r="A386" s="87"/>
      <c r="B386" s="87"/>
      <c r="C386" s="87"/>
      <c r="D386" s="87"/>
      <c r="E386" s="87"/>
      <c r="F386" s="87"/>
      <c r="G386" s="87"/>
      <c r="H386" s="146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</row>
    <row r="387" ht="18.75" customHeight="1">
      <c r="A387" s="87"/>
      <c r="B387" s="87"/>
      <c r="C387" s="87"/>
      <c r="D387" s="87"/>
      <c r="E387" s="87"/>
      <c r="F387" s="87"/>
      <c r="G387" s="87"/>
      <c r="H387" s="146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</row>
    <row r="388" ht="18.75" customHeight="1">
      <c r="A388" s="87"/>
      <c r="B388" s="87"/>
      <c r="C388" s="87"/>
      <c r="D388" s="87"/>
      <c r="E388" s="87"/>
      <c r="F388" s="87"/>
      <c r="G388" s="87"/>
      <c r="H388" s="146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</row>
    <row r="389" ht="18.75" customHeight="1">
      <c r="A389" s="87"/>
      <c r="B389" s="87"/>
      <c r="C389" s="87"/>
      <c r="D389" s="87"/>
      <c r="E389" s="87"/>
      <c r="F389" s="87"/>
      <c r="G389" s="87"/>
      <c r="H389" s="146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</row>
    <row r="390" ht="18.75" customHeight="1">
      <c r="A390" s="87"/>
      <c r="B390" s="87"/>
      <c r="C390" s="87"/>
      <c r="D390" s="87"/>
      <c r="E390" s="87"/>
      <c r="F390" s="87"/>
      <c r="G390" s="87"/>
      <c r="H390" s="146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</row>
    <row r="391" ht="18.75" customHeight="1">
      <c r="A391" s="87"/>
      <c r="B391" s="87"/>
      <c r="C391" s="87"/>
      <c r="D391" s="87"/>
      <c r="E391" s="87"/>
      <c r="F391" s="87"/>
      <c r="G391" s="87"/>
      <c r="H391" s="146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</row>
    <row r="392" ht="18.75" customHeight="1">
      <c r="A392" s="87"/>
      <c r="B392" s="87"/>
      <c r="C392" s="87"/>
      <c r="D392" s="87"/>
      <c r="E392" s="87"/>
      <c r="F392" s="87"/>
      <c r="G392" s="87"/>
      <c r="H392" s="146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</row>
    <row r="393" ht="18.75" customHeight="1">
      <c r="A393" s="87"/>
      <c r="B393" s="87"/>
      <c r="C393" s="87"/>
      <c r="D393" s="87"/>
      <c r="E393" s="87"/>
      <c r="F393" s="87"/>
      <c r="G393" s="87"/>
      <c r="H393" s="146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</row>
    <row r="394" ht="18.75" customHeight="1">
      <c r="A394" s="87"/>
      <c r="B394" s="87"/>
      <c r="C394" s="87"/>
      <c r="D394" s="87"/>
      <c r="E394" s="87"/>
      <c r="F394" s="87"/>
      <c r="G394" s="87"/>
      <c r="H394" s="146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</row>
    <row r="395" ht="18.75" customHeight="1">
      <c r="A395" s="87"/>
      <c r="B395" s="87"/>
      <c r="C395" s="87"/>
      <c r="D395" s="87"/>
      <c r="E395" s="87"/>
      <c r="F395" s="87"/>
      <c r="G395" s="87"/>
      <c r="H395" s="146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</row>
    <row r="396" ht="18.75" customHeight="1">
      <c r="A396" s="87"/>
      <c r="B396" s="87"/>
      <c r="C396" s="87"/>
      <c r="D396" s="87"/>
      <c r="E396" s="87"/>
      <c r="F396" s="87"/>
      <c r="G396" s="87"/>
      <c r="H396" s="146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</row>
    <row r="397" ht="18.75" customHeight="1">
      <c r="A397" s="87"/>
      <c r="B397" s="87"/>
      <c r="C397" s="87"/>
      <c r="D397" s="87"/>
      <c r="E397" s="87"/>
      <c r="F397" s="87"/>
      <c r="G397" s="87"/>
      <c r="H397" s="146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</row>
    <row r="398" ht="18.75" customHeight="1">
      <c r="A398" s="87"/>
      <c r="B398" s="87"/>
      <c r="C398" s="87"/>
      <c r="D398" s="87"/>
      <c r="E398" s="87"/>
      <c r="F398" s="87"/>
      <c r="G398" s="87"/>
      <c r="H398" s="146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</row>
    <row r="399" ht="18.75" customHeight="1">
      <c r="A399" s="87"/>
      <c r="B399" s="87"/>
      <c r="C399" s="87"/>
      <c r="D399" s="87"/>
      <c r="E399" s="87"/>
      <c r="F399" s="87"/>
      <c r="G399" s="87"/>
      <c r="H399" s="146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</row>
    <row r="400" ht="18.75" customHeight="1">
      <c r="A400" s="87"/>
      <c r="B400" s="87"/>
      <c r="C400" s="87"/>
      <c r="D400" s="87"/>
      <c r="E400" s="87"/>
      <c r="F400" s="87"/>
      <c r="G400" s="87"/>
      <c r="H400" s="146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</row>
    <row r="401" ht="18.75" customHeight="1">
      <c r="A401" s="87"/>
      <c r="B401" s="87"/>
      <c r="C401" s="87"/>
      <c r="D401" s="87"/>
      <c r="E401" s="87"/>
      <c r="F401" s="87"/>
      <c r="G401" s="87"/>
      <c r="H401" s="146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</row>
    <row r="402" ht="18.75" customHeight="1">
      <c r="A402" s="87"/>
      <c r="B402" s="87"/>
      <c r="C402" s="87"/>
      <c r="D402" s="87"/>
      <c r="E402" s="87"/>
      <c r="F402" s="87"/>
      <c r="G402" s="87"/>
      <c r="H402" s="146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</row>
    <row r="403" ht="18.75" customHeight="1">
      <c r="A403" s="87"/>
      <c r="B403" s="87"/>
      <c r="C403" s="87"/>
      <c r="D403" s="87"/>
      <c r="E403" s="87"/>
      <c r="F403" s="87"/>
      <c r="G403" s="87"/>
      <c r="H403" s="146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</row>
    <row r="404" ht="18.75" customHeight="1">
      <c r="A404" s="87"/>
      <c r="B404" s="87"/>
      <c r="C404" s="87"/>
      <c r="D404" s="87"/>
      <c r="E404" s="87"/>
      <c r="F404" s="87"/>
      <c r="G404" s="87"/>
      <c r="H404" s="146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</row>
    <row r="405" ht="18.75" customHeight="1">
      <c r="A405" s="87"/>
      <c r="B405" s="87"/>
      <c r="C405" s="87"/>
      <c r="D405" s="87"/>
      <c r="E405" s="87"/>
      <c r="F405" s="87"/>
      <c r="G405" s="87"/>
      <c r="H405" s="146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</row>
    <row r="406" ht="18.75" customHeight="1">
      <c r="A406" s="87"/>
      <c r="B406" s="87"/>
      <c r="C406" s="87"/>
      <c r="D406" s="87"/>
      <c r="E406" s="87"/>
      <c r="F406" s="87"/>
      <c r="G406" s="87"/>
      <c r="H406" s="146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</row>
    <row r="407" ht="18.75" customHeight="1">
      <c r="A407" s="87"/>
      <c r="B407" s="87"/>
      <c r="C407" s="87"/>
      <c r="D407" s="87"/>
      <c r="E407" s="87"/>
      <c r="F407" s="87"/>
      <c r="G407" s="87"/>
      <c r="H407" s="146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</row>
    <row r="408" ht="18.75" customHeight="1">
      <c r="A408" s="87"/>
      <c r="B408" s="87"/>
      <c r="C408" s="87"/>
      <c r="D408" s="87"/>
      <c r="E408" s="87"/>
      <c r="F408" s="87"/>
      <c r="G408" s="87"/>
      <c r="H408" s="146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</row>
    <row r="409" ht="18.75" customHeight="1">
      <c r="A409" s="87"/>
      <c r="B409" s="87"/>
      <c r="C409" s="87"/>
      <c r="D409" s="87"/>
      <c r="E409" s="87"/>
      <c r="F409" s="87"/>
      <c r="G409" s="87"/>
      <c r="H409" s="146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</row>
    <row r="410" ht="18.75" customHeight="1">
      <c r="A410" s="87"/>
      <c r="B410" s="87"/>
      <c r="C410" s="87"/>
      <c r="D410" s="87"/>
      <c r="E410" s="87"/>
      <c r="F410" s="87"/>
      <c r="G410" s="87"/>
      <c r="H410" s="146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</row>
    <row r="411" ht="18.75" customHeight="1">
      <c r="A411" s="87"/>
      <c r="B411" s="87"/>
      <c r="C411" s="87"/>
      <c r="D411" s="87"/>
      <c r="E411" s="87"/>
      <c r="F411" s="87"/>
      <c r="G411" s="87"/>
      <c r="H411" s="146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</row>
    <row r="412" ht="18.75" customHeight="1">
      <c r="A412" s="87"/>
      <c r="B412" s="87"/>
      <c r="C412" s="87"/>
      <c r="D412" s="87"/>
      <c r="E412" s="87"/>
      <c r="F412" s="87"/>
      <c r="G412" s="87"/>
      <c r="H412" s="146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</row>
    <row r="413" ht="18.75" customHeight="1">
      <c r="A413" s="87"/>
      <c r="B413" s="87"/>
      <c r="C413" s="87"/>
      <c r="D413" s="87"/>
      <c r="E413" s="87"/>
      <c r="F413" s="87"/>
      <c r="G413" s="87"/>
      <c r="H413" s="146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</row>
    <row r="414" ht="18.75" customHeight="1">
      <c r="A414" s="87"/>
      <c r="B414" s="87"/>
      <c r="C414" s="87"/>
      <c r="D414" s="87"/>
      <c r="E414" s="87"/>
      <c r="F414" s="87"/>
      <c r="G414" s="87"/>
      <c r="H414" s="146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</row>
    <row r="415" ht="18.75" customHeight="1">
      <c r="A415" s="87"/>
      <c r="B415" s="87"/>
      <c r="C415" s="87"/>
      <c r="D415" s="87"/>
      <c r="E415" s="87"/>
      <c r="F415" s="87"/>
      <c r="G415" s="87"/>
      <c r="H415" s="146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</row>
    <row r="416" ht="18.75" customHeight="1">
      <c r="A416" s="87"/>
      <c r="B416" s="87"/>
      <c r="C416" s="87"/>
      <c r="D416" s="87"/>
      <c r="E416" s="87"/>
      <c r="F416" s="87"/>
      <c r="G416" s="87"/>
      <c r="H416" s="146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</row>
    <row r="417" ht="18.75" customHeight="1">
      <c r="A417" s="87"/>
      <c r="B417" s="87"/>
      <c r="C417" s="87"/>
      <c r="D417" s="87"/>
      <c r="E417" s="87"/>
      <c r="F417" s="87"/>
      <c r="G417" s="87"/>
      <c r="H417" s="146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</row>
    <row r="418" ht="18.75" customHeight="1">
      <c r="A418" s="87"/>
      <c r="B418" s="87"/>
      <c r="C418" s="87"/>
      <c r="D418" s="87"/>
      <c r="E418" s="87"/>
      <c r="F418" s="87"/>
      <c r="G418" s="87"/>
      <c r="H418" s="146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</row>
    <row r="419" ht="18.75" customHeight="1">
      <c r="A419" s="87"/>
      <c r="B419" s="87"/>
      <c r="C419" s="87"/>
      <c r="D419" s="87"/>
      <c r="E419" s="87"/>
      <c r="F419" s="87"/>
      <c r="G419" s="87"/>
      <c r="H419" s="146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</row>
    <row r="420" ht="18.75" customHeight="1">
      <c r="A420" s="87"/>
      <c r="B420" s="87"/>
      <c r="C420" s="87"/>
      <c r="D420" s="87"/>
      <c r="E420" s="87"/>
      <c r="F420" s="87"/>
      <c r="G420" s="87"/>
      <c r="H420" s="146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</row>
    <row r="421" ht="18.75" customHeight="1">
      <c r="A421" s="87"/>
      <c r="B421" s="87"/>
      <c r="C421" s="87"/>
      <c r="D421" s="87"/>
      <c r="E421" s="87"/>
      <c r="F421" s="87"/>
      <c r="G421" s="87"/>
      <c r="H421" s="146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</row>
    <row r="422" ht="18.75" customHeight="1">
      <c r="A422" s="87"/>
      <c r="B422" s="87"/>
      <c r="C422" s="87"/>
      <c r="D422" s="87"/>
      <c r="E422" s="87"/>
      <c r="F422" s="87"/>
      <c r="G422" s="87"/>
      <c r="H422" s="146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</row>
    <row r="423" ht="18.75" customHeight="1">
      <c r="A423" s="87"/>
      <c r="B423" s="87"/>
      <c r="C423" s="87"/>
      <c r="D423" s="87"/>
      <c r="E423" s="87"/>
      <c r="F423" s="87"/>
      <c r="G423" s="87"/>
      <c r="H423" s="146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</row>
    <row r="424" ht="18.75" customHeight="1">
      <c r="A424" s="87"/>
      <c r="B424" s="87"/>
      <c r="C424" s="87"/>
      <c r="D424" s="87"/>
      <c r="E424" s="87"/>
      <c r="F424" s="87"/>
      <c r="G424" s="87"/>
      <c r="H424" s="146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</row>
    <row r="425" ht="18.75" customHeight="1">
      <c r="A425" s="87"/>
      <c r="B425" s="87"/>
      <c r="C425" s="87"/>
      <c r="D425" s="87"/>
      <c r="E425" s="87"/>
      <c r="F425" s="87"/>
      <c r="G425" s="87"/>
      <c r="H425" s="146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</row>
    <row r="426" ht="18.75" customHeight="1">
      <c r="A426" s="87"/>
      <c r="B426" s="87"/>
      <c r="C426" s="87"/>
      <c r="D426" s="87"/>
      <c r="E426" s="87"/>
      <c r="F426" s="87"/>
      <c r="G426" s="87"/>
      <c r="H426" s="146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</row>
    <row r="427" ht="18.75" customHeight="1">
      <c r="A427" s="87"/>
      <c r="B427" s="87"/>
      <c r="C427" s="87"/>
      <c r="D427" s="87"/>
      <c r="E427" s="87"/>
      <c r="F427" s="87"/>
      <c r="G427" s="87"/>
      <c r="H427" s="146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</row>
    <row r="428" ht="18.75" customHeight="1">
      <c r="A428" s="87"/>
      <c r="B428" s="87"/>
      <c r="C428" s="87"/>
      <c r="D428" s="87"/>
      <c r="E428" s="87"/>
      <c r="F428" s="87"/>
      <c r="G428" s="87"/>
      <c r="H428" s="146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</row>
    <row r="429" ht="18.75" customHeight="1">
      <c r="A429" s="87"/>
      <c r="B429" s="87"/>
      <c r="C429" s="87"/>
      <c r="D429" s="87"/>
      <c r="E429" s="87"/>
      <c r="F429" s="87"/>
      <c r="G429" s="87"/>
      <c r="H429" s="146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</row>
    <row r="430" ht="18.75" customHeight="1">
      <c r="A430" s="87"/>
      <c r="B430" s="87"/>
      <c r="C430" s="87"/>
      <c r="D430" s="87"/>
      <c r="E430" s="87"/>
      <c r="F430" s="87"/>
      <c r="G430" s="87"/>
      <c r="H430" s="146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</row>
    <row r="431" ht="18.75" customHeight="1">
      <c r="A431" s="87"/>
      <c r="B431" s="87"/>
      <c r="C431" s="87"/>
      <c r="D431" s="87"/>
      <c r="E431" s="87"/>
      <c r="F431" s="87"/>
      <c r="G431" s="87"/>
      <c r="H431" s="146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</row>
    <row r="432" ht="18.75" customHeight="1">
      <c r="A432" s="87"/>
      <c r="B432" s="87"/>
      <c r="C432" s="87"/>
      <c r="D432" s="87"/>
      <c r="E432" s="87"/>
      <c r="F432" s="87"/>
      <c r="G432" s="87"/>
      <c r="H432" s="146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</row>
    <row r="433" ht="18.75" customHeight="1">
      <c r="A433" s="87"/>
      <c r="B433" s="87"/>
      <c r="C433" s="87"/>
      <c r="D433" s="87"/>
      <c r="E433" s="87"/>
      <c r="F433" s="87"/>
      <c r="G433" s="87"/>
      <c r="H433" s="146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</row>
    <row r="434" ht="18.75" customHeight="1">
      <c r="A434" s="87"/>
      <c r="B434" s="87"/>
      <c r="C434" s="87"/>
      <c r="D434" s="87"/>
      <c r="E434" s="87"/>
      <c r="F434" s="87"/>
      <c r="G434" s="87"/>
      <c r="H434" s="146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</row>
    <row r="435" ht="18.75" customHeight="1">
      <c r="A435" s="87"/>
      <c r="B435" s="87"/>
      <c r="C435" s="87"/>
      <c r="D435" s="87"/>
      <c r="E435" s="87"/>
      <c r="F435" s="87"/>
      <c r="G435" s="87"/>
      <c r="H435" s="146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</row>
    <row r="436" ht="18.75" customHeight="1">
      <c r="A436" s="87"/>
      <c r="B436" s="87"/>
      <c r="C436" s="87"/>
      <c r="D436" s="87"/>
      <c r="E436" s="87"/>
      <c r="F436" s="87"/>
      <c r="G436" s="87"/>
      <c r="H436" s="146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</row>
    <row r="437" ht="18.75" customHeight="1">
      <c r="A437" s="87"/>
      <c r="B437" s="87"/>
      <c r="C437" s="87"/>
      <c r="D437" s="87"/>
      <c r="E437" s="87"/>
      <c r="F437" s="87"/>
      <c r="G437" s="87"/>
      <c r="H437" s="146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</row>
    <row r="438" ht="18.75" customHeight="1">
      <c r="A438" s="87"/>
      <c r="B438" s="87"/>
      <c r="C438" s="87"/>
      <c r="D438" s="87"/>
      <c r="E438" s="87"/>
      <c r="F438" s="87"/>
      <c r="G438" s="87"/>
      <c r="H438" s="146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</row>
    <row r="439" ht="18.75" customHeight="1">
      <c r="A439" s="87"/>
      <c r="B439" s="87"/>
      <c r="C439" s="87"/>
      <c r="D439" s="87"/>
      <c r="E439" s="87"/>
      <c r="F439" s="87"/>
      <c r="G439" s="87"/>
      <c r="H439" s="146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</row>
    <row r="440" ht="18.75" customHeight="1">
      <c r="A440" s="87"/>
      <c r="B440" s="87"/>
      <c r="C440" s="87"/>
      <c r="D440" s="87"/>
      <c r="E440" s="87"/>
      <c r="F440" s="87"/>
      <c r="G440" s="87"/>
      <c r="H440" s="146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</row>
    <row r="441" ht="18.75" customHeight="1">
      <c r="A441" s="87"/>
      <c r="B441" s="87"/>
      <c r="C441" s="87"/>
      <c r="D441" s="87"/>
      <c r="E441" s="87"/>
      <c r="F441" s="87"/>
      <c r="G441" s="87"/>
      <c r="H441" s="146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</row>
    <row r="442" ht="18.75" customHeight="1">
      <c r="A442" s="87"/>
      <c r="B442" s="87"/>
      <c r="C442" s="87"/>
      <c r="D442" s="87"/>
      <c r="E442" s="87"/>
      <c r="F442" s="87"/>
      <c r="G442" s="87"/>
      <c r="H442" s="146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</row>
    <row r="443" ht="18.75" customHeight="1">
      <c r="A443" s="87"/>
      <c r="B443" s="87"/>
      <c r="C443" s="87"/>
      <c r="D443" s="87"/>
      <c r="E443" s="87"/>
      <c r="F443" s="87"/>
      <c r="G443" s="87"/>
      <c r="H443" s="146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</row>
    <row r="444" ht="18.75" customHeight="1">
      <c r="A444" s="87"/>
      <c r="B444" s="87"/>
      <c r="C444" s="87"/>
      <c r="D444" s="87"/>
      <c r="E444" s="87"/>
      <c r="F444" s="87"/>
      <c r="G444" s="87"/>
      <c r="H444" s="146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</row>
    <row r="445" ht="18.75" customHeight="1">
      <c r="A445" s="87"/>
      <c r="B445" s="87"/>
      <c r="C445" s="87"/>
      <c r="D445" s="87"/>
      <c r="E445" s="87"/>
      <c r="F445" s="87"/>
      <c r="G445" s="87"/>
      <c r="H445" s="146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</row>
    <row r="446" ht="18.75" customHeight="1">
      <c r="A446" s="87"/>
      <c r="B446" s="87"/>
      <c r="C446" s="87"/>
      <c r="D446" s="87"/>
      <c r="E446" s="87"/>
      <c r="F446" s="87"/>
      <c r="G446" s="87"/>
      <c r="H446" s="146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</row>
    <row r="447" ht="18.75" customHeight="1">
      <c r="A447" s="87"/>
      <c r="B447" s="87"/>
      <c r="C447" s="87"/>
      <c r="D447" s="87"/>
      <c r="E447" s="87"/>
      <c r="F447" s="87"/>
      <c r="G447" s="87"/>
      <c r="H447" s="146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</row>
    <row r="448" ht="18.75" customHeight="1">
      <c r="A448" s="87"/>
      <c r="B448" s="87"/>
      <c r="C448" s="87"/>
      <c r="D448" s="87"/>
      <c r="E448" s="87"/>
      <c r="F448" s="87"/>
      <c r="G448" s="87"/>
      <c r="H448" s="146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</row>
    <row r="449" ht="18.75" customHeight="1">
      <c r="A449" s="87"/>
      <c r="B449" s="87"/>
      <c r="C449" s="87"/>
      <c r="D449" s="87"/>
      <c r="E449" s="87"/>
      <c r="F449" s="87"/>
      <c r="G449" s="87"/>
      <c r="H449" s="146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</row>
    <row r="450" ht="18.75" customHeight="1">
      <c r="A450" s="87"/>
      <c r="B450" s="87"/>
      <c r="C450" s="87"/>
      <c r="D450" s="87"/>
      <c r="E450" s="87"/>
      <c r="F450" s="87"/>
      <c r="G450" s="87"/>
      <c r="H450" s="146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</row>
    <row r="451" ht="18.75" customHeight="1">
      <c r="A451" s="87"/>
      <c r="B451" s="87"/>
      <c r="C451" s="87"/>
      <c r="D451" s="87"/>
      <c r="E451" s="87"/>
      <c r="F451" s="87"/>
      <c r="G451" s="87"/>
      <c r="H451" s="146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</row>
    <row r="452" ht="18.75" customHeight="1">
      <c r="A452" s="87"/>
      <c r="B452" s="87"/>
      <c r="C452" s="87"/>
      <c r="D452" s="87"/>
      <c r="E452" s="87"/>
      <c r="F452" s="87"/>
      <c r="G452" s="87"/>
      <c r="H452" s="146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</row>
    <row r="453" ht="18.75" customHeight="1">
      <c r="A453" s="87"/>
      <c r="B453" s="87"/>
      <c r="C453" s="87"/>
      <c r="D453" s="87"/>
      <c r="E453" s="87"/>
      <c r="F453" s="87"/>
      <c r="G453" s="87"/>
      <c r="H453" s="146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</row>
    <row r="454" ht="18.75" customHeight="1">
      <c r="A454" s="87"/>
      <c r="B454" s="87"/>
      <c r="C454" s="87"/>
      <c r="D454" s="87"/>
      <c r="E454" s="87"/>
      <c r="F454" s="87"/>
      <c r="G454" s="87"/>
      <c r="H454" s="146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</row>
    <row r="455" ht="18.75" customHeight="1">
      <c r="A455" s="87"/>
      <c r="B455" s="87"/>
      <c r="C455" s="87"/>
      <c r="D455" s="87"/>
      <c r="E455" s="87"/>
      <c r="F455" s="87"/>
      <c r="G455" s="87"/>
      <c r="H455" s="146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</row>
    <row r="456" ht="18.75" customHeight="1">
      <c r="A456" s="87"/>
      <c r="B456" s="87"/>
      <c r="C456" s="87"/>
      <c r="D456" s="87"/>
      <c r="E456" s="87"/>
      <c r="F456" s="87"/>
      <c r="G456" s="87"/>
      <c r="H456" s="146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</row>
    <row r="457" ht="18.75" customHeight="1">
      <c r="A457" s="87"/>
      <c r="B457" s="87"/>
      <c r="C457" s="87"/>
      <c r="D457" s="87"/>
      <c r="E457" s="87"/>
      <c r="F457" s="87"/>
      <c r="G457" s="87"/>
      <c r="H457" s="146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</row>
    <row r="458" ht="18.75" customHeight="1">
      <c r="A458" s="87"/>
      <c r="B458" s="87"/>
      <c r="C458" s="87"/>
      <c r="D458" s="87"/>
      <c r="E458" s="87"/>
      <c r="F458" s="87"/>
      <c r="G458" s="87"/>
      <c r="H458" s="146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</row>
    <row r="459" ht="18.75" customHeight="1">
      <c r="A459" s="87"/>
      <c r="B459" s="87"/>
      <c r="C459" s="87"/>
      <c r="D459" s="87"/>
      <c r="E459" s="87"/>
      <c r="F459" s="87"/>
      <c r="G459" s="87"/>
      <c r="H459" s="146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</row>
    <row r="460" ht="18.75" customHeight="1">
      <c r="A460" s="87"/>
      <c r="B460" s="87"/>
      <c r="C460" s="87"/>
      <c r="D460" s="87"/>
      <c r="E460" s="87"/>
      <c r="F460" s="87"/>
      <c r="G460" s="87"/>
      <c r="H460" s="146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</row>
    <row r="461" ht="18.75" customHeight="1">
      <c r="A461" s="87"/>
      <c r="B461" s="87"/>
      <c r="C461" s="87"/>
      <c r="D461" s="87"/>
      <c r="E461" s="87"/>
      <c r="F461" s="87"/>
      <c r="G461" s="87"/>
      <c r="H461" s="146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</row>
    <row r="462" ht="18.75" customHeight="1">
      <c r="A462" s="87"/>
      <c r="B462" s="87"/>
      <c r="C462" s="87"/>
      <c r="D462" s="87"/>
      <c r="E462" s="87"/>
      <c r="F462" s="87"/>
      <c r="G462" s="87"/>
      <c r="H462" s="146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</row>
    <row r="463" ht="18.75" customHeight="1">
      <c r="A463" s="87"/>
      <c r="B463" s="87"/>
      <c r="C463" s="87"/>
      <c r="D463" s="87"/>
      <c r="E463" s="87"/>
      <c r="F463" s="87"/>
      <c r="G463" s="87"/>
      <c r="H463" s="146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</row>
    <row r="464" ht="18.75" customHeight="1">
      <c r="A464" s="87"/>
      <c r="B464" s="87"/>
      <c r="C464" s="87"/>
      <c r="D464" s="87"/>
      <c r="E464" s="87"/>
      <c r="F464" s="87"/>
      <c r="G464" s="87"/>
      <c r="H464" s="146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</row>
    <row r="465" ht="18.75" customHeight="1">
      <c r="A465" s="87"/>
      <c r="B465" s="87"/>
      <c r="C465" s="87"/>
      <c r="D465" s="87"/>
      <c r="E465" s="87"/>
      <c r="F465" s="87"/>
      <c r="G465" s="87"/>
      <c r="H465" s="146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</row>
    <row r="466" ht="18.75" customHeight="1">
      <c r="A466" s="87"/>
      <c r="B466" s="87"/>
      <c r="C466" s="87"/>
      <c r="D466" s="87"/>
      <c r="E466" s="87"/>
      <c r="F466" s="87"/>
      <c r="G466" s="87"/>
      <c r="H466" s="146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</row>
    <row r="467" ht="18.75" customHeight="1">
      <c r="A467" s="87"/>
      <c r="B467" s="87"/>
      <c r="C467" s="87"/>
      <c r="D467" s="87"/>
      <c r="E467" s="87"/>
      <c r="F467" s="87"/>
      <c r="G467" s="87"/>
      <c r="H467" s="146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</row>
    <row r="468" ht="18.75" customHeight="1">
      <c r="A468" s="87"/>
      <c r="B468" s="87"/>
      <c r="C468" s="87"/>
      <c r="D468" s="87"/>
      <c r="E468" s="87"/>
      <c r="F468" s="87"/>
      <c r="G468" s="87"/>
      <c r="H468" s="146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</row>
    <row r="469" ht="18.75" customHeight="1">
      <c r="A469" s="87"/>
      <c r="B469" s="87"/>
      <c r="C469" s="87"/>
      <c r="D469" s="87"/>
      <c r="E469" s="87"/>
      <c r="F469" s="87"/>
      <c r="G469" s="87"/>
      <c r="H469" s="146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</row>
    <row r="470" ht="18.75" customHeight="1">
      <c r="A470" s="87"/>
      <c r="B470" s="87"/>
      <c r="C470" s="87"/>
      <c r="D470" s="87"/>
      <c r="E470" s="87"/>
      <c r="F470" s="87"/>
      <c r="G470" s="87"/>
      <c r="H470" s="146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</row>
    <row r="471" ht="18.75" customHeight="1">
      <c r="A471" s="87"/>
      <c r="B471" s="87"/>
      <c r="C471" s="87"/>
      <c r="D471" s="87"/>
      <c r="E471" s="87"/>
      <c r="F471" s="87"/>
      <c r="G471" s="87"/>
      <c r="H471" s="146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</row>
    <row r="472" ht="18.75" customHeight="1">
      <c r="A472" s="87"/>
      <c r="B472" s="87"/>
      <c r="C472" s="87"/>
      <c r="D472" s="87"/>
      <c r="E472" s="87"/>
      <c r="F472" s="87"/>
      <c r="G472" s="87"/>
      <c r="H472" s="146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</row>
    <row r="473" ht="18.75" customHeight="1">
      <c r="A473" s="87"/>
      <c r="B473" s="87"/>
      <c r="C473" s="87"/>
      <c r="D473" s="87"/>
      <c r="E473" s="87"/>
      <c r="F473" s="87"/>
      <c r="G473" s="87"/>
      <c r="H473" s="146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</row>
    <row r="474" ht="18.75" customHeight="1">
      <c r="A474" s="87"/>
      <c r="B474" s="87"/>
      <c r="C474" s="87"/>
      <c r="D474" s="87"/>
      <c r="E474" s="87"/>
      <c r="F474" s="87"/>
      <c r="G474" s="87"/>
      <c r="H474" s="146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</row>
    <row r="475" ht="18.75" customHeight="1">
      <c r="A475" s="87"/>
      <c r="B475" s="87"/>
      <c r="C475" s="87"/>
      <c r="D475" s="87"/>
      <c r="E475" s="87"/>
      <c r="F475" s="87"/>
      <c r="G475" s="87"/>
      <c r="H475" s="146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</row>
    <row r="476" ht="18.75" customHeight="1">
      <c r="A476" s="87"/>
      <c r="B476" s="87"/>
      <c r="C476" s="87"/>
      <c r="D476" s="87"/>
      <c r="E476" s="87"/>
      <c r="F476" s="87"/>
      <c r="G476" s="87"/>
      <c r="H476" s="146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</row>
    <row r="477" ht="18.75" customHeight="1">
      <c r="A477" s="87"/>
      <c r="B477" s="87"/>
      <c r="C477" s="87"/>
      <c r="D477" s="87"/>
      <c r="E477" s="87"/>
      <c r="F477" s="87"/>
      <c r="G477" s="87"/>
      <c r="H477" s="146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</row>
    <row r="478" ht="18.75" customHeight="1">
      <c r="A478" s="87"/>
      <c r="B478" s="87"/>
      <c r="C478" s="87"/>
      <c r="D478" s="87"/>
      <c r="E478" s="87"/>
      <c r="F478" s="87"/>
      <c r="G478" s="87"/>
      <c r="H478" s="146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</row>
    <row r="479" ht="18.75" customHeight="1">
      <c r="A479" s="87"/>
      <c r="B479" s="87"/>
      <c r="C479" s="87"/>
      <c r="D479" s="87"/>
      <c r="E479" s="87"/>
      <c r="F479" s="87"/>
      <c r="G479" s="87"/>
      <c r="H479" s="146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</row>
    <row r="480" ht="18.75" customHeight="1">
      <c r="A480" s="87"/>
      <c r="B480" s="87"/>
      <c r="C480" s="87"/>
      <c r="D480" s="87"/>
      <c r="E480" s="87"/>
      <c r="F480" s="87"/>
      <c r="G480" s="87"/>
      <c r="H480" s="146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</row>
    <row r="481" ht="18.75" customHeight="1">
      <c r="A481" s="87"/>
      <c r="B481" s="87"/>
      <c r="C481" s="87"/>
      <c r="D481" s="87"/>
      <c r="E481" s="87"/>
      <c r="F481" s="87"/>
      <c r="G481" s="87"/>
      <c r="H481" s="146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</row>
    <row r="482" ht="18.75" customHeight="1">
      <c r="A482" s="87"/>
      <c r="B482" s="87"/>
      <c r="C482" s="87"/>
      <c r="D482" s="87"/>
      <c r="E482" s="87"/>
      <c r="F482" s="87"/>
      <c r="G482" s="87"/>
      <c r="H482" s="146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</row>
    <row r="483" ht="18.75" customHeight="1">
      <c r="A483" s="87"/>
      <c r="B483" s="87"/>
      <c r="C483" s="87"/>
      <c r="D483" s="87"/>
      <c r="E483" s="87"/>
      <c r="F483" s="87"/>
      <c r="G483" s="87"/>
      <c r="H483" s="146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</row>
    <row r="484" ht="18.75" customHeight="1">
      <c r="A484" s="87"/>
      <c r="B484" s="87"/>
      <c r="C484" s="87"/>
      <c r="D484" s="87"/>
      <c r="E484" s="87"/>
      <c r="F484" s="87"/>
      <c r="G484" s="87"/>
      <c r="H484" s="146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</row>
    <row r="485" ht="18.75" customHeight="1">
      <c r="A485" s="87"/>
      <c r="B485" s="87"/>
      <c r="C485" s="87"/>
      <c r="D485" s="87"/>
      <c r="E485" s="87"/>
      <c r="F485" s="87"/>
      <c r="G485" s="87"/>
      <c r="H485" s="146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</row>
    <row r="486" ht="18.75" customHeight="1">
      <c r="A486" s="87"/>
      <c r="B486" s="87"/>
      <c r="C486" s="87"/>
      <c r="D486" s="87"/>
      <c r="E486" s="87"/>
      <c r="F486" s="87"/>
      <c r="G486" s="87"/>
      <c r="H486" s="146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</row>
    <row r="487" ht="18.75" customHeight="1">
      <c r="A487" s="87"/>
      <c r="B487" s="87"/>
      <c r="C487" s="87"/>
      <c r="D487" s="87"/>
      <c r="E487" s="87"/>
      <c r="F487" s="87"/>
      <c r="G487" s="87"/>
      <c r="H487" s="146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</row>
    <row r="488" ht="18.75" customHeight="1">
      <c r="A488" s="87"/>
      <c r="B488" s="87"/>
      <c r="C488" s="87"/>
      <c r="D488" s="87"/>
      <c r="E488" s="87"/>
      <c r="F488" s="87"/>
      <c r="G488" s="87"/>
      <c r="H488" s="146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</row>
    <row r="489" ht="18.75" customHeight="1">
      <c r="A489" s="87"/>
      <c r="B489" s="87"/>
      <c r="C489" s="87"/>
      <c r="D489" s="87"/>
      <c r="E489" s="87"/>
      <c r="F489" s="87"/>
      <c r="G489" s="87"/>
      <c r="H489" s="146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</row>
    <row r="490" ht="18.75" customHeight="1">
      <c r="A490" s="87"/>
      <c r="B490" s="87"/>
      <c r="C490" s="87"/>
      <c r="D490" s="87"/>
      <c r="E490" s="87"/>
      <c r="F490" s="87"/>
      <c r="G490" s="87"/>
      <c r="H490" s="146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</row>
    <row r="491" ht="18.75" customHeight="1">
      <c r="A491" s="87"/>
      <c r="B491" s="87"/>
      <c r="C491" s="87"/>
      <c r="D491" s="87"/>
      <c r="E491" s="87"/>
      <c r="F491" s="87"/>
      <c r="G491" s="87"/>
      <c r="H491" s="146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</row>
    <row r="492" ht="18.75" customHeight="1">
      <c r="A492" s="87"/>
      <c r="B492" s="87"/>
      <c r="C492" s="87"/>
      <c r="D492" s="87"/>
      <c r="E492" s="87"/>
      <c r="F492" s="87"/>
      <c r="G492" s="87"/>
      <c r="H492" s="146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</row>
    <row r="493" ht="18.75" customHeight="1">
      <c r="A493" s="87"/>
      <c r="B493" s="87"/>
      <c r="C493" s="87"/>
      <c r="D493" s="87"/>
      <c r="E493" s="87"/>
      <c r="F493" s="87"/>
      <c r="G493" s="87"/>
      <c r="H493" s="146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</row>
    <row r="494" ht="18.75" customHeight="1">
      <c r="A494" s="87"/>
      <c r="B494" s="87"/>
      <c r="C494" s="87"/>
      <c r="D494" s="87"/>
      <c r="E494" s="87"/>
      <c r="F494" s="87"/>
      <c r="G494" s="87"/>
      <c r="H494" s="146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</row>
    <row r="495" ht="18.75" customHeight="1">
      <c r="A495" s="87"/>
      <c r="B495" s="87"/>
      <c r="C495" s="87"/>
      <c r="D495" s="87"/>
      <c r="E495" s="87"/>
      <c r="F495" s="87"/>
      <c r="G495" s="87"/>
      <c r="H495" s="146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</row>
    <row r="496" ht="18.75" customHeight="1">
      <c r="A496" s="87"/>
      <c r="B496" s="87"/>
      <c r="C496" s="87"/>
      <c r="D496" s="87"/>
      <c r="E496" s="87"/>
      <c r="F496" s="87"/>
      <c r="G496" s="87"/>
      <c r="H496" s="146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</row>
    <row r="497" ht="18.75" customHeight="1">
      <c r="A497" s="87"/>
      <c r="B497" s="87"/>
      <c r="C497" s="87"/>
      <c r="D497" s="87"/>
      <c r="E497" s="87"/>
      <c r="F497" s="87"/>
      <c r="G497" s="87"/>
      <c r="H497" s="146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</row>
    <row r="498" ht="18.75" customHeight="1">
      <c r="A498" s="87"/>
      <c r="B498" s="87"/>
      <c r="C498" s="87"/>
      <c r="D498" s="87"/>
      <c r="E498" s="87"/>
      <c r="F498" s="87"/>
      <c r="G498" s="87"/>
      <c r="H498" s="146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</row>
    <row r="499" ht="18.75" customHeight="1">
      <c r="A499" s="87"/>
      <c r="B499" s="87"/>
      <c r="C499" s="87"/>
      <c r="D499" s="87"/>
      <c r="E499" s="87"/>
      <c r="F499" s="87"/>
      <c r="G499" s="87"/>
      <c r="H499" s="146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</row>
    <row r="500" ht="18.75" customHeight="1">
      <c r="A500" s="87"/>
      <c r="B500" s="87"/>
      <c r="C500" s="87"/>
      <c r="D500" s="87"/>
      <c r="E500" s="87"/>
      <c r="F500" s="87"/>
      <c r="G500" s="87"/>
      <c r="H500" s="146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</row>
    <row r="501" ht="18.75" customHeight="1">
      <c r="A501" s="87"/>
      <c r="B501" s="87"/>
      <c r="C501" s="87"/>
      <c r="D501" s="87"/>
      <c r="E501" s="87"/>
      <c r="F501" s="87"/>
      <c r="G501" s="87"/>
      <c r="H501" s="146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</row>
    <row r="502" ht="18.75" customHeight="1">
      <c r="A502" s="87"/>
      <c r="B502" s="87"/>
      <c r="C502" s="87"/>
      <c r="D502" s="87"/>
      <c r="E502" s="87"/>
      <c r="F502" s="87"/>
      <c r="G502" s="87"/>
      <c r="H502" s="146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</row>
    <row r="503" ht="18.75" customHeight="1">
      <c r="A503" s="87"/>
      <c r="B503" s="87"/>
      <c r="C503" s="87"/>
      <c r="D503" s="87"/>
      <c r="E503" s="87"/>
      <c r="F503" s="87"/>
      <c r="G503" s="87"/>
      <c r="H503" s="146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</row>
    <row r="504" ht="18.75" customHeight="1">
      <c r="A504" s="87"/>
      <c r="B504" s="87"/>
      <c r="C504" s="87"/>
      <c r="D504" s="87"/>
      <c r="E504" s="87"/>
      <c r="F504" s="87"/>
      <c r="G504" s="87"/>
      <c r="H504" s="146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</row>
    <row r="505" ht="18.75" customHeight="1">
      <c r="A505" s="87"/>
      <c r="B505" s="87"/>
      <c r="C505" s="87"/>
      <c r="D505" s="87"/>
      <c r="E505" s="87"/>
      <c r="F505" s="87"/>
      <c r="G505" s="87"/>
      <c r="H505" s="146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</row>
    <row r="506" ht="18.75" customHeight="1">
      <c r="A506" s="87"/>
      <c r="B506" s="87"/>
      <c r="C506" s="87"/>
      <c r="D506" s="87"/>
      <c r="E506" s="87"/>
      <c r="F506" s="87"/>
      <c r="G506" s="87"/>
      <c r="H506" s="146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</row>
    <row r="507" ht="18.75" customHeight="1">
      <c r="A507" s="87"/>
      <c r="B507" s="87"/>
      <c r="C507" s="87"/>
      <c r="D507" s="87"/>
      <c r="E507" s="87"/>
      <c r="F507" s="87"/>
      <c r="G507" s="87"/>
      <c r="H507" s="146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</row>
    <row r="508" ht="18.75" customHeight="1">
      <c r="A508" s="87"/>
      <c r="B508" s="87"/>
      <c r="C508" s="87"/>
      <c r="D508" s="87"/>
      <c r="E508" s="87"/>
      <c r="F508" s="87"/>
      <c r="G508" s="87"/>
      <c r="H508" s="146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</row>
    <row r="509" ht="18.75" customHeight="1">
      <c r="A509" s="87"/>
      <c r="B509" s="87"/>
      <c r="C509" s="87"/>
      <c r="D509" s="87"/>
      <c r="E509" s="87"/>
      <c r="F509" s="87"/>
      <c r="G509" s="87"/>
      <c r="H509" s="146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</row>
    <row r="510" ht="18.75" customHeight="1">
      <c r="A510" s="87"/>
      <c r="B510" s="87"/>
      <c r="C510" s="87"/>
      <c r="D510" s="87"/>
      <c r="E510" s="87"/>
      <c r="F510" s="87"/>
      <c r="G510" s="87"/>
      <c r="H510" s="146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</row>
    <row r="511" ht="18.75" customHeight="1">
      <c r="A511" s="87"/>
      <c r="B511" s="87"/>
      <c r="C511" s="87"/>
      <c r="D511" s="87"/>
      <c r="E511" s="87"/>
      <c r="F511" s="87"/>
      <c r="G511" s="87"/>
      <c r="H511" s="146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</row>
    <row r="512" ht="18.75" customHeight="1">
      <c r="A512" s="87"/>
      <c r="B512" s="87"/>
      <c r="C512" s="87"/>
      <c r="D512" s="87"/>
      <c r="E512" s="87"/>
      <c r="F512" s="87"/>
      <c r="G512" s="87"/>
      <c r="H512" s="146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</row>
    <row r="513" ht="18.75" customHeight="1">
      <c r="A513" s="87"/>
      <c r="B513" s="87"/>
      <c r="C513" s="87"/>
      <c r="D513" s="87"/>
      <c r="E513" s="87"/>
      <c r="F513" s="87"/>
      <c r="G513" s="87"/>
      <c r="H513" s="146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</row>
    <row r="514" ht="18.75" customHeight="1">
      <c r="A514" s="87"/>
      <c r="B514" s="87"/>
      <c r="C514" s="87"/>
      <c r="D514" s="87"/>
      <c r="E514" s="87"/>
      <c r="F514" s="87"/>
      <c r="G514" s="87"/>
      <c r="H514" s="146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</row>
    <row r="515" ht="18.75" customHeight="1">
      <c r="A515" s="87"/>
      <c r="B515" s="87"/>
      <c r="C515" s="87"/>
      <c r="D515" s="87"/>
      <c r="E515" s="87"/>
      <c r="F515" s="87"/>
      <c r="G515" s="87"/>
      <c r="H515" s="146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</row>
    <row r="516" ht="18.75" customHeight="1">
      <c r="A516" s="87"/>
      <c r="B516" s="87"/>
      <c r="C516" s="87"/>
      <c r="D516" s="87"/>
      <c r="E516" s="87"/>
      <c r="F516" s="87"/>
      <c r="G516" s="87"/>
      <c r="H516" s="146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</row>
    <row r="517" ht="18.75" customHeight="1">
      <c r="A517" s="87"/>
      <c r="B517" s="87"/>
      <c r="C517" s="87"/>
      <c r="D517" s="87"/>
      <c r="E517" s="87"/>
      <c r="F517" s="87"/>
      <c r="G517" s="87"/>
      <c r="H517" s="146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</row>
    <row r="518" ht="18.75" customHeight="1">
      <c r="A518" s="87"/>
      <c r="B518" s="87"/>
      <c r="C518" s="87"/>
      <c r="D518" s="87"/>
      <c r="E518" s="87"/>
      <c r="F518" s="87"/>
      <c r="G518" s="87"/>
      <c r="H518" s="146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</row>
    <row r="519" ht="18.75" customHeight="1">
      <c r="A519" s="87"/>
      <c r="B519" s="87"/>
      <c r="C519" s="87"/>
      <c r="D519" s="87"/>
      <c r="E519" s="87"/>
      <c r="F519" s="87"/>
      <c r="G519" s="87"/>
      <c r="H519" s="146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</row>
    <row r="520" ht="18.75" customHeight="1">
      <c r="A520" s="87"/>
      <c r="B520" s="87"/>
      <c r="C520" s="87"/>
      <c r="D520" s="87"/>
      <c r="E520" s="87"/>
      <c r="F520" s="87"/>
      <c r="G520" s="87"/>
      <c r="H520" s="146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</row>
    <row r="521" ht="18.75" customHeight="1">
      <c r="A521" s="87"/>
      <c r="B521" s="87"/>
      <c r="C521" s="87"/>
      <c r="D521" s="87"/>
      <c r="E521" s="87"/>
      <c r="F521" s="87"/>
      <c r="G521" s="87"/>
      <c r="H521" s="146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</row>
    <row r="522" ht="18.75" customHeight="1">
      <c r="A522" s="87"/>
      <c r="B522" s="87"/>
      <c r="C522" s="87"/>
      <c r="D522" s="87"/>
      <c r="E522" s="87"/>
      <c r="F522" s="87"/>
      <c r="G522" s="87"/>
      <c r="H522" s="146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</row>
    <row r="523" ht="18.75" customHeight="1">
      <c r="A523" s="87"/>
      <c r="B523" s="87"/>
      <c r="C523" s="87"/>
      <c r="D523" s="87"/>
      <c r="E523" s="87"/>
      <c r="F523" s="87"/>
      <c r="G523" s="87"/>
      <c r="H523" s="146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</row>
    <row r="524" ht="18.75" customHeight="1">
      <c r="A524" s="87"/>
      <c r="B524" s="87"/>
      <c r="C524" s="87"/>
      <c r="D524" s="87"/>
      <c r="E524" s="87"/>
      <c r="F524" s="87"/>
      <c r="G524" s="87"/>
      <c r="H524" s="146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</row>
    <row r="525" ht="18.75" customHeight="1">
      <c r="A525" s="87"/>
      <c r="B525" s="87"/>
      <c r="C525" s="87"/>
      <c r="D525" s="87"/>
      <c r="E525" s="87"/>
      <c r="F525" s="87"/>
      <c r="G525" s="87"/>
      <c r="H525" s="146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</row>
    <row r="526" ht="18.75" customHeight="1">
      <c r="A526" s="87"/>
      <c r="B526" s="87"/>
      <c r="C526" s="87"/>
      <c r="D526" s="87"/>
      <c r="E526" s="87"/>
      <c r="F526" s="87"/>
      <c r="G526" s="87"/>
      <c r="H526" s="146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</row>
    <row r="527" ht="18.75" customHeight="1">
      <c r="A527" s="87"/>
      <c r="B527" s="87"/>
      <c r="C527" s="87"/>
      <c r="D527" s="87"/>
      <c r="E527" s="87"/>
      <c r="F527" s="87"/>
      <c r="G527" s="87"/>
      <c r="H527" s="146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</row>
    <row r="528" ht="18.75" customHeight="1">
      <c r="A528" s="87"/>
      <c r="B528" s="87"/>
      <c r="C528" s="87"/>
      <c r="D528" s="87"/>
      <c r="E528" s="87"/>
      <c r="F528" s="87"/>
      <c r="G528" s="87"/>
      <c r="H528" s="146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</row>
    <row r="529" ht="18.75" customHeight="1">
      <c r="A529" s="87"/>
      <c r="B529" s="87"/>
      <c r="C529" s="87"/>
      <c r="D529" s="87"/>
      <c r="E529" s="87"/>
      <c r="F529" s="87"/>
      <c r="G529" s="87"/>
      <c r="H529" s="146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</row>
    <row r="530" ht="18.75" customHeight="1">
      <c r="A530" s="87"/>
      <c r="B530" s="87"/>
      <c r="C530" s="87"/>
      <c r="D530" s="87"/>
      <c r="E530" s="87"/>
      <c r="F530" s="87"/>
      <c r="G530" s="87"/>
      <c r="H530" s="146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</row>
    <row r="531" ht="18.75" customHeight="1">
      <c r="A531" s="87"/>
      <c r="B531" s="87"/>
      <c r="C531" s="87"/>
      <c r="D531" s="87"/>
      <c r="E531" s="87"/>
      <c r="F531" s="87"/>
      <c r="G531" s="87"/>
      <c r="H531" s="146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</row>
    <row r="532" ht="18.75" customHeight="1">
      <c r="A532" s="87"/>
      <c r="B532" s="87"/>
      <c r="C532" s="87"/>
      <c r="D532" s="87"/>
      <c r="E532" s="87"/>
      <c r="F532" s="87"/>
      <c r="G532" s="87"/>
      <c r="H532" s="146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</row>
    <row r="533" ht="18.75" customHeight="1">
      <c r="A533" s="87"/>
      <c r="B533" s="87"/>
      <c r="C533" s="87"/>
      <c r="D533" s="87"/>
      <c r="E533" s="87"/>
      <c r="F533" s="87"/>
      <c r="G533" s="87"/>
      <c r="H533" s="146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</row>
    <row r="534" ht="18.75" customHeight="1">
      <c r="A534" s="87"/>
      <c r="B534" s="87"/>
      <c r="C534" s="87"/>
      <c r="D534" s="87"/>
      <c r="E534" s="87"/>
      <c r="F534" s="87"/>
      <c r="G534" s="87"/>
      <c r="H534" s="146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</row>
    <row r="535" ht="18.75" customHeight="1">
      <c r="A535" s="87"/>
      <c r="B535" s="87"/>
      <c r="C535" s="87"/>
      <c r="D535" s="87"/>
      <c r="E535" s="87"/>
      <c r="F535" s="87"/>
      <c r="G535" s="87"/>
      <c r="H535" s="146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</row>
    <row r="536" ht="18.75" customHeight="1">
      <c r="A536" s="87"/>
      <c r="B536" s="87"/>
      <c r="C536" s="87"/>
      <c r="D536" s="87"/>
      <c r="E536" s="87"/>
      <c r="F536" s="87"/>
      <c r="G536" s="87"/>
      <c r="H536" s="146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</row>
    <row r="537" ht="18.75" customHeight="1">
      <c r="A537" s="87"/>
      <c r="B537" s="87"/>
      <c r="C537" s="87"/>
      <c r="D537" s="87"/>
      <c r="E537" s="87"/>
      <c r="F537" s="87"/>
      <c r="G537" s="87"/>
      <c r="H537" s="146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</row>
    <row r="538" ht="18.75" customHeight="1">
      <c r="A538" s="87"/>
      <c r="B538" s="87"/>
      <c r="C538" s="87"/>
      <c r="D538" s="87"/>
      <c r="E538" s="87"/>
      <c r="F538" s="87"/>
      <c r="G538" s="87"/>
      <c r="H538" s="146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</row>
    <row r="539" ht="18.75" customHeight="1">
      <c r="A539" s="87"/>
      <c r="B539" s="87"/>
      <c r="C539" s="87"/>
      <c r="D539" s="87"/>
      <c r="E539" s="87"/>
      <c r="F539" s="87"/>
      <c r="G539" s="87"/>
      <c r="H539" s="146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</row>
    <row r="540" ht="18.75" customHeight="1">
      <c r="A540" s="87"/>
      <c r="B540" s="87"/>
      <c r="C540" s="87"/>
      <c r="D540" s="87"/>
      <c r="E540" s="87"/>
      <c r="F540" s="87"/>
      <c r="G540" s="87"/>
      <c r="H540" s="146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</row>
    <row r="541" ht="18.75" customHeight="1">
      <c r="A541" s="87"/>
      <c r="B541" s="87"/>
      <c r="C541" s="87"/>
      <c r="D541" s="87"/>
      <c r="E541" s="87"/>
      <c r="F541" s="87"/>
      <c r="G541" s="87"/>
      <c r="H541" s="146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</row>
    <row r="542" ht="18.75" customHeight="1">
      <c r="A542" s="87"/>
      <c r="B542" s="87"/>
      <c r="C542" s="87"/>
      <c r="D542" s="87"/>
      <c r="E542" s="87"/>
      <c r="F542" s="87"/>
      <c r="G542" s="87"/>
      <c r="H542" s="146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</row>
    <row r="543" ht="18.75" customHeight="1">
      <c r="A543" s="87"/>
      <c r="B543" s="87"/>
      <c r="C543" s="87"/>
      <c r="D543" s="87"/>
      <c r="E543" s="87"/>
      <c r="F543" s="87"/>
      <c r="G543" s="87"/>
      <c r="H543" s="146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</row>
    <row r="544" ht="18.75" customHeight="1">
      <c r="A544" s="87"/>
      <c r="B544" s="87"/>
      <c r="C544" s="87"/>
      <c r="D544" s="87"/>
      <c r="E544" s="87"/>
      <c r="F544" s="87"/>
      <c r="G544" s="87"/>
      <c r="H544" s="146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</row>
    <row r="545" ht="18.75" customHeight="1">
      <c r="A545" s="87"/>
      <c r="B545" s="87"/>
      <c r="C545" s="87"/>
      <c r="D545" s="87"/>
      <c r="E545" s="87"/>
      <c r="F545" s="87"/>
      <c r="G545" s="87"/>
      <c r="H545" s="146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</row>
    <row r="546" ht="18.75" customHeight="1">
      <c r="A546" s="87"/>
      <c r="B546" s="87"/>
      <c r="C546" s="87"/>
      <c r="D546" s="87"/>
      <c r="E546" s="87"/>
      <c r="F546" s="87"/>
      <c r="G546" s="87"/>
      <c r="H546" s="146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</row>
    <row r="547" ht="18.75" customHeight="1">
      <c r="A547" s="87"/>
      <c r="B547" s="87"/>
      <c r="C547" s="87"/>
      <c r="D547" s="87"/>
      <c r="E547" s="87"/>
      <c r="F547" s="87"/>
      <c r="G547" s="87"/>
      <c r="H547" s="146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</row>
    <row r="548" ht="18.75" customHeight="1">
      <c r="A548" s="87"/>
      <c r="B548" s="87"/>
      <c r="C548" s="87"/>
      <c r="D548" s="87"/>
      <c r="E548" s="87"/>
      <c r="F548" s="87"/>
      <c r="G548" s="87"/>
      <c r="H548" s="146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</row>
    <row r="549" ht="18.75" customHeight="1">
      <c r="A549" s="87"/>
      <c r="B549" s="87"/>
      <c r="C549" s="87"/>
      <c r="D549" s="87"/>
      <c r="E549" s="87"/>
      <c r="F549" s="87"/>
      <c r="G549" s="87"/>
      <c r="H549" s="146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</row>
    <row r="550" ht="18.75" customHeight="1">
      <c r="A550" s="87"/>
      <c r="B550" s="87"/>
      <c r="C550" s="87"/>
      <c r="D550" s="87"/>
      <c r="E550" s="87"/>
      <c r="F550" s="87"/>
      <c r="G550" s="87"/>
      <c r="H550" s="146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</row>
    <row r="551" ht="18.75" customHeight="1">
      <c r="A551" s="87"/>
      <c r="B551" s="87"/>
      <c r="C551" s="87"/>
      <c r="D551" s="87"/>
      <c r="E551" s="87"/>
      <c r="F551" s="87"/>
      <c r="G551" s="87"/>
      <c r="H551" s="146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</row>
    <row r="552" ht="18.75" customHeight="1">
      <c r="A552" s="87"/>
      <c r="B552" s="87"/>
      <c r="C552" s="87"/>
      <c r="D552" s="87"/>
      <c r="E552" s="87"/>
      <c r="F552" s="87"/>
      <c r="G552" s="87"/>
      <c r="H552" s="146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</row>
    <row r="553" ht="18.75" customHeight="1">
      <c r="A553" s="87"/>
      <c r="B553" s="87"/>
      <c r="C553" s="87"/>
      <c r="D553" s="87"/>
      <c r="E553" s="87"/>
      <c r="F553" s="87"/>
      <c r="G553" s="87"/>
      <c r="H553" s="146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</row>
    <row r="554" ht="18.75" customHeight="1">
      <c r="A554" s="87"/>
      <c r="B554" s="87"/>
      <c r="C554" s="87"/>
      <c r="D554" s="87"/>
      <c r="E554" s="87"/>
      <c r="F554" s="87"/>
      <c r="G554" s="87"/>
      <c r="H554" s="146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</row>
    <row r="555" ht="18.75" customHeight="1">
      <c r="A555" s="87"/>
      <c r="B555" s="87"/>
      <c r="C555" s="87"/>
      <c r="D555" s="87"/>
      <c r="E555" s="87"/>
      <c r="F555" s="87"/>
      <c r="G555" s="87"/>
      <c r="H555" s="146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</row>
    <row r="556" ht="18.75" customHeight="1">
      <c r="A556" s="87"/>
      <c r="B556" s="87"/>
      <c r="C556" s="87"/>
      <c r="D556" s="87"/>
      <c r="E556" s="87"/>
      <c r="F556" s="87"/>
      <c r="G556" s="87"/>
      <c r="H556" s="146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</row>
    <row r="557" ht="18.75" customHeight="1">
      <c r="A557" s="87"/>
      <c r="B557" s="87"/>
      <c r="C557" s="87"/>
      <c r="D557" s="87"/>
      <c r="E557" s="87"/>
      <c r="F557" s="87"/>
      <c r="G557" s="87"/>
      <c r="H557" s="146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</row>
    <row r="558" ht="18.75" customHeight="1">
      <c r="A558" s="87"/>
      <c r="B558" s="87"/>
      <c r="C558" s="87"/>
      <c r="D558" s="87"/>
      <c r="E558" s="87"/>
      <c r="F558" s="87"/>
      <c r="G558" s="87"/>
      <c r="H558" s="146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</row>
    <row r="559" ht="18.75" customHeight="1">
      <c r="A559" s="87"/>
      <c r="B559" s="87"/>
      <c r="C559" s="87"/>
      <c r="D559" s="87"/>
      <c r="E559" s="87"/>
      <c r="F559" s="87"/>
      <c r="G559" s="87"/>
      <c r="H559" s="146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</row>
    <row r="560" ht="18.75" customHeight="1">
      <c r="A560" s="87"/>
      <c r="B560" s="87"/>
      <c r="C560" s="87"/>
      <c r="D560" s="87"/>
      <c r="E560" s="87"/>
      <c r="F560" s="87"/>
      <c r="G560" s="87"/>
      <c r="H560" s="146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</row>
    <row r="561" ht="18.75" customHeight="1">
      <c r="A561" s="87"/>
      <c r="B561" s="87"/>
      <c r="C561" s="87"/>
      <c r="D561" s="87"/>
      <c r="E561" s="87"/>
      <c r="F561" s="87"/>
      <c r="G561" s="87"/>
      <c r="H561" s="146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</row>
    <row r="562" ht="18.75" customHeight="1">
      <c r="A562" s="87"/>
      <c r="B562" s="87"/>
      <c r="C562" s="87"/>
      <c r="D562" s="87"/>
      <c r="E562" s="87"/>
      <c r="F562" s="87"/>
      <c r="G562" s="87"/>
      <c r="H562" s="146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</row>
    <row r="563" ht="18.75" customHeight="1">
      <c r="A563" s="87"/>
      <c r="B563" s="87"/>
      <c r="C563" s="87"/>
      <c r="D563" s="87"/>
      <c r="E563" s="87"/>
      <c r="F563" s="87"/>
      <c r="G563" s="87"/>
      <c r="H563" s="146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</row>
    <row r="564" ht="18.75" customHeight="1">
      <c r="A564" s="87"/>
      <c r="B564" s="87"/>
      <c r="C564" s="87"/>
      <c r="D564" s="87"/>
      <c r="E564" s="87"/>
      <c r="F564" s="87"/>
      <c r="G564" s="87"/>
      <c r="H564" s="146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</row>
    <row r="565" ht="18.75" customHeight="1">
      <c r="A565" s="87"/>
      <c r="B565" s="87"/>
      <c r="C565" s="87"/>
      <c r="D565" s="87"/>
      <c r="E565" s="87"/>
      <c r="F565" s="87"/>
      <c r="G565" s="87"/>
      <c r="H565" s="146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</row>
    <row r="566" ht="18.75" customHeight="1">
      <c r="A566" s="87"/>
      <c r="B566" s="87"/>
      <c r="C566" s="87"/>
      <c r="D566" s="87"/>
      <c r="E566" s="87"/>
      <c r="F566" s="87"/>
      <c r="G566" s="87"/>
      <c r="H566" s="146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</row>
    <row r="567" ht="18.75" customHeight="1">
      <c r="A567" s="87"/>
      <c r="B567" s="87"/>
      <c r="C567" s="87"/>
      <c r="D567" s="87"/>
      <c r="E567" s="87"/>
      <c r="F567" s="87"/>
      <c r="G567" s="87"/>
      <c r="H567" s="146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</row>
    <row r="568" ht="18.75" customHeight="1">
      <c r="A568" s="87"/>
      <c r="B568" s="87"/>
      <c r="C568" s="87"/>
      <c r="D568" s="87"/>
      <c r="E568" s="87"/>
      <c r="F568" s="87"/>
      <c r="G568" s="87"/>
      <c r="H568" s="146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</row>
    <row r="569" ht="18.75" customHeight="1">
      <c r="A569" s="87"/>
      <c r="B569" s="87"/>
      <c r="C569" s="87"/>
      <c r="D569" s="87"/>
      <c r="E569" s="87"/>
      <c r="F569" s="87"/>
      <c r="G569" s="87"/>
      <c r="H569" s="146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</row>
    <row r="570" ht="18.75" customHeight="1">
      <c r="A570" s="87"/>
      <c r="B570" s="87"/>
      <c r="C570" s="87"/>
      <c r="D570" s="87"/>
      <c r="E570" s="87"/>
      <c r="F570" s="87"/>
      <c r="G570" s="87"/>
      <c r="H570" s="146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</row>
    <row r="571" ht="18.75" customHeight="1">
      <c r="A571" s="87"/>
      <c r="B571" s="87"/>
      <c r="C571" s="87"/>
      <c r="D571" s="87"/>
      <c r="E571" s="87"/>
      <c r="F571" s="87"/>
      <c r="G571" s="87"/>
      <c r="H571" s="146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</row>
    <row r="572" ht="18.75" customHeight="1">
      <c r="A572" s="87"/>
      <c r="B572" s="87"/>
      <c r="C572" s="87"/>
      <c r="D572" s="87"/>
      <c r="E572" s="87"/>
      <c r="F572" s="87"/>
      <c r="G572" s="87"/>
      <c r="H572" s="146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</row>
    <row r="573" ht="18.75" customHeight="1">
      <c r="A573" s="87"/>
      <c r="B573" s="87"/>
      <c r="C573" s="87"/>
      <c r="D573" s="87"/>
      <c r="E573" s="87"/>
      <c r="F573" s="87"/>
      <c r="G573" s="87"/>
      <c r="H573" s="146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</row>
    <row r="574" ht="18.75" customHeight="1">
      <c r="A574" s="87"/>
      <c r="B574" s="87"/>
      <c r="C574" s="87"/>
      <c r="D574" s="87"/>
      <c r="E574" s="87"/>
      <c r="F574" s="87"/>
      <c r="G574" s="87"/>
      <c r="H574" s="146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</row>
    <row r="575" ht="18.75" customHeight="1">
      <c r="A575" s="87"/>
      <c r="B575" s="87"/>
      <c r="C575" s="87"/>
      <c r="D575" s="87"/>
      <c r="E575" s="87"/>
      <c r="F575" s="87"/>
      <c r="G575" s="87"/>
      <c r="H575" s="146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</row>
    <row r="576" ht="18.75" customHeight="1">
      <c r="A576" s="87"/>
      <c r="B576" s="87"/>
      <c r="C576" s="87"/>
      <c r="D576" s="87"/>
      <c r="E576" s="87"/>
      <c r="F576" s="87"/>
      <c r="G576" s="87"/>
      <c r="H576" s="146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</row>
    <row r="577" ht="18.75" customHeight="1">
      <c r="A577" s="87"/>
      <c r="B577" s="87"/>
      <c r="C577" s="87"/>
      <c r="D577" s="87"/>
      <c r="E577" s="87"/>
      <c r="F577" s="87"/>
      <c r="G577" s="87"/>
      <c r="H577" s="146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</row>
    <row r="578" ht="18.75" customHeight="1">
      <c r="A578" s="87"/>
      <c r="B578" s="87"/>
      <c r="C578" s="87"/>
      <c r="D578" s="87"/>
      <c r="E578" s="87"/>
      <c r="F578" s="87"/>
      <c r="G578" s="87"/>
      <c r="H578" s="146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</row>
    <row r="579" ht="18.75" customHeight="1">
      <c r="A579" s="87"/>
      <c r="B579" s="87"/>
      <c r="C579" s="87"/>
      <c r="D579" s="87"/>
      <c r="E579" s="87"/>
      <c r="F579" s="87"/>
      <c r="G579" s="87"/>
      <c r="H579" s="146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</row>
    <row r="580" ht="18.75" customHeight="1">
      <c r="A580" s="87"/>
      <c r="B580" s="87"/>
      <c r="C580" s="87"/>
      <c r="D580" s="87"/>
      <c r="E580" s="87"/>
      <c r="F580" s="87"/>
      <c r="G580" s="87"/>
      <c r="H580" s="146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</row>
    <row r="581" ht="18.75" customHeight="1">
      <c r="A581" s="87"/>
      <c r="B581" s="87"/>
      <c r="C581" s="87"/>
      <c r="D581" s="87"/>
      <c r="E581" s="87"/>
      <c r="F581" s="87"/>
      <c r="G581" s="87"/>
      <c r="H581" s="146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</row>
    <row r="582" ht="18.75" customHeight="1">
      <c r="A582" s="87"/>
      <c r="B582" s="87"/>
      <c r="C582" s="87"/>
      <c r="D582" s="87"/>
      <c r="E582" s="87"/>
      <c r="F582" s="87"/>
      <c r="G582" s="87"/>
      <c r="H582" s="146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</row>
    <row r="583" ht="18.75" customHeight="1">
      <c r="A583" s="87"/>
      <c r="B583" s="87"/>
      <c r="C583" s="87"/>
      <c r="D583" s="87"/>
      <c r="E583" s="87"/>
      <c r="F583" s="87"/>
      <c r="G583" s="87"/>
      <c r="H583" s="146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</row>
    <row r="584" ht="18.75" customHeight="1">
      <c r="A584" s="87"/>
      <c r="B584" s="87"/>
      <c r="C584" s="87"/>
      <c r="D584" s="87"/>
      <c r="E584" s="87"/>
      <c r="F584" s="87"/>
      <c r="G584" s="87"/>
      <c r="H584" s="146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</row>
    <row r="585" ht="18.75" customHeight="1">
      <c r="A585" s="87"/>
      <c r="B585" s="87"/>
      <c r="C585" s="87"/>
      <c r="D585" s="87"/>
      <c r="E585" s="87"/>
      <c r="F585" s="87"/>
      <c r="G585" s="87"/>
      <c r="H585" s="146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</row>
    <row r="586" ht="18.75" customHeight="1">
      <c r="A586" s="87"/>
      <c r="B586" s="87"/>
      <c r="C586" s="87"/>
      <c r="D586" s="87"/>
      <c r="E586" s="87"/>
      <c r="F586" s="87"/>
      <c r="G586" s="87"/>
      <c r="H586" s="146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</row>
    <row r="587" ht="18.75" customHeight="1">
      <c r="A587" s="87"/>
      <c r="B587" s="87"/>
      <c r="C587" s="87"/>
      <c r="D587" s="87"/>
      <c r="E587" s="87"/>
      <c r="F587" s="87"/>
      <c r="G587" s="87"/>
      <c r="H587" s="146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</row>
    <row r="588" ht="18.75" customHeight="1">
      <c r="A588" s="87"/>
      <c r="B588" s="87"/>
      <c r="C588" s="87"/>
      <c r="D588" s="87"/>
      <c r="E588" s="87"/>
      <c r="F588" s="87"/>
      <c r="G588" s="87"/>
      <c r="H588" s="146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</row>
    <row r="589" ht="18.75" customHeight="1">
      <c r="A589" s="87"/>
      <c r="B589" s="87"/>
      <c r="C589" s="87"/>
      <c r="D589" s="87"/>
      <c r="E589" s="87"/>
      <c r="F589" s="87"/>
      <c r="G589" s="87"/>
      <c r="H589" s="146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</row>
    <row r="590" ht="18.75" customHeight="1">
      <c r="A590" s="87"/>
      <c r="B590" s="87"/>
      <c r="C590" s="87"/>
      <c r="D590" s="87"/>
      <c r="E590" s="87"/>
      <c r="F590" s="87"/>
      <c r="G590" s="87"/>
      <c r="H590" s="146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</row>
    <row r="591" ht="18.75" customHeight="1">
      <c r="A591" s="87"/>
      <c r="B591" s="87"/>
      <c r="C591" s="87"/>
      <c r="D591" s="87"/>
      <c r="E591" s="87"/>
      <c r="F591" s="87"/>
      <c r="G591" s="87"/>
      <c r="H591" s="146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</row>
    <row r="592" ht="18.75" customHeight="1">
      <c r="A592" s="87"/>
      <c r="B592" s="87"/>
      <c r="C592" s="87"/>
      <c r="D592" s="87"/>
      <c r="E592" s="87"/>
      <c r="F592" s="87"/>
      <c r="G592" s="87"/>
      <c r="H592" s="146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</row>
    <row r="593" ht="18.75" customHeight="1">
      <c r="A593" s="87"/>
      <c r="B593" s="87"/>
      <c r="C593" s="87"/>
      <c r="D593" s="87"/>
      <c r="E593" s="87"/>
      <c r="F593" s="87"/>
      <c r="G593" s="87"/>
      <c r="H593" s="146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</row>
    <row r="594" ht="18.75" customHeight="1">
      <c r="A594" s="87"/>
      <c r="B594" s="87"/>
      <c r="C594" s="87"/>
      <c r="D594" s="87"/>
      <c r="E594" s="87"/>
      <c r="F594" s="87"/>
      <c r="G594" s="87"/>
      <c r="H594" s="146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</row>
    <row r="595" ht="18.75" customHeight="1">
      <c r="A595" s="87"/>
      <c r="B595" s="87"/>
      <c r="C595" s="87"/>
      <c r="D595" s="87"/>
      <c r="E595" s="87"/>
      <c r="F595" s="87"/>
      <c r="G595" s="87"/>
      <c r="H595" s="146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</row>
    <row r="596" ht="18.75" customHeight="1">
      <c r="A596" s="87"/>
      <c r="B596" s="87"/>
      <c r="C596" s="87"/>
      <c r="D596" s="87"/>
      <c r="E596" s="87"/>
      <c r="F596" s="87"/>
      <c r="G596" s="87"/>
      <c r="H596" s="146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</row>
    <row r="597" ht="18.75" customHeight="1">
      <c r="A597" s="87"/>
      <c r="B597" s="87"/>
      <c r="C597" s="87"/>
      <c r="D597" s="87"/>
      <c r="E597" s="87"/>
      <c r="F597" s="87"/>
      <c r="G597" s="87"/>
      <c r="H597" s="146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</row>
    <row r="598" ht="18.75" customHeight="1">
      <c r="A598" s="87"/>
      <c r="B598" s="87"/>
      <c r="C598" s="87"/>
      <c r="D598" s="87"/>
      <c r="E598" s="87"/>
      <c r="F598" s="87"/>
      <c r="G598" s="87"/>
      <c r="H598" s="146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</row>
    <row r="599" ht="18.75" customHeight="1">
      <c r="A599" s="87"/>
      <c r="B599" s="87"/>
      <c r="C599" s="87"/>
      <c r="D599" s="87"/>
      <c r="E599" s="87"/>
      <c r="F599" s="87"/>
      <c r="G599" s="87"/>
      <c r="H599" s="146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</row>
    <row r="600" ht="18.75" customHeight="1">
      <c r="A600" s="87"/>
      <c r="B600" s="87"/>
      <c r="C600" s="87"/>
      <c r="D600" s="87"/>
      <c r="E600" s="87"/>
      <c r="F600" s="87"/>
      <c r="G600" s="87"/>
      <c r="H600" s="146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</row>
    <row r="601" ht="18.75" customHeight="1">
      <c r="A601" s="87"/>
      <c r="B601" s="87"/>
      <c r="C601" s="87"/>
      <c r="D601" s="87"/>
      <c r="E601" s="87"/>
      <c r="F601" s="87"/>
      <c r="G601" s="87"/>
      <c r="H601" s="146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</row>
    <row r="602" ht="18.75" customHeight="1">
      <c r="A602" s="87"/>
      <c r="B602" s="87"/>
      <c r="C602" s="87"/>
      <c r="D602" s="87"/>
      <c r="E602" s="87"/>
      <c r="F602" s="87"/>
      <c r="G602" s="87"/>
      <c r="H602" s="146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</row>
    <row r="603" ht="18.75" customHeight="1">
      <c r="A603" s="87"/>
      <c r="B603" s="87"/>
      <c r="C603" s="87"/>
      <c r="D603" s="87"/>
      <c r="E603" s="87"/>
      <c r="F603" s="87"/>
      <c r="G603" s="87"/>
      <c r="H603" s="146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</row>
    <row r="604" ht="18.75" customHeight="1">
      <c r="A604" s="87"/>
      <c r="B604" s="87"/>
      <c r="C604" s="87"/>
      <c r="D604" s="87"/>
      <c r="E604" s="87"/>
      <c r="F604" s="87"/>
      <c r="G604" s="87"/>
      <c r="H604" s="146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</row>
    <row r="605" ht="18.75" customHeight="1">
      <c r="A605" s="87"/>
      <c r="B605" s="87"/>
      <c r="C605" s="87"/>
      <c r="D605" s="87"/>
      <c r="E605" s="87"/>
      <c r="F605" s="87"/>
      <c r="G605" s="87"/>
      <c r="H605" s="146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</row>
    <row r="606" ht="18.75" customHeight="1">
      <c r="A606" s="87"/>
      <c r="B606" s="87"/>
      <c r="C606" s="87"/>
      <c r="D606" s="87"/>
      <c r="E606" s="87"/>
      <c r="F606" s="87"/>
      <c r="G606" s="87"/>
      <c r="H606" s="146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</row>
    <row r="607" ht="18.75" customHeight="1">
      <c r="A607" s="87"/>
      <c r="B607" s="87"/>
      <c r="C607" s="87"/>
      <c r="D607" s="87"/>
      <c r="E607" s="87"/>
      <c r="F607" s="87"/>
      <c r="G607" s="87"/>
      <c r="H607" s="146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</row>
    <row r="608" ht="18.75" customHeight="1">
      <c r="A608" s="87"/>
      <c r="B608" s="87"/>
      <c r="C608" s="87"/>
      <c r="D608" s="87"/>
      <c r="E608" s="87"/>
      <c r="F608" s="87"/>
      <c r="G608" s="87"/>
      <c r="H608" s="146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</row>
    <row r="609" ht="18.75" customHeight="1">
      <c r="A609" s="87"/>
      <c r="B609" s="87"/>
      <c r="C609" s="87"/>
      <c r="D609" s="87"/>
      <c r="E609" s="87"/>
      <c r="F609" s="87"/>
      <c r="G609" s="87"/>
      <c r="H609" s="146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</row>
    <row r="610" ht="18.75" customHeight="1">
      <c r="A610" s="87"/>
      <c r="B610" s="87"/>
      <c r="C610" s="87"/>
      <c r="D610" s="87"/>
      <c r="E610" s="87"/>
      <c r="F610" s="87"/>
      <c r="G610" s="87"/>
      <c r="H610" s="146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</row>
    <row r="611" ht="18.75" customHeight="1">
      <c r="A611" s="87"/>
      <c r="B611" s="87"/>
      <c r="C611" s="87"/>
      <c r="D611" s="87"/>
      <c r="E611" s="87"/>
      <c r="F611" s="87"/>
      <c r="G611" s="87"/>
      <c r="H611" s="146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</row>
    <row r="612" ht="18.75" customHeight="1">
      <c r="A612" s="87"/>
      <c r="B612" s="87"/>
      <c r="C612" s="87"/>
      <c r="D612" s="87"/>
      <c r="E612" s="87"/>
      <c r="F612" s="87"/>
      <c r="G612" s="87"/>
      <c r="H612" s="146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</row>
    <row r="613" ht="18.75" customHeight="1">
      <c r="A613" s="87"/>
      <c r="B613" s="87"/>
      <c r="C613" s="87"/>
      <c r="D613" s="87"/>
      <c r="E613" s="87"/>
      <c r="F613" s="87"/>
      <c r="G613" s="87"/>
      <c r="H613" s="146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</row>
    <row r="614" ht="18.75" customHeight="1">
      <c r="A614" s="87"/>
      <c r="B614" s="87"/>
      <c r="C614" s="87"/>
      <c r="D614" s="87"/>
      <c r="E614" s="87"/>
      <c r="F614" s="87"/>
      <c r="G614" s="87"/>
      <c r="H614" s="146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</row>
    <row r="615" ht="18.75" customHeight="1">
      <c r="A615" s="87"/>
      <c r="B615" s="87"/>
      <c r="C615" s="87"/>
      <c r="D615" s="87"/>
      <c r="E615" s="87"/>
      <c r="F615" s="87"/>
      <c r="G615" s="87"/>
      <c r="H615" s="146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</row>
    <row r="616" ht="18.75" customHeight="1">
      <c r="A616" s="87"/>
      <c r="B616" s="87"/>
      <c r="C616" s="87"/>
      <c r="D616" s="87"/>
      <c r="E616" s="87"/>
      <c r="F616" s="87"/>
      <c r="G616" s="87"/>
      <c r="H616" s="146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</row>
    <row r="617" ht="18.75" customHeight="1">
      <c r="A617" s="87"/>
      <c r="B617" s="87"/>
      <c r="C617" s="87"/>
      <c r="D617" s="87"/>
      <c r="E617" s="87"/>
      <c r="F617" s="87"/>
      <c r="G617" s="87"/>
      <c r="H617" s="146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</row>
    <row r="618" ht="18.75" customHeight="1">
      <c r="A618" s="87"/>
      <c r="B618" s="87"/>
      <c r="C618" s="87"/>
      <c r="D618" s="87"/>
      <c r="E618" s="87"/>
      <c r="F618" s="87"/>
      <c r="G618" s="87"/>
      <c r="H618" s="146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</row>
    <row r="619" ht="18.75" customHeight="1">
      <c r="A619" s="87"/>
      <c r="B619" s="87"/>
      <c r="C619" s="87"/>
      <c r="D619" s="87"/>
      <c r="E619" s="87"/>
      <c r="F619" s="87"/>
      <c r="G619" s="87"/>
      <c r="H619" s="146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</row>
    <row r="620" ht="18.75" customHeight="1">
      <c r="A620" s="87"/>
      <c r="B620" s="87"/>
      <c r="C620" s="87"/>
      <c r="D620" s="87"/>
      <c r="E620" s="87"/>
      <c r="F620" s="87"/>
      <c r="G620" s="87"/>
      <c r="H620" s="146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</row>
    <row r="621" ht="18.75" customHeight="1">
      <c r="A621" s="87"/>
      <c r="B621" s="87"/>
      <c r="C621" s="87"/>
      <c r="D621" s="87"/>
      <c r="E621" s="87"/>
      <c r="F621" s="87"/>
      <c r="G621" s="87"/>
      <c r="H621" s="146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</row>
    <row r="622" ht="18.75" customHeight="1">
      <c r="A622" s="87"/>
      <c r="B622" s="87"/>
      <c r="C622" s="87"/>
      <c r="D622" s="87"/>
      <c r="E622" s="87"/>
      <c r="F622" s="87"/>
      <c r="G622" s="87"/>
      <c r="H622" s="146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</row>
    <row r="623" ht="18.75" customHeight="1">
      <c r="A623" s="87"/>
      <c r="B623" s="87"/>
      <c r="C623" s="87"/>
      <c r="D623" s="87"/>
      <c r="E623" s="87"/>
      <c r="F623" s="87"/>
      <c r="G623" s="87"/>
      <c r="H623" s="146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</row>
    <row r="624" ht="18.75" customHeight="1">
      <c r="A624" s="87"/>
      <c r="B624" s="87"/>
      <c r="C624" s="87"/>
      <c r="D624" s="87"/>
      <c r="E624" s="87"/>
      <c r="F624" s="87"/>
      <c r="G624" s="87"/>
      <c r="H624" s="146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</row>
    <row r="625" ht="18.75" customHeight="1">
      <c r="A625" s="87"/>
      <c r="B625" s="87"/>
      <c r="C625" s="87"/>
      <c r="D625" s="87"/>
      <c r="E625" s="87"/>
      <c r="F625" s="87"/>
      <c r="G625" s="87"/>
      <c r="H625" s="146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</row>
    <row r="626" ht="18.75" customHeight="1">
      <c r="A626" s="87"/>
      <c r="B626" s="87"/>
      <c r="C626" s="87"/>
      <c r="D626" s="87"/>
      <c r="E626" s="87"/>
      <c r="F626" s="87"/>
      <c r="G626" s="87"/>
      <c r="H626" s="146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</row>
    <row r="627" ht="18.75" customHeight="1">
      <c r="A627" s="87"/>
      <c r="B627" s="87"/>
      <c r="C627" s="87"/>
      <c r="D627" s="87"/>
      <c r="E627" s="87"/>
      <c r="F627" s="87"/>
      <c r="G627" s="87"/>
      <c r="H627" s="146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</row>
    <row r="628" ht="18.75" customHeight="1">
      <c r="A628" s="87"/>
      <c r="B628" s="87"/>
      <c r="C628" s="87"/>
      <c r="D628" s="87"/>
      <c r="E628" s="87"/>
      <c r="F628" s="87"/>
      <c r="G628" s="87"/>
      <c r="H628" s="146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</row>
    <row r="629" ht="18.75" customHeight="1">
      <c r="A629" s="87"/>
      <c r="B629" s="87"/>
      <c r="C629" s="87"/>
      <c r="D629" s="87"/>
      <c r="E629" s="87"/>
      <c r="F629" s="87"/>
      <c r="G629" s="87"/>
      <c r="H629" s="146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</row>
    <row r="630" ht="18.75" customHeight="1">
      <c r="A630" s="87"/>
      <c r="B630" s="87"/>
      <c r="C630" s="87"/>
      <c r="D630" s="87"/>
      <c r="E630" s="87"/>
      <c r="F630" s="87"/>
      <c r="G630" s="87"/>
      <c r="H630" s="146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</row>
    <row r="631" ht="18.75" customHeight="1">
      <c r="A631" s="87"/>
      <c r="B631" s="87"/>
      <c r="C631" s="87"/>
      <c r="D631" s="87"/>
      <c r="E631" s="87"/>
      <c r="F631" s="87"/>
      <c r="G631" s="87"/>
      <c r="H631" s="146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</row>
    <row r="632" ht="18.75" customHeight="1">
      <c r="A632" s="87"/>
      <c r="B632" s="87"/>
      <c r="C632" s="87"/>
      <c r="D632" s="87"/>
      <c r="E632" s="87"/>
      <c r="F632" s="87"/>
      <c r="G632" s="87"/>
      <c r="H632" s="146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</row>
    <row r="633" ht="18.75" customHeight="1">
      <c r="A633" s="87"/>
      <c r="B633" s="87"/>
      <c r="C633" s="87"/>
      <c r="D633" s="87"/>
      <c r="E633" s="87"/>
      <c r="F633" s="87"/>
      <c r="G633" s="87"/>
      <c r="H633" s="146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</row>
    <row r="634" ht="18.75" customHeight="1">
      <c r="A634" s="87"/>
      <c r="B634" s="87"/>
      <c r="C634" s="87"/>
      <c r="D634" s="87"/>
      <c r="E634" s="87"/>
      <c r="F634" s="87"/>
      <c r="G634" s="87"/>
      <c r="H634" s="146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</row>
    <row r="635" ht="18.75" customHeight="1">
      <c r="A635" s="87"/>
      <c r="B635" s="87"/>
      <c r="C635" s="87"/>
      <c r="D635" s="87"/>
      <c r="E635" s="87"/>
      <c r="F635" s="87"/>
      <c r="G635" s="87"/>
      <c r="H635" s="146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</row>
    <row r="636" ht="18.75" customHeight="1">
      <c r="A636" s="87"/>
      <c r="B636" s="87"/>
      <c r="C636" s="87"/>
      <c r="D636" s="87"/>
      <c r="E636" s="87"/>
      <c r="F636" s="87"/>
      <c r="G636" s="87"/>
      <c r="H636" s="146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</row>
    <row r="637" ht="18.75" customHeight="1">
      <c r="A637" s="87"/>
      <c r="B637" s="87"/>
      <c r="C637" s="87"/>
      <c r="D637" s="87"/>
      <c r="E637" s="87"/>
      <c r="F637" s="87"/>
      <c r="G637" s="87"/>
      <c r="H637" s="146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</row>
    <row r="638" ht="18.75" customHeight="1">
      <c r="A638" s="87"/>
      <c r="B638" s="87"/>
      <c r="C638" s="87"/>
      <c r="D638" s="87"/>
      <c r="E638" s="87"/>
      <c r="F638" s="87"/>
      <c r="G638" s="87"/>
      <c r="H638" s="146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</row>
    <row r="639" ht="18.75" customHeight="1">
      <c r="A639" s="87"/>
      <c r="B639" s="87"/>
      <c r="C639" s="87"/>
      <c r="D639" s="87"/>
      <c r="E639" s="87"/>
      <c r="F639" s="87"/>
      <c r="G639" s="87"/>
      <c r="H639" s="146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</row>
    <row r="640" ht="18.75" customHeight="1">
      <c r="A640" s="87"/>
      <c r="B640" s="87"/>
      <c r="C640" s="87"/>
      <c r="D640" s="87"/>
      <c r="E640" s="87"/>
      <c r="F640" s="87"/>
      <c r="G640" s="87"/>
      <c r="H640" s="146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</row>
    <row r="641" ht="18.75" customHeight="1">
      <c r="A641" s="87"/>
      <c r="B641" s="87"/>
      <c r="C641" s="87"/>
      <c r="D641" s="87"/>
      <c r="E641" s="87"/>
      <c r="F641" s="87"/>
      <c r="G641" s="87"/>
      <c r="H641" s="146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</row>
    <row r="642" ht="18.75" customHeight="1">
      <c r="A642" s="87"/>
      <c r="B642" s="87"/>
      <c r="C642" s="87"/>
      <c r="D642" s="87"/>
      <c r="E642" s="87"/>
      <c r="F642" s="87"/>
      <c r="G642" s="87"/>
      <c r="H642" s="146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</row>
    <row r="643" ht="18.75" customHeight="1">
      <c r="A643" s="87"/>
      <c r="B643" s="87"/>
      <c r="C643" s="87"/>
      <c r="D643" s="87"/>
      <c r="E643" s="87"/>
      <c r="F643" s="87"/>
      <c r="G643" s="87"/>
      <c r="H643" s="146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</row>
    <row r="644" ht="18.75" customHeight="1">
      <c r="A644" s="87"/>
      <c r="B644" s="87"/>
      <c r="C644" s="87"/>
      <c r="D644" s="87"/>
      <c r="E644" s="87"/>
      <c r="F644" s="87"/>
      <c r="G644" s="87"/>
      <c r="H644" s="146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</row>
    <row r="645" ht="18.75" customHeight="1">
      <c r="A645" s="87"/>
      <c r="B645" s="87"/>
      <c r="C645" s="87"/>
      <c r="D645" s="87"/>
      <c r="E645" s="87"/>
      <c r="F645" s="87"/>
      <c r="G645" s="87"/>
      <c r="H645" s="146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</row>
    <row r="646" ht="18.75" customHeight="1">
      <c r="A646" s="87"/>
      <c r="B646" s="87"/>
      <c r="C646" s="87"/>
      <c r="D646" s="87"/>
      <c r="E646" s="87"/>
      <c r="F646" s="87"/>
      <c r="G646" s="87"/>
      <c r="H646" s="146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</row>
    <row r="647" ht="18.75" customHeight="1">
      <c r="A647" s="87"/>
      <c r="B647" s="87"/>
      <c r="C647" s="87"/>
      <c r="D647" s="87"/>
      <c r="E647" s="87"/>
      <c r="F647" s="87"/>
      <c r="G647" s="87"/>
      <c r="H647" s="146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</row>
    <row r="648" ht="18.75" customHeight="1">
      <c r="A648" s="87"/>
      <c r="B648" s="87"/>
      <c r="C648" s="87"/>
      <c r="D648" s="87"/>
      <c r="E648" s="87"/>
      <c r="F648" s="87"/>
      <c r="G648" s="87"/>
      <c r="H648" s="146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</row>
    <row r="649" ht="18.75" customHeight="1">
      <c r="A649" s="87"/>
      <c r="B649" s="87"/>
      <c r="C649" s="87"/>
      <c r="D649" s="87"/>
      <c r="E649" s="87"/>
      <c r="F649" s="87"/>
      <c r="G649" s="87"/>
      <c r="H649" s="146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</row>
    <row r="650" ht="18.75" customHeight="1">
      <c r="A650" s="87"/>
      <c r="B650" s="87"/>
      <c r="C650" s="87"/>
      <c r="D650" s="87"/>
      <c r="E650" s="87"/>
      <c r="F650" s="87"/>
      <c r="G650" s="87"/>
      <c r="H650" s="146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</row>
    <row r="651" ht="18.75" customHeight="1">
      <c r="A651" s="87"/>
      <c r="B651" s="87"/>
      <c r="C651" s="87"/>
      <c r="D651" s="87"/>
      <c r="E651" s="87"/>
      <c r="F651" s="87"/>
      <c r="G651" s="87"/>
      <c r="H651" s="146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</row>
    <row r="652" ht="18.75" customHeight="1">
      <c r="A652" s="87"/>
      <c r="B652" s="87"/>
      <c r="C652" s="87"/>
      <c r="D652" s="87"/>
      <c r="E652" s="87"/>
      <c r="F652" s="87"/>
      <c r="G652" s="87"/>
      <c r="H652" s="146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</row>
    <row r="653" ht="18.75" customHeight="1">
      <c r="A653" s="87"/>
      <c r="B653" s="87"/>
      <c r="C653" s="87"/>
      <c r="D653" s="87"/>
      <c r="E653" s="87"/>
      <c r="F653" s="87"/>
      <c r="G653" s="87"/>
      <c r="H653" s="146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</row>
    <row r="654" ht="18.75" customHeight="1">
      <c r="A654" s="87"/>
      <c r="B654" s="87"/>
      <c r="C654" s="87"/>
      <c r="D654" s="87"/>
      <c r="E654" s="87"/>
      <c r="F654" s="87"/>
      <c r="G654" s="87"/>
      <c r="H654" s="146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</row>
    <row r="655" ht="18.75" customHeight="1">
      <c r="A655" s="87"/>
      <c r="B655" s="87"/>
      <c r="C655" s="87"/>
      <c r="D655" s="87"/>
      <c r="E655" s="87"/>
      <c r="F655" s="87"/>
      <c r="G655" s="87"/>
      <c r="H655" s="146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</row>
    <row r="656" ht="18.75" customHeight="1">
      <c r="A656" s="87"/>
      <c r="B656" s="87"/>
      <c r="C656" s="87"/>
      <c r="D656" s="87"/>
      <c r="E656" s="87"/>
      <c r="F656" s="87"/>
      <c r="G656" s="87"/>
      <c r="H656" s="146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</row>
    <row r="657" ht="18.75" customHeight="1">
      <c r="A657" s="87"/>
      <c r="B657" s="87"/>
      <c r="C657" s="87"/>
      <c r="D657" s="87"/>
      <c r="E657" s="87"/>
      <c r="F657" s="87"/>
      <c r="G657" s="87"/>
      <c r="H657" s="146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</row>
    <row r="658" ht="18.75" customHeight="1">
      <c r="A658" s="87"/>
      <c r="B658" s="87"/>
      <c r="C658" s="87"/>
      <c r="D658" s="87"/>
      <c r="E658" s="87"/>
      <c r="F658" s="87"/>
      <c r="G658" s="87"/>
      <c r="H658" s="146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</row>
    <row r="659" ht="18.75" customHeight="1">
      <c r="A659" s="87"/>
      <c r="B659" s="87"/>
      <c r="C659" s="87"/>
      <c r="D659" s="87"/>
      <c r="E659" s="87"/>
      <c r="F659" s="87"/>
      <c r="G659" s="87"/>
      <c r="H659" s="146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</row>
    <row r="660" ht="18.75" customHeight="1">
      <c r="A660" s="87"/>
      <c r="B660" s="87"/>
      <c r="C660" s="87"/>
      <c r="D660" s="87"/>
      <c r="E660" s="87"/>
      <c r="F660" s="87"/>
      <c r="G660" s="87"/>
      <c r="H660" s="146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</row>
    <row r="661" ht="18.75" customHeight="1">
      <c r="A661" s="87"/>
      <c r="B661" s="87"/>
      <c r="C661" s="87"/>
      <c r="D661" s="87"/>
      <c r="E661" s="87"/>
      <c r="F661" s="87"/>
      <c r="G661" s="87"/>
      <c r="H661" s="146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</row>
    <row r="662" ht="18.75" customHeight="1">
      <c r="A662" s="87"/>
      <c r="B662" s="87"/>
      <c r="C662" s="87"/>
      <c r="D662" s="87"/>
      <c r="E662" s="87"/>
      <c r="F662" s="87"/>
      <c r="G662" s="87"/>
      <c r="H662" s="146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</row>
    <row r="663" ht="18.75" customHeight="1">
      <c r="A663" s="87"/>
      <c r="B663" s="87"/>
      <c r="C663" s="87"/>
      <c r="D663" s="87"/>
      <c r="E663" s="87"/>
      <c r="F663" s="87"/>
      <c r="G663" s="87"/>
      <c r="H663" s="146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</row>
    <row r="664" ht="18.75" customHeight="1">
      <c r="A664" s="87"/>
      <c r="B664" s="87"/>
      <c r="C664" s="87"/>
      <c r="D664" s="87"/>
      <c r="E664" s="87"/>
      <c r="F664" s="87"/>
      <c r="G664" s="87"/>
      <c r="H664" s="146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</row>
    <row r="665" ht="18.75" customHeight="1">
      <c r="A665" s="87"/>
      <c r="B665" s="87"/>
      <c r="C665" s="87"/>
      <c r="D665" s="87"/>
      <c r="E665" s="87"/>
      <c r="F665" s="87"/>
      <c r="G665" s="87"/>
      <c r="H665" s="146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</row>
    <row r="666" ht="18.75" customHeight="1">
      <c r="A666" s="87"/>
      <c r="B666" s="87"/>
      <c r="C666" s="87"/>
      <c r="D666" s="87"/>
      <c r="E666" s="87"/>
      <c r="F666" s="87"/>
      <c r="G666" s="87"/>
      <c r="H666" s="146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</row>
    <row r="667" ht="18.75" customHeight="1">
      <c r="A667" s="87"/>
      <c r="B667" s="87"/>
      <c r="C667" s="87"/>
      <c r="D667" s="87"/>
      <c r="E667" s="87"/>
      <c r="F667" s="87"/>
      <c r="G667" s="87"/>
      <c r="H667" s="146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</row>
    <row r="668" ht="18.75" customHeight="1">
      <c r="A668" s="87"/>
      <c r="B668" s="87"/>
      <c r="C668" s="87"/>
      <c r="D668" s="87"/>
      <c r="E668" s="87"/>
      <c r="F668" s="87"/>
      <c r="G668" s="87"/>
      <c r="H668" s="146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</row>
    <row r="669" ht="18.75" customHeight="1">
      <c r="A669" s="87"/>
      <c r="B669" s="87"/>
      <c r="C669" s="87"/>
      <c r="D669" s="87"/>
      <c r="E669" s="87"/>
      <c r="F669" s="87"/>
      <c r="G669" s="87"/>
      <c r="H669" s="146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</row>
    <row r="670" ht="18.75" customHeight="1">
      <c r="A670" s="87"/>
      <c r="B670" s="87"/>
      <c r="C670" s="87"/>
      <c r="D670" s="87"/>
      <c r="E670" s="87"/>
      <c r="F670" s="87"/>
      <c r="G670" s="87"/>
      <c r="H670" s="146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</row>
    <row r="671" ht="18.75" customHeight="1">
      <c r="A671" s="87"/>
      <c r="B671" s="87"/>
      <c r="C671" s="87"/>
      <c r="D671" s="87"/>
      <c r="E671" s="87"/>
      <c r="F671" s="87"/>
      <c r="G671" s="87"/>
      <c r="H671" s="146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</row>
    <row r="672" ht="18.75" customHeight="1">
      <c r="A672" s="87"/>
      <c r="B672" s="87"/>
      <c r="C672" s="87"/>
      <c r="D672" s="87"/>
      <c r="E672" s="87"/>
      <c r="F672" s="87"/>
      <c r="G672" s="87"/>
      <c r="H672" s="146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</row>
    <row r="673" ht="18.75" customHeight="1">
      <c r="A673" s="87"/>
      <c r="B673" s="87"/>
      <c r="C673" s="87"/>
      <c r="D673" s="87"/>
      <c r="E673" s="87"/>
      <c r="F673" s="87"/>
      <c r="G673" s="87"/>
      <c r="H673" s="146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</row>
    <row r="674" ht="18.75" customHeight="1">
      <c r="A674" s="87"/>
      <c r="B674" s="87"/>
      <c r="C674" s="87"/>
      <c r="D674" s="87"/>
      <c r="E674" s="87"/>
      <c r="F674" s="87"/>
      <c r="G674" s="87"/>
      <c r="H674" s="146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</row>
    <row r="675" ht="18.75" customHeight="1">
      <c r="A675" s="87"/>
      <c r="B675" s="87"/>
      <c r="C675" s="87"/>
      <c r="D675" s="87"/>
      <c r="E675" s="87"/>
      <c r="F675" s="87"/>
      <c r="G675" s="87"/>
      <c r="H675" s="146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</row>
    <row r="676" ht="18.75" customHeight="1">
      <c r="A676" s="87"/>
      <c r="B676" s="87"/>
      <c r="C676" s="87"/>
      <c r="D676" s="87"/>
      <c r="E676" s="87"/>
      <c r="F676" s="87"/>
      <c r="G676" s="87"/>
      <c r="H676" s="146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</row>
    <row r="677" ht="18.75" customHeight="1">
      <c r="A677" s="87"/>
      <c r="B677" s="87"/>
      <c r="C677" s="87"/>
      <c r="D677" s="87"/>
      <c r="E677" s="87"/>
      <c r="F677" s="87"/>
      <c r="G677" s="87"/>
      <c r="H677" s="146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</row>
    <row r="678" ht="18.75" customHeight="1">
      <c r="A678" s="87"/>
      <c r="B678" s="87"/>
      <c r="C678" s="87"/>
      <c r="D678" s="87"/>
      <c r="E678" s="87"/>
      <c r="F678" s="87"/>
      <c r="G678" s="87"/>
      <c r="H678" s="146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</row>
    <row r="679" ht="18.75" customHeight="1">
      <c r="A679" s="87"/>
      <c r="B679" s="87"/>
      <c r="C679" s="87"/>
      <c r="D679" s="87"/>
      <c r="E679" s="87"/>
      <c r="F679" s="87"/>
      <c r="G679" s="87"/>
      <c r="H679" s="146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</row>
    <row r="680" ht="18.75" customHeight="1">
      <c r="A680" s="87"/>
      <c r="B680" s="87"/>
      <c r="C680" s="87"/>
      <c r="D680" s="87"/>
      <c r="E680" s="87"/>
      <c r="F680" s="87"/>
      <c r="G680" s="87"/>
      <c r="H680" s="146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</row>
    <row r="681" ht="18.75" customHeight="1">
      <c r="A681" s="87"/>
      <c r="B681" s="87"/>
      <c r="C681" s="87"/>
      <c r="D681" s="87"/>
      <c r="E681" s="87"/>
      <c r="F681" s="87"/>
      <c r="G681" s="87"/>
      <c r="H681" s="146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</row>
    <row r="682" ht="18.75" customHeight="1">
      <c r="A682" s="87"/>
      <c r="B682" s="87"/>
      <c r="C682" s="87"/>
      <c r="D682" s="87"/>
      <c r="E682" s="87"/>
      <c r="F682" s="87"/>
      <c r="G682" s="87"/>
      <c r="H682" s="146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</row>
    <row r="683" ht="18.75" customHeight="1">
      <c r="A683" s="87"/>
      <c r="B683" s="87"/>
      <c r="C683" s="87"/>
      <c r="D683" s="87"/>
      <c r="E683" s="87"/>
      <c r="F683" s="87"/>
      <c r="G683" s="87"/>
      <c r="H683" s="146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</row>
    <row r="684" ht="18.75" customHeight="1">
      <c r="A684" s="87"/>
      <c r="B684" s="87"/>
      <c r="C684" s="87"/>
      <c r="D684" s="87"/>
      <c r="E684" s="87"/>
      <c r="F684" s="87"/>
      <c r="G684" s="87"/>
      <c r="H684" s="146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</row>
    <row r="685" ht="18.75" customHeight="1">
      <c r="A685" s="87"/>
      <c r="B685" s="87"/>
      <c r="C685" s="87"/>
      <c r="D685" s="87"/>
      <c r="E685" s="87"/>
      <c r="F685" s="87"/>
      <c r="G685" s="87"/>
      <c r="H685" s="146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</row>
    <row r="686" ht="18.75" customHeight="1">
      <c r="A686" s="87"/>
      <c r="B686" s="87"/>
      <c r="C686" s="87"/>
      <c r="D686" s="87"/>
      <c r="E686" s="87"/>
      <c r="F686" s="87"/>
      <c r="G686" s="87"/>
      <c r="H686" s="146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</row>
    <row r="687" ht="18.75" customHeight="1">
      <c r="A687" s="87"/>
      <c r="B687" s="87"/>
      <c r="C687" s="87"/>
      <c r="D687" s="87"/>
      <c r="E687" s="87"/>
      <c r="F687" s="87"/>
      <c r="G687" s="87"/>
      <c r="H687" s="146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</row>
    <row r="688" ht="18.75" customHeight="1">
      <c r="A688" s="87"/>
      <c r="B688" s="87"/>
      <c r="C688" s="87"/>
      <c r="D688" s="87"/>
      <c r="E688" s="87"/>
      <c r="F688" s="87"/>
      <c r="G688" s="87"/>
      <c r="H688" s="146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</row>
    <row r="689" ht="18.75" customHeight="1">
      <c r="A689" s="87"/>
      <c r="B689" s="87"/>
      <c r="C689" s="87"/>
      <c r="D689" s="87"/>
      <c r="E689" s="87"/>
      <c r="F689" s="87"/>
      <c r="G689" s="87"/>
      <c r="H689" s="146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</row>
    <row r="690" ht="18.75" customHeight="1">
      <c r="A690" s="87"/>
      <c r="B690" s="87"/>
      <c r="C690" s="87"/>
      <c r="D690" s="87"/>
      <c r="E690" s="87"/>
      <c r="F690" s="87"/>
      <c r="G690" s="87"/>
      <c r="H690" s="146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</row>
    <row r="691" ht="18.75" customHeight="1">
      <c r="A691" s="87"/>
      <c r="B691" s="87"/>
      <c r="C691" s="87"/>
      <c r="D691" s="87"/>
      <c r="E691" s="87"/>
      <c r="F691" s="87"/>
      <c r="G691" s="87"/>
      <c r="H691" s="146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</row>
    <row r="692" ht="18.75" customHeight="1">
      <c r="A692" s="87"/>
      <c r="B692" s="87"/>
      <c r="C692" s="87"/>
      <c r="D692" s="87"/>
      <c r="E692" s="87"/>
      <c r="F692" s="87"/>
      <c r="G692" s="87"/>
      <c r="H692" s="146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</row>
    <row r="693" ht="18.75" customHeight="1">
      <c r="A693" s="87"/>
      <c r="B693" s="87"/>
      <c r="C693" s="87"/>
      <c r="D693" s="87"/>
      <c r="E693" s="87"/>
      <c r="F693" s="87"/>
      <c r="G693" s="87"/>
      <c r="H693" s="146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</row>
    <row r="694" ht="18.75" customHeight="1">
      <c r="A694" s="87"/>
      <c r="B694" s="87"/>
      <c r="C694" s="87"/>
      <c r="D694" s="87"/>
      <c r="E694" s="87"/>
      <c r="F694" s="87"/>
      <c r="G694" s="87"/>
      <c r="H694" s="146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</row>
    <row r="695" ht="18.75" customHeight="1">
      <c r="A695" s="87"/>
      <c r="B695" s="87"/>
      <c r="C695" s="87"/>
      <c r="D695" s="87"/>
      <c r="E695" s="87"/>
      <c r="F695" s="87"/>
      <c r="G695" s="87"/>
      <c r="H695" s="146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</row>
    <row r="696" ht="18.75" customHeight="1">
      <c r="A696" s="87"/>
      <c r="B696" s="87"/>
      <c r="C696" s="87"/>
      <c r="D696" s="87"/>
      <c r="E696" s="87"/>
      <c r="F696" s="87"/>
      <c r="G696" s="87"/>
      <c r="H696" s="146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</row>
    <row r="697" ht="18.75" customHeight="1">
      <c r="A697" s="87"/>
      <c r="B697" s="87"/>
      <c r="C697" s="87"/>
      <c r="D697" s="87"/>
      <c r="E697" s="87"/>
      <c r="F697" s="87"/>
      <c r="G697" s="87"/>
      <c r="H697" s="146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</row>
    <row r="698" ht="18.75" customHeight="1">
      <c r="A698" s="87"/>
      <c r="B698" s="87"/>
      <c r="C698" s="87"/>
      <c r="D698" s="87"/>
      <c r="E698" s="87"/>
      <c r="F698" s="87"/>
      <c r="G698" s="87"/>
      <c r="H698" s="146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</row>
    <row r="699" ht="18.75" customHeight="1">
      <c r="A699" s="87"/>
      <c r="B699" s="87"/>
      <c r="C699" s="87"/>
      <c r="D699" s="87"/>
      <c r="E699" s="87"/>
      <c r="F699" s="87"/>
      <c r="G699" s="87"/>
      <c r="H699" s="146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</row>
    <row r="700" ht="18.75" customHeight="1">
      <c r="A700" s="87"/>
      <c r="B700" s="87"/>
      <c r="C700" s="87"/>
      <c r="D700" s="87"/>
      <c r="E700" s="87"/>
      <c r="F700" s="87"/>
      <c r="G700" s="87"/>
      <c r="H700" s="146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</row>
    <row r="701" ht="18.75" customHeight="1">
      <c r="A701" s="87"/>
      <c r="B701" s="87"/>
      <c r="C701" s="87"/>
      <c r="D701" s="87"/>
      <c r="E701" s="87"/>
      <c r="F701" s="87"/>
      <c r="G701" s="87"/>
      <c r="H701" s="146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</row>
    <row r="702" ht="18.75" customHeight="1">
      <c r="A702" s="87"/>
      <c r="B702" s="87"/>
      <c r="C702" s="87"/>
      <c r="D702" s="87"/>
      <c r="E702" s="87"/>
      <c r="F702" s="87"/>
      <c r="G702" s="87"/>
      <c r="H702" s="146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</row>
    <row r="703" ht="18.75" customHeight="1">
      <c r="A703" s="87"/>
      <c r="B703" s="87"/>
      <c r="C703" s="87"/>
      <c r="D703" s="87"/>
      <c r="E703" s="87"/>
      <c r="F703" s="87"/>
      <c r="G703" s="87"/>
      <c r="H703" s="146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</row>
    <row r="704" ht="18.75" customHeight="1">
      <c r="A704" s="87"/>
      <c r="B704" s="87"/>
      <c r="C704" s="87"/>
      <c r="D704" s="87"/>
      <c r="E704" s="87"/>
      <c r="F704" s="87"/>
      <c r="G704" s="87"/>
      <c r="H704" s="146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</row>
    <row r="705" ht="18.75" customHeight="1">
      <c r="A705" s="87"/>
      <c r="B705" s="87"/>
      <c r="C705" s="87"/>
      <c r="D705" s="87"/>
      <c r="E705" s="87"/>
      <c r="F705" s="87"/>
      <c r="G705" s="87"/>
      <c r="H705" s="146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</row>
    <row r="706" ht="18.75" customHeight="1">
      <c r="A706" s="87"/>
      <c r="B706" s="87"/>
      <c r="C706" s="87"/>
      <c r="D706" s="87"/>
      <c r="E706" s="87"/>
      <c r="F706" s="87"/>
      <c r="G706" s="87"/>
      <c r="H706" s="146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</row>
    <row r="707" ht="18.75" customHeight="1">
      <c r="A707" s="87"/>
      <c r="H707" s="146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</row>
    <row r="708" ht="18.75" customHeight="1">
      <c r="A708" s="87"/>
      <c r="H708" s="146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</row>
    <row r="709" ht="18.75" customHeight="1">
      <c r="A709" s="87"/>
      <c r="H709" s="146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</row>
    <row r="710" ht="18.75" customHeight="1">
      <c r="A710" s="87"/>
      <c r="H710" s="146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</row>
    <row r="711" ht="18.75" customHeight="1">
      <c r="A711" s="87"/>
      <c r="H711" s="146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</row>
    <row r="712" ht="18.75" customHeight="1">
      <c r="A712" s="87"/>
      <c r="H712" s="146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</row>
    <row r="713" ht="18.75" customHeight="1">
      <c r="A713" s="87"/>
      <c r="H713" s="146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</row>
    <row r="714" ht="18.75" customHeight="1">
      <c r="A714" s="87"/>
      <c r="H714" s="146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</row>
    <row r="715" ht="18.75" customHeight="1">
      <c r="A715" s="87"/>
      <c r="H715" s="146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</row>
    <row r="716" ht="18.75" customHeight="1">
      <c r="A716" s="87"/>
      <c r="H716" s="146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</row>
    <row r="717" ht="18.75" customHeight="1">
      <c r="A717" s="87"/>
      <c r="H717" s="146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</row>
    <row r="718" ht="18.75" customHeight="1">
      <c r="A718" s="87"/>
      <c r="H718" s="146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</row>
    <row r="719" ht="18.75" customHeight="1">
      <c r="A719" s="87"/>
      <c r="H719" s="146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</row>
    <row r="720" ht="18.75" customHeight="1">
      <c r="A720" s="87"/>
      <c r="H720" s="146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</row>
    <row r="721" ht="18.75" customHeight="1">
      <c r="A721" s="87"/>
      <c r="H721" s="146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</row>
    <row r="722" ht="18.75" customHeight="1">
      <c r="A722" s="87"/>
      <c r="H722" s="146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</row>
    <row r="723" ht="18.75" customHeight="1">
      <c r="A723" s="87"/>
      <c r="H723" s="146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</row>
    <row r="724" ht="18.75" customHeight="1">
      <c r="A724" s="87"/>
      <c r="H724" s="146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</row>
    <row r="725" ht="18.75" customHeight="1">
      <c r="A725" s="87"/>
      <c r="H725" s="146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</row>
    <row r="726" ht="18.75" customHeight="1">
      <c r="A726" s="87"/>
      <c r="H726" s="146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</row>
    <row r="727" ht="18.75" customHeight="1">
      <c r="A727" s="87"/>
      <c r="H727" s="146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</row>
    <row r="728" ht="18.75" customHeight="1">
      <c r="A728" s="87"/>
      <c r="H728" s="146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</row>
    <row r="729" ht="18.75" customHeight="1">
      <c r="A729" s="87"/>
      <c r="H729" s="146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</row>
    <row r="730" ht="18.75" customHeight="1">
      <c r="A730" s="87"/>
      <c r="H730" s="146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</row>
    <row r="731" ht="18.75" customHeight="1">
      <c r="A731" s="87"/>
      <c r="H731" s="146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</row>
    <row r="732" ht="18.75" customHeight="1">
      <c r="A732" s="87"/>
      <c r="H732" s="146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</row>
    <row r="733" ht="18.75" customHeight="1">
      <c r="A733" s="87"/>
      <c r="H733" s="146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</row>
    <row r="734" ht="18.75" customHeight="1">
      <c r="A734" s="87"/>
      <c r="H734" s="146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</row>
    <row r="735" ht="18.75" customHeight="1">
      <c r="A735" s="87"/>
      <c r="H735" s="146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</row>
    <row r="736" ht="18.75" customHeight="1">
      <c r="A736" s="87"/>
      <c r="H736" s="146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</row>
    <row r="737" ht="18.75" customHeight="1">
      <c r="A737" s="87"/>
      <c r="H737" s="146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</row>
    <row r="738" ht="18.75" customHeight="1">
      <c r="A738" s="87"/>
      <c r="H738" s="146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</row>
    <row r="739" ht="18.75" customHeight="1">
      <c r="A739" s="87"/>
      <c r="H739" s="146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</row>
    <row r="740" ht="18.75" customHeight="1">
      <c r="A740" s="87"/>
      <c r="H740" s="146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</row>
    <row r="741" ht="18.75" customHeight="1">
      <c r="A741" s="87"/>
      <c r="H741" s="146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</row>
    <row r="742" ht="18.75" customHeight="1">
      <c r="A742" s="87"/>
      <c r="H742" s="146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</row>
    <row r="743" ht="18.75" customHeight="1">
      <c r="A743" s="87"/>
      <c r="H743" s="146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</row>
    <row r="744" ht="18.75" customHeight="1">
      <c r="A744" s="87"/>
      <c r="H744" s="146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</row>
    <row r="745" ht="18.75" customHeight="1">
      <c r="A745" s="87"/>
      <c r="H745" s="146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</row>
    <row r="746" ht="18.75" customHeight="1">
      <c r="A746" s="87"/>
      <c r="H746" s="146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</row>
    <row r="747" ht="18.75" customHeight="1">
      <c r="A747" s="87"/>
      <c r="H747" s="146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</row>
    <row r="748" ht="18.75" customHeight="1">
      <c r="A748" s="87"/>
      <c r="H748" s="146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</row>
    <row r="749" ht="18.75" customHeight="1">
      <c r="A749" s="87"/>
      <c r="H749" s="146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</row>
    <row r="750" ht="18.75" customHeight="1">
      <c r="A750" s="87"/>
      <c r="H750" s="146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</row>
    <row r="751" ht="18.75" customHeight="1">
      <c r="A751" s="87"/>
      <c r="H751" s="146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</row>
    <row r="752" ht="18.75" customHeight="1">
      <c r="A752" s="87"/>
      <c r="H752" s="146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</row>
    <row r="753" ht="18.75" customHeight="1">
      <c r="A753" s="87"/>
      <c r="H753" s="146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</row>
    <row r="754" ht="18.75" customHeight="1">
      <c r="A754" s="87"/>
      <c r="H754" s="146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</row>
    <row r="755" ht="18.75" customHeight="1">
      <c r="A755" s="87"/>
      <c r="H755" s="146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</row>
    <row r="756" ht="18.75" customHeight="1">
      <c r="A756" s="87"/>
      <c r="H756" s="146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</row>
    <row r="757" ht="18.75" customHeight="1">
      <c r="A757" s="87"/>
      <c r="H757" s="146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</row>
    <row r="758" ht="18.75" customHeight="1">
      <c r="A758" s="87"/>
      <c r="H758" s="146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</row>
    <row r="759" ht="18.75" customHeight="1">
      <c r="A759" s="87"/>
      <c r="H759" s="146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</row>
    <row r="760" ht="18.75" customHeight="1">
      <c r="A760" s="87"/>
      <c r="H760" s="146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</row>
    <row r="761" ht="18.75" customHeight="1">
      <c r="A761" s="87"/>
      <c r="H761" s="146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</row>
    <row r="762" ht="18.75" customHeight="1">
      <c r="A762" s="87"/>
      <c r="H762" s="146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</row>
    <row r="763" ht="18.75" customHeight="1">
      <c r="A763" s="87"/>
      <c r="H763" s="146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</row>
    <row r="764" ht="18.75" customHeight="1">
      <c r="A764" s="87"/>
      <c r="H764" s="146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</row>
    <row r="765" ht="18.75" customHeight="1">
      <c r="A765" s="87"/>
      <c r="H765" s="146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</row>
    <row r="766" ht="18.75" customHeight="1">
      <c r="A766" s="87"/>
      <c r="H766" s="146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</row>
    <row r="767" ht="18.75" customHeight="1">
      <c r="A767" s="87"/>
      <c r="H767" s="146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</row>
    <row r="768" ht="18.75" customHeight="1">
      <c r="A768" s="87"/>
      <c r="H768" s="146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</row>
    <row r="769" ht="18.75" customHeight="1">
      <c r="A769" s="87"/>
      <c r="H769" s="146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</row>
    <row r="770" ht="18.75" customHeight="1">
      <c r="A770" s="87"/>
      <c r="H770" s="146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</row>
    <row r="771" ht="18.75" customHeight="1">
      <c r="A771" s="87"/>
      <c r="H771" s="146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</row>
    <row r="772" ht="18.75" customHeight="1">
      <c r="A772" s="87"/>
      <c r="H772" s="146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</row>
    <row r="773" ht="18.75" customHeight="1">
      <c r="A773" s="87"/>
      <c r="H773" s="146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</row>
    <row r="774" ht="18.75" customHeight="1">
      <c r="A774" s="87"/>
      <c r="H774" s="146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</row>
    <row r="775" ht="18.75" customHeight="1">
      <c r="A775" s="87"/>
      <c r="H775" s="146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</row>
    <row r="776" ht="18.75" customHeight="1">
      <c r="A776" s="87"/>
      <c r="H776" s="146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</row>
    <row r="777" ht="18.75" customHeight="1">
      <c r="A777" s="87"/>
      <c r="H777" s="146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</row>
    <row r="778" ht="18.75" customHeight="1">
      <c r="A778" s="87"/>
      <c r="H778" s="146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</row>
    <row r="779" ht="18.75" customHeight="1">
      <c r="A779" s="87"/>
      <c r="H779" s="146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</row>
    <row r="780" ht="18.75" customHeight="1">
      <c r="A780" s="87"/>
      <c r="H780" s="146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</row>
    <row r="781" ht="18.75" customHeight="1">
      <c r="A781" s="87"/>
      <c r="H781" s="146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</row>
    <row r="782" ht="18.75" customHeight="1">
      <c r="A782" s="87"/>
      <c r="H782" s="146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</row>
    <row r="783" ht="18.75" customHeight="1">
      <c r="A783" s="87"/>
      <c r="H783" s="146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</row>
    <row r="784" ht="18.75" customHeight="1">
      <c r="A784" s="87"/>
      <c r="H784" s="146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</row>
    <row r="785" ht="18.75" customHeight="1">
      <c r="A785" s="87"/>
      <c r="H785" s="146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</row>
    <row r="786" ht="18.75" customHeight="1">
      <c r="A786" s="87"/>
      <c r="H786" s="146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</row>
    <row r="787" ht="18.75" customHeight="1">
      <c r="A787" s="87"/>
      <c r="H787" s="146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</row>
    <row r="788" ht="18.75" customHeight="1">
      <c r="A788" s="87"/>
      <c r="H788" s="146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</row>
    <row r="789" ht="18.75" customHeight="1">
      <c r="A789" s="87"/>
      <c r="H789" s="146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</row>
    <row r="790" ht="18.75" customHeight="1">
      <c r="A790" s="87"/>
      <c r="H790" s="146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</row>
    <row r="791" ht="18.75" customHeight="1">
      <c r="A791" s="87"/>
      <c r="H791" s="146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</row>
    <row r="792" ht="18.75" customHeight="1">
      <c r="A792" s="87"/>
      <c r="H792" s="146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</row>
    <row r="793" ht="18.75" customHeight="1">
      <c r="A793" s="87"/>
      <c r="H793" s="146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</row>
    <row r="794" ht="18.75" customHeight="1">
      <c r="A794" s="87"/>
      <c r="H794" s="146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</row>
    <row r="795" ht="18.75" customHeight="1">
      <c r="A795" s="87"/>
      <c r="H795" s="146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</row>
    <row r="796" ht="18.75" customHeight="1">
      <c r="A796" s="87"/>
      <c r="H796" s="146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</row>
    <row r="797" ht="18.75" customHeight="1">
      <c r="A797" s="87"/>
      <c r="H797" s="146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</row>
    <row r="798" ht="18.75" customHeight="1">
      <c r="A798" s="87"/>
      <c r="H798" s="146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</row>
    <row r="799" ht="18.75" customHeight="1">
      <c r="A799" s="87"/>
      <c r="H799" s="146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</row>
    <row r="800" ht="18.75" customHeight="1">
      <c r="A800" s="87"/>
      <c r="H800" s="146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</row>
    <row r="801" ht="18.75" customHeight="1">
      <c r="A801" s="87"/>
      <c r="H801" s="146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</row>
    <row r="802" ht="18.75" customHeight="1">
      <c r="A802" s="87"/>
      <c r="H802" s="146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</row>
    <row r="803" ht="18.75" customHeight="1">
      <c r="A803" s="87"/>
      <c r="H803" s="146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</row>
    <row r="804" ht="18.75" customHeight="1">
      <c r="A804" s="87"/>
      <c r="H804" s="146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</row>
    <row r="805" ht="18.75" customHeight="1">
      <c r="A805" s="87"/>
      <c r="H805" s="146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</row>
    <row r="806" ht="18.75" customHeight="1">
      <c r="A806" s="87"/>
      <c r="H806" s="146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</row>
    <row r="807" ht="18.75" customHeight="1">
      <c r="A807" s="87"/>
      <c r="H807" s="146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</row>
    <row r="808" ht="18.75" customHeight="1">
      <c r="A808" s="87"/>
      <c r="H808" s="146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</row>
    <row r="809" ht="18.75" customHeight="1">
      <c r="A809" s="87"/>
      <c r="H809" s="146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</row>
    <row r="810" ht="18.75" customHeight="1">
      <c r="A810" s="87"/>
      <c r="H810" s="146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</row>
    <row r="811" ht="18.75" customHeight="1">
      <c r="A811" s="87"/>
      <c r="H811" s="146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</row>
    <row r="812" ht="18.75" customHeight="1">
      <c r="A812" s="87"/>
      <c r="H812" s="146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</row>
    <row r="813" ht="18.75" customHeight="1">
      <c r="A813" s="87"/>
      <c r="H813" s="146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</row>
    <row r="814" ht="18.75" customHeight="1">
      <c r="A814" s="87"/>
      <c r="H814" s="146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</row>
    <row r="815" ht="18.75" customHeight="1">
      <c r="A815" s="87"/>
      <c r="H815" s="146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</row>
    <row r="816" ht="18.75" customHeight="1">
      <c r="A816" s="87"/>
      <c r="H816" s="146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</row>
    <row r="817" ht="18.75" customHeight="1">
      <c r="A817" s="87"/>
      <c r="H817" s="146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</row>
    <row r="818" ht="18.75" customHeight="1">
      <c r="A818" s="87"/>
      <c r="H818" s="146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</row>
    <row r="819" ht="18.75" customHeight="1">
      <c r="A819" s="87"/>
      <c r="H819" s="146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</row>
    <row r="820" ht="18.75" customHeight="1">
      <c r="A820" s="87"/>
      <c r="H820" s="146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</row>
    <row r="821" ht="18.75" customHeight="1">
      <c r="A821" s="87"/>
      <c r="H821" s="146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</row>
    <row r="822" ht="18.75" customHeight="1">
      <c r="A822" s="87"/>
      <c r="H822" s="146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</row>
    <row r="823" ht="18.75" customHeight="1">
      <c r="A823" s="87"/>
      <c r="H823" s="146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</row>
    <row r="824" ht="18.75" customHeight="1">
      <c r="A824" s="87"/>
      <c r="H824" s="146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</row>
    <row r="825" ht="18.75" customHeight="1">
      <c r="A825" s="87"/>
      <c r="H825" s="146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</row>
    <row r="826" ht="18.75" customHeight="1">
      <c r="A826" s="87"/>
      <c r="H826" s="146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</row>
    <row r="827" ht="18.75" customHeight="1">
      <c r="A827" s="87"/>
      <c r="H827" s="146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</row>
    <row r="828" ht="18.75" customHeight="1">
      <c r="A828" s="87"/>
      <c r="H828" s="146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</row>
    <row r="829" ht="18.75" customHeight="1">
      <c r="A829" s="87"/>
      <c r="H829" s="146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</row>
    <row r="830" ht="18.75" customHeight="1">
      <c r="A830" s="87"/>
      <c r="H830" s="146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</row>
    <row r="831" ht="18.75" customHeight="1">
      <c r="A831" s="87"/>
      <c r="H831" s="146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</row>
    <row r="832" ht="18.75" customHeight="1">
      <c r="A832" s="87"/>
      <c r="H832" s="146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</row>
    <row r="833" ht="18.75" customHeight="1">
      <c r="A833" s="87"/>
      <c r="H833" s="146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</row>
    <row r="834" ht="18.75" customHeight="1">
      <c r="A834" s="87"/>
      <c r="H834" s="146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</row>
    <row r="835" ht="18.75" customHeight="1">
      <c r="A835" s="87"/>
      <c r="H835" s="146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</row>
    <row r="836" ht="18.75" customHeight="1">
      <c r="A836" s="87"/>
      <c r="H836" s="146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</row>
    <row r="837" ht="18.75" customHeight="1">
      <c r="A837" s="87"/>
      <c r="H837" s="146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</row>
    <row r="838" ht="18.75" customHeight="1">
      <c r="A838" s="87"/>
      <c r="H838" s="146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</row>
    <row r="839" ht="18.75" customHeight="1">
      <c r="A839" s="87"/>
      <c r="H839" s="146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</row>
    <row r="840" ht="18.75" customHeight="1">
      <c r="A840" s="87"/>
      <c r="H840" s="146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</row>
    <row r="841" ht="18.75" customHeight="1">
      <c r="A841" s="87"/>
      <c r="H841" s="146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</row>
    <row r="842" ht="18.75" customHeight="1">
      <c r="A842" s="87"/>
      <c r="H842" s="146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</row>
    <row r="843" ht="18.75" customHeight="1">
      <c r="A843" s="87"/>
      <c r="H843" s="146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</row>
    <row r="844" ht="18.75" customHeight="1">
      <c r="A844" s="87"/>
      <c r="H844" s="146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</row>
    <row r="845" ht="18.75" customHeight="1">
      <c r="A845" s="87"/>
      <c r="H845" s="146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</row>
    <row r="846" ht="18.75" customHeight="1">
      <c r="A846" s="87"/>
      <c r="H846" s="146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</row>
    <row r="847" ht="18.75" customHeight="1">
      <c r="A847" s="87"/>
      <c r="H847" s="146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</row>
    <row r="848" ht="18.75" customHeight="1">
      <c r="A848" s="87"/>
      <c r="H848" s="146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</row>
    <row r="849" ht="18.75" customHeight="1">
      <c r="A849" s="87"/>
      <c r="H849" s="146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</row>
    <row r="850" ht="18.75" customHeight="1">
      <c r="A850" s="87"/>
      <c r="H850" s="146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</row>
    <row r="851" ht="18.75" customHeight="1">
      <c r="A851" s="87"/>
      <c r="H851" s="146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</row>
    <row r="852" ht="18.75" customHeight="1">
      <c r="A852" s="87"/>
      <c r="H852" s="146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</row>
    <row r="853" ht="18.75" customHeight="1">
      <c r="A853" s="87"/>
      <c r="H853" s="146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</row>
    <row r="854" ht="18.75" customHeight="1">
      <c r="A854" s="87"/>
      <c r="H854" s="146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</row>
    <row r="855" ht="18.75" customHeight="1">
      <c r="A855" s="87"/>
      <c r="H855" s="146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</row>
    <row r="856" ht="18.75" customHeight="1">
      <c r="A856" s="87"/>
      <c r="H856" s="146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</row>
    <row r="857" ht="18.75" customHeight="1">
      <c r="A857" s="87"/>
      <c r="H857" s="146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</row>
    <row r="858" ht="18.75" customHeight="1">
      <c r="A858" s="87"/>
      <c r="H858" s="146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</row>
    <row r="859" ht="18.75" customHeight="1">
      <c r="A859" s="87"/>
      <c r="H859" s="146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</row>
    <row r="860" ht="18.75" customHeight="1">
      <c r="A860" s="87"/>
      <c r="H860" s="146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</row>
    <row r="861" ht="18.75" customHeight="1">
      <c r="A861" s="87"/>
      <c r="H861" s="146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</row>
    <row r="862" ht="18.75" customHeight="1">
      <c r="A862" s="87"/>
      <c r="H862" s="146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</row>
    <row r="863" ht="18.75" customHeight="1">
      <c r="A863" s="87"/>
      <c r="H863" s="146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</row>
    <row r="864" ht="18.75" customHeight="1">
      <c r="A864" s="87"/>
      <c r="H864" s="146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</row>
    <row r="865" ht="18.75" customHeight="1">
      <c r="A865" s="87"/>
      <c r="H865" s="146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</row>
    <row r="866" ht="18.75" customHeight="1">
      <c r="A866" s="87"/>
      <c r="H866" s="146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</row>
    <row r="867" ht="18.75" customHeight="1">
      <c r="A867" s="87"/>
      <c r="H867" s="146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</row>
    <row r="868" ht="18.75" customHeight="1">
      <c r="A868" s="87"/>
      <c r="H868" s="146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</row>
    <row r="869" ht="18.75" customHeight="1">
      <c r="A869" s="87"/>
      <c r="H869" s="146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</row>
    <row r="870" ht="18.75" customHeight="1">
      <c r="A870" s="87"/>
      <c r="H870" s="146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</row>
    <row r="871" ht="18.75" customHeight="1">
      <c r="A871" s="87"/>
      <c r="H871" s="146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</row>
    <row r="872" ht="18.75" customHeight="1">
      <c r="A872" s="87"/>
      <c r="H872" s="146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</row>
    <row r="873" ht="18.75" customHeight="1">
      <c r="A873" s="87"/>
      <c r="H873" s="146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</row>
    <row r="874" ht="18.75" customHeight="1">
      <c r="A874" s="87"/>
      <c r="H874" s="146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</row>
    <row r="875" ht="18.75" customHeight="1">
      <c r="A875" s="87"/>
      <c r="H875" s="146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</row>
    <row r="876" ht="18.75" customHeight="1">
      <c r="A876" s="87"/>
      <c r="H876" s="146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</row>
    <row r="877" ht="18.75" customHeight="1">
      <c r="A877" s="87"/>
      <c r="H877" s="146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</row>
    <row r="878" ht="18.75" customHeight="1">
      <c r="A878" s="87"/>
      <c r="H878" s="146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</row>
    <row r="879" ht="18.75" customHeight="1">
      <c r="A879" s="87"/>
      <c r="H879" s="146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</row>
    <row r="880" ht="18.75" customHeight="1">
      <c r="A880" s="87"/>
      <c r="H880" s="146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</row>
    <row r="881" ht="18.75" customHeight="1">
      <c r="A881" s="87"/>
      <c r="H881" s="146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</row>
    <row r="882" ht="18.75" customHeight="1">
      <c r="A882" s="87"/>
      <c r="H882" s="146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</row>
    <row r="883" ht="18.75" customHeight="1">
      <c r="A883" s="87"/>
      <c r="H883" s="146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</row>
    <row r="884" ht="18.75" customHeight="1">
      <c r="A884" s="87"/>
      <c r="H884" s="146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</row>
    <row r="885" ht="18.75" customHeight="1">
      <c r="A885" s="87"/>
      <c r="H885" s="146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</row>
    <row r="886" ht="18.75" customHeight="1">
      <c r="A886" s="87"/>
      <c r="H886" s="146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</row>
    <row r="887" ht="18.75" customHeight="1">
      <c r="A887" s="87"/>
      <c r="H887" s="146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</row>
    <row r="888" ht="18.75" customHeight="1">
      <c r="A888" s="87"/>
      <c r="H888" s="146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</row>
    <row r="889" ht="18.75" customHeight="1">
      <c r="A889" s="87"/>
      <c r="H889" s="146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</row>
    <row r="890" ht="18.75" customHeight="1">
      <c r="A890" s="87"/>
      <c r="H890" s="146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</row>
    <row r="891" ht="18.75" customHeight="1">
      <c r="A891" s="87"/>
      <c r="H891" s="146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</row>
    <row r="892" ht="18.75" customHeight="1">
      <c r="A892" s="87"/>
      <c r="H892" s="146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</row>
    <row r="893" ht="18.75" customHeight="1">
      <c r="A893" s="87"/>
      <c r="H893" s="146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</row>
    <row r="894" ht="18.75" customHeight="1">
      <c r="A894" s="87"/>
      <c r="H894" s="146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</row>
    <row r="895" ht="18.75" customHeight="1">
      <c r="A895" s="87"/>
      <c r="H895" s="146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</row>
    <row r="896" ht="18.75" customHeight="1">
      <c r="A896" s="87"/>
      <c r="H896" s="146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</row>
    <row r="897" ht="18.75" customHeight="1">
      <c r="A897" s="87"/>
      <c r="H897" s="146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</row>
    <row r="898" ht="18.75" customHeight="1">
      <c r="A898" s="87"/>
      <c r="H898" s="146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</row>
    <row r="899" ht="18.75" customHeight="1">
      <c r="A899" s="87"/>
      <c r="H899" s="146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</row>
    <row r="900" ht="18.75" customHeight="1">
      <c r="A900" s="87"/>
      <c r="H900" s="146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</row>
    <row r="901" ht="18.75" customHeight="1">
      <c r="A901" s="87"/>
      <c r="H901" s="146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</row>
    <row r="902" ht="18.75" customHeight="1">
      <c r="A902" s="87"/>
      <c r="H902" s="146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</row>
    <row r="903" ht="18.75" customHeight="1">
      <c r="A903" s="87"/>
      <c r="H903" s="146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</row>
  </sheetData>
  <mergeCells count="7">
    <mergeCell ref="A1:B1"/>
    <mergeCell ref="A2:A3"/>
    <mergeCell ref="B2:B3"/>
    <mergeCell ref="C2:D2"/>
    <mergeCell ref="E2:E3"/>
    <mergeCell ref="F2:F3"/>
    <mergeCell ref="G2:G3"/>
  </mergeCells>
  <dataValidations>
    <dataValidation type="list" allowBlank="1" showErrorMessage="1" sqref="F1 F4:F706">
      <formula1>"GPT - 10/10,GPT - 24/10,Đất Lâm Đồng Tháng 10,PKH - T09,Chị Hường 20/10,vn 10,vn 6,vn 7,Charm Long Hải - GPT - T10,Đất Phương Nam - 12/10"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4" width="14.0"/>
    <col customWidth="1" min="5" max="5" width="10.0"/>
    <col customWidth="1" min="6" max="6" width="30.0"/>
    <col customWidth="1" min="7" max="7" width="21.0"/>
    <col customWidth="1" min="8" max="8" width="3.71"/>
    <col customWidth="1" min="9" max="9" width="28.14"/>
    <col customWidth="1" min="10" max="11" width="14.0"/>
    <col customWidth="1" min="12" max="12" width="3.71"/>
    <col customWidth="1" min="13" max="13" width="27.0"/>
    <col customWidth="1" min="14" max="25" width="14.0"/>
  </cols>
  <sheetData>
    <row r="1" ht="21.75" customHeight="1">
      <c r="A1" s="79" t="s">
        <v>56</v>
      </c>
      <c r="B1" s="80"/>
      <c r="C1" s="81"/>
      <c r="D1" s="82"/>
      <c r="E1" s="83" t="s">
        <v>49</v>
      </c>
      <c r="F1" s="84"/>
      <c r="G1" s="82"/>
      <c r="H1" s="145"/>
      <c r="I1" s="85"/>
      <c r="J1" s="86"/>
      <c r="K1" s="85"/>
      <c r="L1" s="85"/>
      <c r="M1" s="85"/>
      <c r="N1" s="85"/>
      <c r="O1" s="85"/>
      <c r="P1" s="85"/>
      <c r="Q1" s="85"/>
      <c r="R1" s="85"/>
      <c r="S1" s="85"/>
      <c r="T1" s="85"/>
      <c r="U1" s="87"/>
      <c r="V1" s="87"/>
      <c r="W1" s="87"/>
      <c r="X1" s="87"/>
      <c r="Y1" s="87"/>
    </row>
    <row r="2" ht="18.75" customHeight="1">
      <c r="A2" s="88" t="s">
        <v>0</v>
      </c>
      <c r="B2" s="89" t="s">
        <v>57</v>
      </c>
      <c r="C2" s="90" t="s">
        <v>2</v>
      </c>
      <c r="D2" s="4"/>
      <c r="E2" s="91" t="s">
        <v>3</v>
      </c>
      <c r="F2" s="92" t="s">
        <v>4</v>
      </c>
      <c r="G2" s="93" t="s">
        <v>5</v>
      </c>
      <c r="H2" s="145"/>
      <c r="I2" s="87"/>
      <c r="J2" s="86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 ht="18.75" customHeight="1">
      <c r="A3" s="6"/>
      <c r="B3" s="7"/>
      <c r="C3" s="94" t="s">
        <v>6</v>
      </c>
      <c r="D3" s="95" t="s">
        <v>7</v>
      </c>
      <c r="E3" s="96"/>
      <c r="F3" s="96"/>
      <c r="G3" s="80"/>
      <c r="H3" s="146"/>
      <c r="I3" s="97" t="s">
        <v>58</v>
      </c>
      <c r="J3" s="97" t="s">
        <v>8</v>
      </c>
      <c r="K3" s="97" t="s">
        <v>9</v>
      </c>
      <c r="L3" s="87"/>
      <c r="M3" s="98" t="s">
        <v>9</v>
      </c>
      <c r="N3" s="99" t="s">
        <v>2</v>
      </c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 ht="18.75" customHeight="1">
      <c r="A4" s="13">
        <v>1.0</v>
      </c>
      <c r="B4" s="130">
        <v>46009.0</v>
      </c>
      <c r="C4" s="116"/>
      <c r="D4" s="134">
        <v>7053412.0</v>
      </c>
      <c r="E4" s="102"/>
      <c r="F4" s="102"/>
      <c r="G4" s="102"/>
      <c r="H4" s="147">
        <v>1.0</v>
      </c>
      <c r="I4" s="104" t="s">
        <v>11</v>
      </c>
      <c r="J4" s="105">
        <f>SUMIF($E$4:$E$124,1,$C$4:$C$2194)</f>
        <v>0</v>
      </c>
      <c r="K4" s="105">
        <f>SUMIF($E$4:$E$124,1,$D$4:$D$2200)</f>
        <v>0</v>
      </c>
      <c r="L4" s="87"/>
      <c r="M4" s="104" t="s">
        <v>17</v>
      </c>
      <c r="N4" s="105">
        <f t="shared" ref="N4:N13" si="1">SUMIF($F$4:$F$124,M4,$D$4:$D$2200)</f>
        <v>0</v>
      </c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</row>
    <row r="5" ht="18.75" customHeight="1">
      <c r="A5" s="13">
        <v>2.0</v>
      </c>
      <c r="B5" s="130">
        <v>46009.0</v>
      </c>
      <c r="C5" s="116"/>
      <c r="D5" s="134">
        <v>1812162.0</v>
      </c>
      <c r="E5" s="102"/>
      <c r="F5" s="102"/>
      <c r="G5" s="102"/>
      <c r="H5" s="147">
        <v>2.0</v>
      </c>
      <c r="I5" s="104" t="s">
        <v>12</v>
      </c>
      <c r="J5" s="105">
        <f>SUMIF($E$4:$E$124,2,$C$4:$C$2194)</f>
        <v>0</v>
      </c>
      <c r="K5" s="105">
        <f>SUMIF($E$4:$E$124,2,$D$4:$D$2200)</f>
        <v>0</v>
      </c>
      <c r="L5" s="87"/>
      <c r="M5" s="104" t="s">
        <v>18</v>
      </c>
      <c r="N5" s="105">
        <f t="shared" si="1"/>
        <v>0</v>
      </c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</row>
    <row r="6" ht="18.75" customHeight="1">
      <c r="A6" s="13">
        <v>3.0</v>
      </c>
      <c r="B6" s="130">
        <v>46009.0</v>
      </c>
      <c r="C6" s="116"/>
      <c r="D6" s="134">
        <v>5337174.0</v>
      </c>
      <c r="E6" s="102"/>
      <c r="F6" s="102"/>
      <c r="G6" s="102"/>
      <c r="H6" s="147">
        <v>3.0</v>
      </c>
      <c r="I6" s="104" t="s">
        <v>14</v>
      </c>
      <c r="J6" s="105">
        <f>SUMIF($E$4:$E$124,3,$C$4:$C$2194)</f>
        <v>0</v>
      </c>
      <c r="K6" s="105">
        <f>SUMIF($E$4:$E$124,3,$D$4:$D$2200)</f>
        <v>0</v>
      </c>
      <c r="L6" s="87"/>
      <c r="M6" s="104" t="s">
        <v>60</v>
      </c>
      <c r="N6" s="105">
        <f t="shared" si="1"/>
        <v>0</v>
      </c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</row>
    <row r="7" ht="18.75" customHeight="1">
      <c r="A7" s="13">
        <v>4.0</v>
      </c>
      <c r="B7" s="130">
        <v>46009.0</v>
      </c>
      <c r="C7" s="116"/>
      <c r="D7" s="134">
        <v>2277912.0</v>
      </c>
      <c r="E7" s="102"/>
      <c r="F7" s="102"/>
      <c r="G7" s="102"/>
      <c r="H7" s="147">
        <v>4.0</v>
      </c>
      <c r="I7" s="104" t="s">
        <v>15</v>
      </c>
      <c r="J7" s="105">
        <f>SUMIF($E$4:$E$124,4,$C$4:$C$2194)</f>
        <v>0</v>
      </c>
      <c r="K7" s="105">
        <f>SUMIF($E$4:$E$124,4,$D$4:$D$2200)</f>
        <v>0</v>
      </c>
      <c r="L7" s="87"/>
      <c r="M7" s="104" t="s">
        <v>20</v>
      </c>
      <c r="N7" s="105">
        <f t="shared" si="1"/>
        <v>0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</row>
    <row r="8" ht="18.75" customHeight="1">
      <c r="A8" s="13">
        <v>5.0</v>
      </c>
      <c r="B8" s="130">
        <v>46010.0</v>
      </c>
      <c r="C8" s="116"/>
      <c r="D8" s="134">
        <v>1978229.0</v>
      </c>
      <c r="E8" s="102"/>
      <c r="F8" s="102"/>
      <c r="G8" s="102"/>
      <c r="H8" s="146"/>
      <c r="I8" s="87"/>
      <c r="J8" s="86"/>
      <c r="K8" s="87"/>
      <c r="L8" s="87"/>
      <c r="M8" s="104" t="s">
        <v>62</v>
      </c>
      <c r="N8" s="105">
        <f t="shared" si="1"/>
        <v>0</v>
      </c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</row>
    <row r="9" ht="18.75" customHeight="1">
      <c r="A9" s="13">
        <v>6.0</v>
      </c>
      <c r="B9" s="130">
        <v>46010.0</v>
      </c>
      <c r="C9" s="151">
        <v>1.5E7</v>
      </c>
      <c r="D9" s="134"/>
      <c r="E9" s="102"/>
      <c r="F9" s="102"/>
      <c r="G9" s="102"/>
      <c r="H9" s="146"/>
      <c r="I9" s="103" t="s">
        <v>77</v>
      </c>
      <c r="J9" s="87"/>
      <c r="K9" s="87"/>
      <c r="L9" s="87"/>
      <c r="M9" s="104" t="s">
        <v>64</v>
      </c>
      <c r="N9" s="105">
        <f t="shared" si="1"/>
        <v>0</v>
      </c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</row>
    <row r="10" ht="18.75" customHeight="1">
      <c r="A10" s="68">
        <v>7.0</v>
      </c>
      <c r="B10" s="130">
        <v>46010.0</v>
      </c>
      <c r="C10" s="116"/>
      <c r="D10" s="134">
        <v>7502411.0</v>
      </c>
      <c r="E10" s="102"/>
      <c r="F10" s="102"/>
      <c r="G10" s="102"/>
      <c r="H10" s="146"/>
      <c r="I10" s="103">
        <v>5051330.0</v>
      </c>
      <c r="J10" s="148">
        <v>1.0</v>
      </c>
      <c r="K10" s="87"/>
      <c r="L10" s="85"/>
      <c r="M10" s="104" t="s">
        <v>65</v>
      </c>
      <c r="N10" s="105">
        <f t="shared" si="1"/>
        <v>0</v>
      </c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 ht="18.75" customHeight="1">
      <c r="A11" s="69">
        <v>8.0</v>
      </c>
      <c r="B11" s="130">
        <v>46010.0</v>
      </c>
      <c r="C11" s="116"/>
      <c r="D11" s="134">
        <v>2381751.0</v>
      </c>
      <c r="E11" s="102"/>
      <c r="F11" s="102"/>
      <c r="G11" s="102"/>
      <c r="H11" s="146"/>
      <c r="I11" s="103">
        <v>55565.0</v>
      </c>
      <c r="J11" s="149">
        <f>I11*J10/I10</f>
        <v>0.01100007325</v>
      </c>
      <c r="K11" s="87"/>
      <c r="L11" s="85"/>
      <c r="M11" s="104" t="s">
        <v>63</v>
      </c>
      <c r="N11" s="105">
        <f t="shared" si="1"/>
        <v>0</v>
      </c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</row>
    <row r="12" ht="18.75" customHeight="1">
      <c r="A12" s="69">
        <v>9.0</v>
      </c>
      <c r="B12" s="130">
        <v>46011.0</v>
      </c>
      <c r="C12" s="116"/>
      <c r="D12" s="134">
        <v>4243698.0</v>
      </c>
      <c r="E12" s="102"/>
      <c r="F12" s="102"/>
      <c r="G12" s="102"/>
      <c r="H12" s="146"/>
      <c r="I12" s="103">
        <v>5891578.0</v>
      </c>
      <c r="J12" s="148">
        <v>1.0</v>
      </c>
      <c r="K12" s="87"/>
      <c r="L12" s="85"/>
      <c r="M12" s="104" t="s">
        <v>66</v>
      </c>
      <c r="N12" s="105">
        <f t="shared" si="1"/>
        <v>0</v>
      </c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</row>
    <row r="13" ht="18.75" customHeight="1">
      <c r="A13" s="13">
        <v>10.0</v>
      </c>
      <c r="B13" s="130">
        <v>46011.0</v>
      </c>
      <c r="C13" s="116"/>
      <c r="D13" s="134">
        <v>2155926.0</v>
      </c>
      <c r="E13" s="102"/>
      <c r="F13" s="102"/>
      <c r="G13" s="102"/>
      <c r="H13" s="146"/>
      <c r="I13" s="103">
        <v>64807.0</v>
      </c>
      <c r="J13" s="150">
        <f>I13*J12/I12</f>
        <v>0.01099993924</v>
      </c>
      <c r="K13" s="87"/>
      <c r="L13" s="85"/>
      <c r="M13" s="104" t="s">
        <v>67</v>
      </c>
      <c r="N13" s="105">
        <f t="shared" si="1"/>
        <v>0</v>
      </c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</row>
    <row r="14" ht="18.75" customHeight="1">
      <c r="A14" s="13">
        <v>11.0</v>
      </c>
      <c r="B14" s="130">
        <v>46012.0</v>
      </c>
      <c r="C14" s="116"/>
      <c r="D14" s="134">
        <v>205627.0</v>
      </c>
      <c r="E14" s="102"/>
      <c r="F14" s="102"/>
      <c r="G14" s="102"/>
      <c r="H14" s="146"/>
      <c r="I14" s="83" t="s">
        <v>68</v>
      </c>
      <c r="J14" s="87"/>
      <c r="K14" s="87"/>
      <c r="L14" s="85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</row>
    <row r="15" ht="18.75" customHeight="1">
      <c r="A15" s="13">
        <v>12.0</v>
      </c>
      <c r="B15" s="130">
        <v>46013.0</v>
      </c>
      <c r="C15" s="151">
        <v>7900000.0</v>
      </c>
      <c r="D15" s="134"/>
      <c r="E15" s="102"/>
      <c r="F15" s="102"/>
      <c r="G15" s="102"/>
      <c r="H15" s="146"/>
      <c r="I15" s="117" t="s">
        <v>9</v>
      </c>
      <c r="J15" s="118" t="s">
        <v>2</v>
      </c>
      <c r="K15" s="118" t="s">
        <v>1</v>
      </c>
      <c r="L15" s="85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</row>
    <row r="16" ht="18.75" customHeight="1">
      <c r="A16" s="13">
        <v>13.0</v>
      </c>
      <c r="B16" s="130">
        <v>46013.0</v>
      </c>
      <c r="C16" s="116"/>
      <c r="D16" s="134">
        <v>1439398.0</v>
      </c>
      <c r="E16" s="102"/>
      <c r="F16" s="102"/>
      <c r="G16" s="102"/>
      <c r="H16" s="140"/>
      <c r="I16" s="104"/>
      <c r="J16" s="105"/>
      <c r="K16" s="104"/>
      <c r="L16" s="85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</row>
    <row r="17" ht="18.75" customHeight="1">
      <c r="A17" s="13">
        <v>14.0</v>
      </c>
      <c r="B17" s="130">
        <v>46013.0</v>
      </c>
      <c r="C17" s="116"/>
      <c r="D17" s="134">
        <v>3848041.0</v>
      </c>
      <c r="E17" s="102"/>
      <c r="F17" s="102"/>
      <c r="G17" s="102"/>
      <c r="H17" s="140"/>
      <c r="I17" s="104"/>
      <c r="J17" s="105"/>
      <c r="K17" s="119"/>
      <c r="L17" s="85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</row>
    <row r="18" ht="18.75" customHeight="1">
      <c r="A18" s="13">
        <v>15.0</v>
      </c>
      <c r="B18" s="130">
        <v>46013.0</v>
      </c>
      <c r="C18" s="116"/>
      <c r="D18" s="134">
        <v>1587249.0</v>
      </c>
      <c r="E18" s="102"/>
      <c r="F18" s="102"/>
      <c r="G18" s="102"/>
      <c r="H18" s="140"/>
      <c r="I18" s="104"/>
      <c r="J18" s="105"/>
      <c r="K18" s="104"/>
      <c r="L18" s="85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</row>
    <row r="19" ht="18.75" customHeight="1">
      <c r="A19" s="13">
        <v>16.0</v>
      </c>
      <c r="B19" s="130">
        <v>46013.0</v>
      </c>
      <c r="C19" s="116"/>
      <c r="D19" s="134">
        <v>335587.0</v>
      </c>
      <c r="E19" s="102"/>
      <c r="F19" s="102"/>
      <c r="G19" s="102"/>
      <c r="H19" s="140"/>
      <c r="I19" s="104"/>
      <c r="J19" s="105"/>
      <c r="K19" s="119"/>
      <c r="L19" s="85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</row>
    <row r="20" ht="18.75" customHeight="1">
      <c r="A20" s="13">
        <v>17.0</v>
      </c>
      <c r="B20" s="130">
        <v>46014.0</v>
      </c>
      <c r="C20" s="151">
        <v>2000000.0</v>
      </c>
      <c r="D20" s="134"/>
      <c r="E20" s="102"/>
      <c r="F20" s="102"/>
      <c r="G20" s="102"/>
      <c r="H20" s="140"/>
      <c r="I20" s="104"/>
      <c r="J20" s="105"/>
      <c r="K20" s="119"/>
      <c r="L20" s="85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ht="18.75" customHeight="1">
      <c r="A21" s="13">
        <v>18.0</v>
      </c>
      <c r="B21" s="130">
        <v>46014.0</v>
      </c>
      <c r="C21" s="151">
        <v>1.5E7</v>
      </c>
      <c r="D21" s="134"/>
      <c r="E21" s="102"/>
      <c r="F21" s="102"/>
      <c r="G21" s="102"/>
      <c r="H21" s="140"/>
      <c r="I21" s="104"/>
      <c r="J21" s="105"/>
      <c r="K21" s="119"/>
      <c r="L21" s="85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 ht="18.75" customHeight="1">
      <c r="A22" s="13">
        <v>19.0</v>
      </c>
      <c r="B22" s="130">
        <v>46014.0</v>
      </c>
      <c r="C22" s="116"/>
      <c r="D22" s="134">
        <v>2153694.0</v>
      </c>
      <c r="E22" s="102"/>
      <c r="F22" s="102"/>
      <c r="G22" s="102"/>
      <c r="H22" s="140"/>
      <c r="I22" s="104"/>
      <c r="J22" s="105"/>
      <c r="K22" s="119"/>
      <c r="L22" s="85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</row>
    <row r="23" ht="18.75" customHeight="1">
      <c r="A23" s="13">
        <v>20.0</v>
      </c>
      <c r="B23" s="130">
        <v>46014.0</v>
      </c>
      <c r="C23" s="116"/>
      <c r="D23" s="134">
        <v>1.1178411E7</v>
      </c>
      <c r="E23" s="102"/>
      <c r="F23" s="102"/>
      <c r="G23" s="102"/>
      <c r="H23" s="140"/>
      <c r="I23" s="104"/>
      <c r="J23" s="105"/>
      <c r="K23" s="119"/>
      <c r="L23" s="85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</row>
    <row r="24" ht="18.75" customHeight="1">
      <c r="A24" s="13">
        <v>21.0</v>
      </c>
      <c r="B24" s="130">
        <v>46014.0</v>
      </c>
      <c r="C24" s="116"/>
      <c r="D24" s="134">
        <v>1482866.0</v>
      </c>
      <c r="E24" s="102"/>
      <c r="F24" s="102"/>
      <c r="G24" s="102"/>
      <c r="H24" s="140"/>
      <c r="I24" s="104"/>
      <c r="J24" s="105"/>
      <c r="K24" s="119"/>
      <c r="L24" s="85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</row>
    <row r="25" ht="18.75" customHeight="1">
      <c r="A25" s="13">
        <v>22.0</v>
      </c>
      <c r="B25" s="130">
        <v>46015.0</v>
      </c>
      <c r="C25" s="116"/>
      <c r="D25" s="134">
        <v>2340371.0</v>
      </c>
      <c r="E25" s="102"/>
      <c r="F25" s="102"/>
      <c r="G25" s="102"/>
      <c r="H25" s="140"/>
      <c r="I25" s="104"/>
      <c r="J25" s="105"/>
      <c r="K25" s="119"/>
      <c r="L25" s="85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</row>
    <row r="26" ht="18.75" customHeight="1">
      <c r="A26" s="13">
        <v>23.0</v>
      </c>
      <c r="B26" s="130">
        <v>46015.0</v>
      </c>
      <c r="C26" s="151">
        <v>8000000.0</v>
      </c>
      <c r="D26" s="134"/>
      <c r="E26" s="102"/>
      <c r="F26" s="102"/>
      <c r="G26" s="102"/>
      <c r="H26" s="140"/>
      <c r="I26" s="104"/>
      <c r="J26" s="105"/>
      <c r="K26" s="119"/>
      <c r="L26" s="85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</row>
    <row r="27" ht="18.75" customHeight="1">
      <c r="A27" s="13">
        <v>24.0</v>
      </c>
      <c r="B27" s="130">
        <v>46015.0</v>
      </c>
      <c r="C27" s="116"/>
      <c r="D27" s="134">
        <v>1676893.0</v>
      </c>
      <c r="E27" s="102"/>
      <c r="F27" s="102"/>
      <c r="G27" s="102"/>
      <c r="H27" s="140"/>
      <c r="I27" s="104"/>
      <c r="J27" s="105"/>
      <c r="K27" s="119"/>
      <c r="L27" s="85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</row>
    <row r="28" ht="18.75" customHeight="1">
      <c r="A28" s="13">
        <v>25.0</v>
      </c>
      <c r="B28" s="130">
        <v>46016.0</v>
      </c>
      <c r="C28" s="151">
        <v>5000000.0</v>
      </c>
      <c r="D28" s="134"/>
      <c r="E28" s="102"/>
      <c r="F28" s="102"/>
      <c r="G28" s="102"/>
      <c r="H28" s="140"/>
      <c r="I28" s="104"/>
      <c r="J28" s="105"/>
      <c r="K28" s="119"/>
      <c r="L28" s="85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</row>
    <row r="29" ht="18.75" customHeight="1">
      <c r="A29" s="13">
        <v>26.0</v>
      </c>
      <c r="B29" s="130">
        <v>46016.0</v>
      </c>
      <c r="C29" s="116"/>
      <c r="D29" s="134">
        <v>7967355.0</v>
      </c>
      <c r="E29" s="102"/>
      <c r="F29" s="102"/>
      <c r="G29" s="102"/>
      <c r="H29" s="140"/>
      <c r="I29" s="104"/>
      <c r="J29" s="105"/>
      <c r="K29" s="119"/>
      <c r="L29" s="85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</row>
    <row r="30" ht="18.75" customHeight="1">
      <c r="A30" s="13">
        <v>27.0</v>
      </c>
      <c r="B30" s="130">
        <v>46016.0</v>
      </c>
      <c r="C30" s="116"/>
      <c r="D30" s="134">
        <v>2535504.0</v>
      </c>
      <c r="E30" s="102"/>
      <c r="F30" s="102"/>
      <c r="G30" s="102"/>
      <c r="H30" s="140"/>
      <c r="I30" s="104"/>
      <c r="J30" s="105"/>
      <c r="K30" s="104"/>
      <c r="L30" s="85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</row>
    <row r="31" ht="18.75" customHeight="1">
      <c r="A31" s="13">
        <v>28.0</v>
      </c>
      <c r="B31" s="130">
        <v>46016.0</v>
      </c>
      <c r="C31" s="116"/>
      <c r="D31" s="134">
        <v>64733.0</v>
      </c>
      <c r="E31" s="102"/>
      <c r="F31" s="102"/>
      <c r="G31" s="102"/>
      <c r="H31" s="140"/>
      <c r="I31" s="104"/>
      <c r="J31" s="105"/>
      <c r="K31" s="104"/>
      <c r="L31" s="85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</row>
    <row r="32" ht="18.75" customHeight="1">
      <c r="A32" s="13">
        <v>29.0</v>
      </c>
      <c r="B32" s="130">
        <v>46017.0</v>
      </c>
      <c r="C32" s="116"/>
      <c r="D32" s="134">
        <v>383481.0</v>
      </c>
      <c r="E32" s="102"/>
      <c r="F32" s="102"/>
      <c r="G32" s="102"/>
      <c r="H32" s="140"/>
      <c r="I32" s="104"/>
      <c r="J32" s="105"/>
      <c r="K32" s="104"/>
      <c r="L32" s="85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</row>
    <row r="33" ht="18.75" customHeight="1">
      <c r="A33" s="13">
        <v>30.0</v>
      </c>
      <c r="B33" s="130">
        <v>46017.0</v>
      </c>
      <c r="C33" s="116"/>
      <c r="D33" s="134">
        <v>443725.0</v>
      </c>
      <c r="E33" s="102"/>
      <c r="F33" s="102"/>
      <c r="G33" s="102"/>
      <c r="H33" s="140"/>
      <c r="I33" s="104"/>
      <c r="J33" s="105"/>
      <c r="K33" s="119"/>
      <c r="L33" s="85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</row>
    <row r="34" ht="18.75" customHeight="1">
      <c r="A34" s="13">
        <v>31.0</v>
      </c>
      <c r="B34" s="130">
        <v>46017.0</v>
      </c>
      <c r="C34" s="151">
        <v>1.0E7</v>
      </c>
      <c r="D34" s="134"/>
      <c r="E34" s="102"/>
      <c r="F34" s="102"/>
      <c r="G34" s="102"/>
      <c r="H34" s="140"/>
      <c r="I34" s="104"/>
      <c r="J34" s="105"/>
      <c r="K34" s="104"/>
      <c r="L34" s="85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</row>
    <row r="35" ht="18.75" customHeight="1">
      <c r="A35" s="13">
        <v>32.0</v>
      </c>
      <c r="B35" s="130">
        <v>46017.0</v>
      </c>
      <c r="C35" s="116"/>
      <c r="D35" s="134">
        <v>3430396.0</v>
      </c>
      <c r="E35" s="102"/>
      <c r="F35" s="102"/>
      <c r="G35" s="102"/>
      <c r="H35" s="146"/>
      <c r="I35" s="126" t="s">
        <v>72</v>
      </c>
      <c r="J35" s="127">
        <f>SUM(J16:J34)</f>
        <v>0</v>
      </c>
      <c r="K35" s="126"/>
      <c r="L35" s="126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</row>
    <row r="36" ht="18.75" customHeight="1">
      <c r="A36" s="13">
        <v>33.0</v>
      </c>
      <c r="B36" s="130">
        <v>46017.0</v>
      </c>
      <c r="C36" s="116"/>
      <c r="D36" s="134">
        <v>3106073.0</v>
      </c>
      <c r="E36" s="102"/>
      <c r="F36" s="102"/>
      <c r="G36" s="102"/>
      <c r="H36" s="146"/>
      <c r="I36" s="126"/>
      <c r="J36" s="127"/>
      <c r="K36" s="126"/>
      <c r="L36" s="126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</row>
    <row r="37" ht="18.75" customHeight="1">
      <c r="A37" s="13">
        <v>34.0</v>
      </c>
      <c r="B37" s="130">
        <v>46017.0</v>
      </c>
      <c r="C37" s="116"/>
      <c r="D37" s="134">
        <v>2684367.0</v>
      </c>
      <c r="E37" s="102"/>
      <c r="F37" s="102"/>
      <c r="G37" s="102"/>
      <c r="H37" s="146"/>
      <c r="I37" s="87"/>
      <c r="J37" s="86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</row>
    <row r="38" ht="18.75" customHeight="1">
      <c r="A38" s="13">
        <v>35.0</v>
      </c>
      <c r="B38" s="130">
        <v>46017.0</v>
      </c>
      <c r="C38" s="151">
        <v>2000000.0</v>
      </c>
      <c r="D38" s="134"/>
      <c r="E38" s="102"/>
      <c r="F38" s="102"/>
      <c r="G38" s="102"/>
      <c r="H38" s="146"/>
      <c r="I38" s="87"/>
      <c r="J38" s="86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</row>
    <row r="39" ht="18.75" customHeight="1">
      <c r="A39" s="13">
        <v>36.0</v>
      </c>
      <c r="B39" s="130">
        <v>46017.0</v>
      </c>
      <c r="C39" s="116"/>
      <c r="D39" s="134">
        <v>2740244.0</v>
      </c>
      <c r="E39" s="102"/>
      <c r="F39" s="102"/>
      <c r="G39" s="102"/>
      <c r="H39" s="146"/>
      <c r="I39" s="87"/>
      <c r="J39" s="86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</row>
    <row r="40" ht="18.75" customHeight="1">
      <c r="A40" s="13">
        <v>37.0</v>
      </c>
      <c r="B40" s="130">
        <v>46017.0</v>
      </c>
      <c r="C40" s="151">
        <v>5000000.0</v>
      </c>
      <c r="D40" s="134"/>
      <c r="E40" s="102"/>
      <c r="F40" s="102"/>
      <c r="G40" s="102"/>
      <c r="H40" s="146"/>
      <c r="I40" s="87"/>
      <c r="J40" s="86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</row>
    <row r="41" ht="18.75" customHeight="1">
      <c r="A41" s="13">
        <v>38.0</v>
      </c>
      <c r="B41" s="130">
        <v>46017.0</v>
      </c>
      <c r="C41" s="116"/>
      <c r="D41" s="134">
        <v>2818798.0</v>
      </c>
      <c r="E41" s="102"/>
      <c r="F41" s="102"/>
      <c r="G41" s="102"/>
      <c r="H41" s="146"/>
      <c r="I41" s="87"/>
      <c r="J41" s="86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</row>
    <row r="42" ht="18.75" customHeight="1">
      <c r="A42" s="13">
        <v>39.0</v>
      </c>
      <c r="B42" s="130">
        <v>46018.0</v>
      </c>
      <c r="C42" s="116"/>
      <c r="D42" s="153">
        <v>410699.0</v>
      </c>
      <c r="E42" s="102"/>
      <c r="F42" s="102"/>
      <c r="G42" s="102"/>
      <c r="H42" s="146"/>
      <c r="I42" s="87"/>
      <c r="J42" s="86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</row>
    <row r="43" ht="18.75" customHeight="1">
      <c r="A43" s="13">
        <v>40.0</v>
      </c>
      <c r="B43" s="130">
        <v>46018.0</v>
      </c>
      <c r="C43" s="151">
        <v>5000000.0</v>
      </c>
      <c r="D43" s="134"/>
      <c r="E43" s="102"/>
      <c r="F43" s="102"/>
      <c r="G43" s="102"/>
      <c r="H43" s="146"/>
      <c r="I43" s="87"/>
      <c r="J43" s="86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</row>
    <row r="44" ht="18.75" customHeight="1">
      <c r="A44" s="13">
        <v>41.0</v>
      </c>
      <c r="B44" s="130">
        <v>46018.0</v>
      </c>
      <c r="C44" s="116"/>
      <c r="D44" s="134">
        <v>2955467.0</v>
      </c>
      <c r="E44" s="102"/>
      <c r="F44" s="102"/>
      <c r="G44" s="102"/>
      <c r="H44" s="146"/>
      <c r="I44" s="87"/>
      <c r="J44" s="86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</row>
    <row r="45" ht="18.75" customHeight="1">
      <c r="A45" s="13">
        <v>42.0</v>
      </c>
      <c r="B45" s="130">
        <v>46018.0</v>
      </c>
      <c r="C45" s="116"/>
      <c r="D45" s="134">
        <v>1392404.0</v>
      </c>
      <c r="E45" s="102"/>
      <c r="F45" s="102"/>
      <c r="G45" s="102"/>
      <c r="H45" s="146"/>
      <c r="I45" s="87"/>
      <c r="J45" s="86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</row>
    <row r="46" ht="18.75" customHeight="1">
      <c r="A46" s="13">
        <v>43.0</v>
      </c>
      <c r="B46" s="130">
        <v>46019.0</v>
      </c>
      <c r="C46" s="151">
        <v>1.0E7</v>
      </c>
      <c r="D46" s="134"/>
      <c r="E46" s="102"/>
      <c r="F46" s="102"/>
      <c r="G46" s="102"/>
      <c r="H46" s="146"/>
      <c r="I46" s="87"/>
      <c r="J46" s="86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</row>
    <row r="47" ht="18.75" customHeight="1">
      <c r="A47" s="13">
        <v>44.0</v>
      </c>
      <c r="B47" s="130">
        <v>46019.0</v>
      </c>
      <c r="C47" s="116"/>
      <c r="D47" s="134">
        <v>2973067.0</v>
      </c>
      <c r="E47" s="102"/>
      <c r="F47" s="102"/>
      <c r="G47" s="102"/>
      <c r="H47" s="146"/>
      <c r="I47" s="87"/>
      <c r="J47" s="86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</row>
    <row r="48" ht="18.75" customHeight="1">
      <c r="A48" s="13">
        <v>45.0</v>
      </c>
      <c r="B48" s="130">
        <v>46019.0</v>
      </c>
      <c r="C48" s="116"/>
      <c r="D48" s="134">
        <v>2099532.0</v>
      </c>
      <c r="E48" s="102"/>
      <c r="F48" s="102"/>
      <c r="G48" s="102"/>
      <c r="H48" s="146"/>
      <c r="I48" s="87"/>
      <c r="J48" s="86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</row>
    <row r="49" ht="18.75" customHeight="1">
      <c r="A49" s="13">
        <v>46.0</v>
      </c>
      <c r="B49" s="130">
        <v>46019.0</v>
      </c>
      <c r="C49" s="116"/>
      <c r="D49" s="134">
        <v>3542675.0</v>
      </c>
      <c r="E49" s="102"/>
      <c r="F49" s="102"/>
      <c r="G49" s="102"/>
      <c r="H49" s="146"/>
      <c r="I49" s="87"/>
      <c r="J49" s="86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</row>
    <row r="50" ht="18.75" customHeight="1">
      <c r="A50" s="13">
        <v>47.0</v>
      </c>
      <c r="B50" s="130">
        <v>46019.0</v>
      </c>
      <c r="C50" s="116"/>
      <c r="D50" s="134">
        <v>418974.0</v>
      </c>
      <c r="E50" s="102"/>
      <c r="F50" s="102"/>
      <c r="G50" s="102"/>
      <c r="H50" s="146"/>
      <c r="I50" s="87"/>
      <c r="J50" s="86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</row>
    <row r="51" ht="18.75" customHeight="1">
      <c r="A51" s="13">
        <v>48.0</v>
      </c>
      <c r="B51" s="130">
        <v>46019.0</v>
      </c>
      <c r="C51" s="153">
        <v>410699.0</v>
      </c>
      <c r="D51" s="134"/>
      <c r="E51" s="102"/>
      <c r="F51" s="102"/>
      <c r="G51" s="102"/>
      <c r="H51" s="146"/>
      <c r="I51" s="87"/>
      <c r="J51" s="86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</row>
    <row r="52" ht="18.75" customHeight="1">
      <c r="A52" s="13">
        <v>49.0</v>
      </c>
      <c r="B52" s="130">
        <v>46019.0</v>
      </c>
      <c r="C52" s="116"/>
      <c r="D52" s="134">
        <v>3183277.0</v>
      </c>
      <c r="E52" s="102"/>
      <c r="F52" s="102"/>
      <c r="G52" s="102"/>
      <c r="H52" s="146"/>
      <c r="I52" s="87"/>
      <c r="J52" s="86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</row>
    <row r="53" ht="18.75" customHeight="1">
      <c r="A53" s="13">
        <v>50.0</v>
      </c>
      <c r="B53" s="130">
        <v>46019.0</v>
      </c>
      <c r="C53" s="151">
        <v>1.0E7</v>
      </c>
      <c r="D53" s="134"/>
      <c r="E53" s="102"/>
      <c r="F53" s="102"/>
      <c r="G53" s="102"/>
      <c r="H53" s="146"/>
      <c r="I53" s="87"/>
      <c r="J53" s="86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</row>
    <row r="54" ht="18.75" customHeight="1">
      <c r="A54" s="13">
        <v>51.0</v>
      </c>
      <c r="B54" s="130">
        <v>46019.0</v>
      </c>
      <c r="C54" s="116"/>
      <c r="D54" s="134">
        <v>2385015.0</v>
      </c>
      <c r="E54" s="102"/>
      <c r="F54" s="102"/>
      <c r="G54" s="102"/>
      <c r="H54" s="146"/>
      <c r="I54" s="87"/>
      <c r="J54" s="86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</row>
    <row r="55" ht="18.75" customHeight="1">
      <c r="A55" s="13">
        <v>52.0</v>
      </c>
      <c r="B55" s="130">
        <v>46020.0</v>
      </c>
      <c r="C55" s="116"/>
      <c r="D55" s="134">
        <v>3421726.0</v>
      </c>
      <c r="E55" s="102"/>
      <c r="F55" s="102"/>
      <c r="G55" s="102"/>
      <c r="H55" s="146"/>
      <c r="I55" s="87"/>
      <c r="J55" s="86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</row>
    <row r="56" ht="18.75" customHeight="1">
      <c r="A56" s="13">
        <v>53.0</v>
      </c>
      <c r="B56" s="130">
        <v>46020.0</v>
      </c>
      <c r="C56" s="57" t="str">
        <f t="shared" ref="C56:D56" si="2">SUM(C4:C124)</f>
        <v>#REF!</v>
      </c>
      <c r="D56" s="57" t="str">
        <f t="shared" si="2"/>
        <v>#REF!</v>
      </c>
      <c r="E56" s="58"/>
      <c r="F56" s="58"/>
      <c r="G56" s="139"/>
      <c r="H56" s="146"/>
      <c r="I56" s="87"/>
      <c r="J56" s="86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</row>
    <row r="57" ht="18.75" customHeight="1">
      <c r="A57" s="13">
        <v>54.0</v>
      </c>
      <c r="B57" s="41"/>
      <c r="C57" s="57">
        <f>'Tháng 11'!C205</f>
        <v>-61956197</v>
      </c>
      <c r="D57" s="85" t="s">
        <v>42</v>
      </c>
      <c r="E57" s="86"/>
      <c r="F57" s="86"/>
      <c r="G57" s="140"/>
      <c r="H57" s="146"/>
      <c r="I57" s="87"/>
      <c r="J57" s="86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</row>
    <row r="58" ht="18.75" customHeight="1">
      <c r="A58" s="13">
        <v>55.0</v>
      </c>
      <c r="B58" s="87"/>
      <c r="C58" s="141" t="str">
        <f>C56-D56</f>
        <v>#REF!</v>
      </c>
      <c r="D58" s="85" t="s">
        <v>44</v>
      </c>
      <c r="E58" s="87"/>
      <c r="F58" s="86"/>
      <c r="G58" s="140"/>
      <c r="H58" s="146"/>
      <c r="I58" s="87"/>
      <c r="J58" s="86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</row>
    <row r="59" ht="18.75" customHeight="1">
      <c r="A59" s="13">
        <v>56.0</v>
      </c>
      <c r="B59" s="87"/>
      <c r="C59" s="57" t="str">
        <f>C57+C58</f>
        <v>#REF!</v>
      </c>
      <c r="D59" s="85" t="s">
        <v>46</v>
      </c>
      <c r="E59" s="87"/>
      <c r="F59" s="87"/>
      <c r="G59" s="140"/>
      <c r="H59" s="146"/>
      <c r="I59" s="87"/>
      <c r="J59" s="86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</row>
    <row r="60" ht="18.75" customHeight="1">
      <c r="A60" s="13">
        <v>57.0</v>
      </c>
      <c r="B60" s="87"/>
      <c r="C60" s="57" t="str">
        <f>C1+C58</f>
        <v>#REF!</v>
      </c>
      <c r="D60" s="85" t="s">
        <v>82</v>
      </c>
      <c r="E60" s="87"/>
      <c r="F60" s="87"/>
      <c r="G60" s="140"/>
      <c r="H60" s="146"/>
      <c r="I60" s="87"/>
      <c r="J60" s="86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</row>
    <row r="61" ht="18.75" customHeight="1">
      <c r="A61" s="13">
        <v>58.0</v>
      </c>
      <c r="B61" s="87"/>
      <c r="C61" s="87"/>
      <c r="D61" s="87"/>
      <c r="E61" s="87"/>
      <c r="F61" s="87"/>
      <c r="G61" s="140"/>
      <c r="H61" s="146"/>
      <c r="I61" s="87"/>
      <c r="J61" s="86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</row>
    <row r="62" ht="18.75" customHeight="1">
      <c r="A62" s="13">
        <v>59.0</v>
      </c>
      <c r="B62" s="87"/>
      <c r="C62" s="87"/>
      <c r="D62" s="87"/>
      <c r="E62" s="87"/>
      <c r="F62" s="87"/>
      <c r="G62" s="140"/>
      <c r="H62" s="146"/>
      <c r="I62" s="87"/>
      <c r="J62" s="86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</row>
    <row r="63" ht="18.75" customHeight="1">
      <c r="A63" s="13">
        <v>60.0</v>
      </c>
      <c r="B63" s="87"/>
      <c r="C63" s="87"/>
      <c r="D63" s="87"/>
      <c r="E63" s="87"/>
      <c r="F63" s="87"/>
      <c r="G63" s="87"/>
      <c r="H63" s="146"/>
      <c r="I63" s="87"/>
      <c r="J63" s="86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</row>
    <row r="64" ht="18.75" customHeight="1">
      <c r="A64" s="13">
        <v>61.0</v>
      </c>
      <c r="B64" s="87"/>
      <c r="C64" s="87"/>
      <c r="D64" s="87"/>
      <c r="E64" s="87"/>
      <c r="F64" s="87"/>
      <c r="G64" s="87"/>
      <c r="H64" s="146"/>
      <c r="I64" s="87"/>
      <c r="J64" s="86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</row>
    <row r="65" ht="19.5" customHeight="1">
      <c r="A65" s="13">
        <v>62.0</v>
      </c>
      <c r="B65" s="87"/>
      <c r="C65" s="87"/>
      <c r="D65" s="87"/>
      <c r="E65" s="87"/>
      <c r="F65" s="87"/>
      <c r="G65" s="87"/>
      <c r="H65" s="146"/>
      <c r="I65" s="87"/>
      <c r="J65" s="86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</row>
    <row r="66" ht="19.5" customHeight="1">
      <c r="A66" s="13">
        <v>63.0</v>
      </c>
      <c r="B66" s="87"/>
      <c r="C66" s="87"/>
      <c r="D66" s="87"/>
      <c r="E66" s="87"/>
      <c r="F66" s="87"/>
      <c r="G66" s="87"/>
      <c r="H66" s="146"/>
      <c r="I66" s="87"/>
      <c r="J66" s="86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</row>
    <row r="67" ht="18.75" customHeight="1">
      <c r="A67" s="13">
        <v>64.0</v>
      </c>
      <c r="B67" s="87"/>
      <c r="C67" s="87"/>
      <c r="D67" s="87"/>
      <c r="E67" s="87"/>
      <c r="F67" s="87"/>
      <c r="G67" s="87"/>
      <c r="H67" s="146"/>
      <c r="I67" s="87"/>
      <c r="J67" s="86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</row>
    <row r="68" ht="18.75" customHeight="1">
      <c r="A68" s="13">
        <v>65.0</v>
      </c>
      <c r="B68" s="87"/>
      <c r="C68" s="87"/>
      <c r="D68" s="87"/>
      <c r="E68" s="87"/>
      <c r="F68" s="87"/>
      <c r="G68" s="87"/>
      <c r="H68" s="146"/>
      <c r="I68" s="87"/>
      <c r="J68" s="86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</row>
    <row r="69" ht="18.75" customHeight="1">
      <c r="A69" s="13">
        <v>66.0</v>
      </c>
      <c r="B69" s="87"/>
      <c r="C69" s="87"/>
      <c r="D69" s="87"/>
      <c r="E69" s="87"/>
      <c r="F69" s="87"/>
      <c r="G69" s="87"/>
      <c r="H69" s="146"/>
      <c r="I69" s="87"/>
      <c r="J69" s="86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</row>
    <row r="70" ht="18.75" customHeight="1">
      <c r="A70" s="13">
        <v>67.0</v>
      </c>
      <c r="B70" s="87"/>
      <c r="C70" s="87"/>
      <c r="D70" s="87"/>
      <c r="E70" s="87"/>
      <c r="F70" s="87"/>
      <c r="G70" s="87"/>
      <c r="H70" s="146"/>
      <c r="I70" s="87"/>
      <c r="J70" s="86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</row>
    <row r="71" ht="18.75" customHeight="1">
      <c r="A71" s="13">
        <v>68.0</v>
      </c>
      <c r="B71" s="87"/>
      <c r="C71" s="87"/>
      <c r="D71" s="87"/>
      <c r="E71" s="87"/>
      <c r="F71" s="87"/>
      <c r="G71" s="87"/>
      <c r="H71" s="146"/>
      <c r="I71" s="87"/>
      <c r="J71" s="86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</row>
    <row r="72" ht="18.75" customHeight="1">
      <c r="A72" s="13">
        <v>69.0</v>
      </c>
      <c r="B72" s="87"/>
      <c r="C72" s="87"/>
      <c r="D72" s="87"/>
      <c r="E72" s="87"/>
      <c r="F72" s="87"/>
      <c r="G72" s="87"/>
      <c r="H72" s="146"/>
      <c r="I72" s="87"/>
      <c r="J72" s="86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</row>
    <row r="73" ht="18.75" customHeight="1">
      <c r="A73" s="13">
        <v>70.0</v>
      </c>
      <c r="B73" s="87"/>
      <c r="C73" s="87"/>
      <c r="D73" s="87"/>
      <c r="E73" s="87"/>
      <c r="F73" s="87"/>
      <c r="G73" s="87"/>
      <c r="H73" s="146"/>
      <c r="I73" s="87"/>
      <c r="J73" s="86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</row>
    <row r="74" ht="18.75" customHeight="1">
      <c r="A74" s="13">
        <v>71.0</v>
      </c>
      <c r="B74" s="87"/>
      <c r="C74" s="87"/>
      <c r="D74" s="87"/>
      <c r="E74" s="87"/>
      <c r="F74" s="87"/>
      <c r="G74" s="87"/>
      <c r="H74" s="146"/>
      <c r="I74" s="87"/>
      <c r="J74" s="86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</row>
    <row r="75" ht="18.75" customHeight="1">
      <c r="A75" s="13">
        <v>72.0</v>
      </c>
      <c r="B75" s="87"/>
      <c r="C75" s="87"/>
      <c r="D75" s="87"/>
      <c r="E75" s="87"/>
      <c r="F75" s="87"/>
      <c r="G75" s="87"/>
      <c r="H75" s="146"/>
      <c r="I75" s="87"/>
      <c r="J75" s="86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</row>
    <row r="76" ht="18.75" customHeight="1">
      <c r="A76" s="13">
        <v>73.0</v>
      </c>
      <c r="B76" s="87"/>
      <c r="C76" s="87"/>
      <c r="D76" s="87"/>
      <c r="E76" s="87"/>
      <c r="F76" s="87"/>
      <c r="G76" s="87"/>
      <c r="H76" s="146"/>
      <c r="I76" s="87"/>
      <c r="J76" s="86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</row>
    <row r="77" ht="18.75" customHeight="1">
      <c r="A77" s="13">
        <v>74.0</v>
      </c>
      <c r="B77" s="87"/>
      <c r="C77" s="87"/>
      <c r="D77" s="87"/>
      <c r="E77" s="87"/>
      <c r="F77" s="87"/>
      <c r="G77" s="87"/>
      <c r="H77" s="146"/>
      <c r="I77" s="87"/>
      <c r="J77" s="86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</row>
    <row r="78" ht="18.75" customHeight="1">
      <c r="A78" s="13">
        <v>75.0</v>
      </c>
      <c r="B78" s="87"/>
      <c r="C78" s="87"/>
      <c r="D78" s="87"/>
      <c r="E78" s="87"/>
      <c r="F78" s="87"/>
      <c r="G78" s="87"/>
      <c r="H78" s="146"/>
      <c r="I78" s="87"/>
      <c r="J78" s="86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</row>
    <row r="79" ht="18.75" customHeight="1">
      <c r="A79" s="13">
        <v>76.0</v>
      </c>
      <c r="B79" s="87"/>
      <c r="C79" s="87"/>
      <c r="D79" s="87"/>
      <c r="E79" s="87"/>
      <c r="F79" s="87"/>
      <c r="G79" s="87"/>
      <c r="H79" s="146"/>
      <c r="I79" s="87"/>
      <c r="J79" s="86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</row>
    <row r="80" ht="18.75" customHeight="1">
      <c r="A80" s="13">
        <v>77.0</v>
      </c>
      <c r="B80" s="87"/>
      <c r="C80" s="87"/>
      <c r="D80" s="87"/>
      <c r="E80" s="87"/>
      <c r="F80" s="87"/>
      <c r="G80" s="87"/>
      <c r="H80" s="146"/>
      <c r="I80" s="87"/>
      <c r="J80" s="86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</row>
    <row r="81" ht="18.75" customHeight="1">
      <c r="A81" s="13">
        <v>78.0</v>
      </c>
      <c r="B81" s="87"/>
      <c r="C81" s="87"/>
      <c r="D81" s="87"/>
      <c r="E81" s="87"/>
      <c r="F81" s="87"/>
      <c r="G81" s="87"/>
      <c r="H81" s="146"/>
      <c r="I81" s="87"/>
      <c r="J81" s="86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</row>
    <row r="82" ht="18.75" customHeight="1">
      <c r="A82" s="13">
        <v>79.0</v>
      </c>
      <c r="B82" s="87"/>
      <c r="C82" s="87"/>
      <c r="D82" s="87"/>
      <c r="E82" s="87"/>
      <c r="F82" s="87"/>
      <c r="G82" s="87"/>
      <c r="H82" s="146"/>
      <c r="I82" s="87"/>
      <c r="J82" s="86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</row>
    <row r="83" ht="18.75" customHeight="1">
      <c r="A83" s="13">
        <v>80.0</v>
      </c>
      <c r="B83" s="87"/>
      <c r="C83" s="87"/>
      <c r="D83" s="87"/>
      <c r="E83" s="87"/>
      <c r="F83" s="87"/>
      <c r="G83" s="87"/>
      <c r="H83" s="146"/>
      <c r="I83" s="87"/>
      <c r="J83" s="86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</row>
    <row r="84" ht="18.75" customHeight="1">
      <c r="A84" s="13">
        <v>81.0</v>
      </c>
      <c r="B84" s="87"/>
      <c r="C84" s="87"/>
      <c r="D84" s="87"/>
      <c r="E84" s="87"/>
      <c r="F84" s="87"/>
      <c r="G84" s="87"/>
      <c r="H84" s="146"/>
      <c r="I84" s="87"/>
      <c r="J84" s="86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</row>
    <row r="85" ht="18.75" customHeight="1">
      <c r="A85" s="13">
        <v>82.0</v>
      </c>
      <c r="B85" s="87"/>
      <c r="C85" s="87"/>
      <c r="D85" s="87"/>
      <c r="E85" s="87"/>
      <c r="F85" s="87"/>
      <c r="G85" s="87"/>
      <c r="H85" s="146"/>
      <c r="I85" s="87"/>
      <c r="J85" s="86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</row>
    <row r="86" ht="18.75" customHeight="1">
      <c r="A86" s="13">
        <v>83.0</v>
      </c>
      <c r="B86" s="87"/>
      <c r="C86" s="87"/>
      <c r="D86" s="87"/>
      <c r="E86" s="87"/>
      <c r="F86" s="87"/>
      <c r="G86" s="87"/>
      <c r="H86" s="146"/>
      <c r="I86" s="87"/>
      <c r="J86" s="86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</row>
    <row r="87" ht="18.75" customHeight="1">
      <c r="A87" s="13">
        <v>84.0</v>
      </c>
      <c r="B87" s="87"/>
      <c r="C87" s="87"/>
      <c r="D87" s="87"/>
      <c r="E87" s="87"/>
      <c r="F87" s="87"/>
      <c r="G87" s="87"/>
      <c r="H87" s="146"/>
      <c r="I87" s="87"/>
      <c r="J87" s="86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</row>
    <row r="88" ht="18.75" customHeight="1">
      <c r="A88" s="13">
        <v>85.0</v>
      </c>
      <c r="B88" s="87"/>
      <c r="C88" s="87"/>
      <c r="D88" s="87"/>
      <c r="E88" s="87"/>
      <c r="F88" s="87"/>
      <c r="G88" s="87"/>
      <c r="H88" s="146"/>
      <c r="I88" s="87"/>
      <c r="J88" s="86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</row>
    <row r="89" ht="18.75" customHeight="1">
      <c r="A89" s="13">
        <v>86.0</v>
      </c>
      <c r="B89" s="87"/>
      <c r="C89" s="87"/>
      <c r="D89" s="87"/>
      <c r="E89" s="87"/>
      <c r="F89" s="87"/>
      <c r="G89" s="87"/>
      <c r="H89" s="146"/>
      <c r="I89" s="87"/>
      <c r="J89" s="86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</row>
    <row r="90" ht="18.75" customHeight="1">
      <c r="A90" s="13">
        <v>87.0</v>
      </c>
      <c r="B90" s="87"/>
      <c r="C90" s="87"/>
      <c r="D90" s="87"/>
      <c r="E90" s="87"/>
      <c r="F90" s="87"/>
      <c r="G90" s="87"/>
      <c r="H90" s="146"/>
      <c r="I90" s="87"/>
      <c r="J90" s="86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</row>
    <row r="91" ht="18.75" customHeight="1">
      <c r="A91" s="13">
        <v>88.0</v>
      </c>
      <c r="B91" s="87"/>
      <c r="C91" s="87"/>
      <c r="D91" s="87"/>
      <c r="E91" s="87"/>
      <c r="F91" s="87"/>
      <c r="G91" s="87"/>
      <c r="H91" s="146"/>
      <c r="I91" s="87"/>
      <c r="J91" s="86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</row>
    <row r="92" ht="18.75" customHeight="1">
      <c r="A92" s="13">
        <v>89.0</v>
      </c>
      <c r="B92" s="87"/>
      <c r="C92" s="87"/>
      <c r="D92" s="87"/>
      <c r="E92" s="87"/>
      <c r="F92" s="87"/>
      <c r="G92" s="87"/>
      <c r="H92" s="146"/>
      <c r="I92" s="87"/>
      <c r="J92" s="86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</row>
    <row r="93" ht="18.75" customHeight="1">
      <c r="A93" s="13">
        <v>90.0</v>
      </c>
      <c r="B93" s="87"/>
      <c r="C93" s="87"/>
      <c r="D93" s="87"/>
      <c r="E93" s="87"/>
      <c r="F93" s="87"/>
      <c r="G93" s="87"/>
      <c r="H93" s="146"/>
      <c r="I93" s="87"/>
      <c r="J93" s="86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</row>
    <row r="94" ht="18.75" customHeight="1">
      <c r="A94" s="13">
        <v>91.0</v>
      </c>
      <c r="B94" s="87"/>
      <c r="C94" s="87"/>
      <c r="D94" s="87"/>
      <c r="E94" s="87"/>
      <c r="F94" s="87"/>
      <c r="G94" s="87"/>
      <c r="H94" s="146"/>
      <c r="I94" s="87"/>
      <c r="J94" s="86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</row>
    <row r="95" ht="18.75" customHeight="1">
      <c r="A95" s="13">
        <v>92.0</v>
      </c>
      <c r="B95" s="87"/>
      <c r="C95" s="87"/>
      <c r="D95" s="87"/>
      <c r="E95" s="87"/>
      <c r="F95" s="87"/>
      <c r="G95" s="87"/>
      <c r="H95" s="146"/>
      <c r="I95" s="87"/>
      <c r="J95" s="86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</row>
    <row r="96" ht="18.75" customHeight="1">
      <c r="A96" s="13">
        <v>93.0</v>
      </c>
      <c r="B96" s="87"/>
      <c r="C96" s="87"/>
      <c r="D96" s="87"/>
      <c r="E96" s="87"/>
      <c r="F96" s="87"/>
      <c r="G96" s="87"/>
      <c r="H96" s="146"/>
      <c r="I96" s="87"/>
      <c r="J96" s="86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</row>
    <row r="97" ht="18.75" customHeight="1">
      <c r="A97" s="13">
        <v>94.0</v>
      </c>
      <c r="B97" s="87"/>
      <c r="C97" s="87"/>
      <c r="D97" s="87"/>
      <c r="E97" s="87"/>
      <c r="F97" s="87"/>
      <c r="G97" s="87"/>
      <c r="H97" s="146"/>
      <c r="I97" s="87"/>
      <c r="J97" s="86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</row>
    <row r="98" ht="18.75" customHeight="1">
      <c r="A98" s="13">
        <v>95.0</v>
      </c>
      <c r="B98" s="87"/>
      <c r="C98" s="87"/>
      <c r="D98" s="87"/>
      <c r="E98" s="87"/>
      <c r="F98" s="87"/>
      <c r="G98" s="87"/>
      <c r="H98" s="146"/>
      <c r="I98" s="87"/>
      <c r="J98" s="86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</row>
    <row r="99" ht="18.75" customHeight="1">
      <c r="A99" s="13">
        <v>96.0</v>
      </c>
      <c r="B99" s="87"/>
      <c r="C99" s="87"/>
      <c r="D99" s="87"/>
      <c r="E99" s="87"/>
      <c r="F99" s="87"/>
      <c r="G99" s="87"/>
      <c r="H99" s="146"/>
      <c r="I99" s="87"/>
      <c r="J99" s="86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</row>
    <row r="100" ht="18.75" customHeight="1">
      <c r="A100" s="13">
        <v>97.0</v>
      </c>
      <c r="B100" s="87"/>
      <c r="C100" s="87"/>
      <c r="D100" s="87"/>
      <c r="E100" s="87"/>
      <c r="F100" s="87"/>
      <c r="G100" s="87"/>
      <c r="H100" s="146"/>
      <c r="I100" s="87"/>
      <c r="J100" s="86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</row>
    <row r="101">
      <c r="A101" s="13">
        <v>98.0</v>
      </c>
      <c r="B101" s="87"/>
      <c r="C101" s="87"/>
      <c r="D101" s="87"/>
      <c r="E101" s="87"/>
      <c r="F101" s="87"/>
      <c r="G101" s="87"/>
      <c r="H101" s="146"/>
      <c r="I101" s="87"/>
      <c r="J101" s="86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</row>
    <row r="102" ht="18.75" customHeight="1">
      <c r="A102" s="13"/>
      <c r="B102" s="87"/>
      <c r="C102" s="87"/>
      <c r="D102" s="87"/>
      <c r="E102" s="87"/>
      <c r="F102" s="87"/>
      <c r="G102" s="87"/>
      <c r="H102" s="146"/>
      <c r="I102" s="87"/>
      <c r="J102" s="86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</row>
    <row r="103" ht="18.75" customHeight="1">
      <c r="A103" s="13">
        <v>99.0</v>
      </c>
      <c r="B103" s="87"/>
      <c r="C103" s="87"/>
      <c r="D103" s="87"/>
      <c r="E103" s="87"/>
      <c r="F103" s="87"/>
      <c r="G103" s="87"/>
      <c r="H103" s="146"/>
      <c r="I103" s="87"/>
      <c r="J103" s="86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</row>
    <row r="104" ht="18.75" customHeight="1">
      <c r="A104" s="13">
        <v>100.0</v>
      </c>
      <c r="B104" s="87"/>
      <c r="C104" s="87"/>
      <c r="D104" s="87"/>
      <c r="E104" s="87"/>
      <c r="F104" s="87"/>
      <c r="G104" s="87"/>
      <c r="H104" s="146"/>
      <c r="I104" s="87"/>
      <c r="J104" s="86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</row>
    <row r="105" ht="18.75" customHeight="1">
      <c r="A105" s="13">
        <v>101.0</v>
      </c>
      <c r="B105" s="87"/>
      <c r="C105" s="87"/>
      <c r="D105" s="87"/>
      <c r="E105" s="87"/>
      <c r="F105" s="87"/>
      <c r="G105" s="87"/>
      <c r="H105" s="146"/>
      <c r="I105" s="87"/>
      <c r="J105" s="86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</row>
    <row r="106" ht="18.75" customHeight="1">
      <c r="A106" s="13">
        <v>102.0</v>
      </c>
      <c r="B106" s="87"/>
      <c r="C106" s="87"/>
      <c r="D106" s="87"/>
      <c r="E106" s="87"/>
      <c r="F106" s="87"/>
      <c r="G106" s="87"/>
      <c r="H106" s="146"/>
      <c r="I106" s="87"/>
      <c r="J106" s="86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</row>
    <row r="107" ht="18.75" customHeight="1">
      <c r="A107" s="13">
        <v>103.0</v>
      </c>
      <c r="B107" s="87"/>
      <c r="C107" s="87"/>
      <c r="D107" s="87"/>
      <c r="E107" s="87"/>
      <c r="F107" s="87"/>
      <c r="G107" s="87"/>
      <c r="H107" s="146"/>
      <c r="I107" s="87"/>
      <c r="J107" s="86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</row>
    <row r="108" ht="18.75" customHeight="1">
      <c r="A108" s="13">
        <v>104.0</v>
      </c>
      <c r="B108" s="87"/>
      <c r="C108" s="87"/>
      <c r="D108" s="87"/>
      <c r="E108" s="87"/>
      <c r="F108" s="87"/>
      <c r="G108" s="87"/>
      <c r="H108" s="146"/>
      <c r="I108" s="87"/>
      <c r="J108" s="86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</row>
    <row r="109" ht="18.75" customHeight="1">
      <c r="A109" s="13">
        <v>105.0</v>
      </c>
      <c r="B109" s="87"/>
      <c r="C109" s="87"/>
      <c r="D109" s="87"/>
      <c r="E109" s="87"/>
      <c r="F109" s="87"/>
      <c r="G109" s="87"/>
      <c r="H109" s="146"/>
      <c r="I109" s="87"/>
      <c r="J109" s="86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</row>
    <row r="110" ht="18.75" customHeight="1">
      <c r="A110" s="13">
        <v>106.0</v>
      </c>
      <c r="B110" s="87"/>
      <c r="C110" s="87"/>
      <c r="D110" s="87"/>
      <c r="E110" s="87"/>
      <c r="F110" s="87"/>
      <c r="G110" s="87"/>
      <c r="H110" s="146"/>
      <c r="I110" s="87"/>
      <c r="J110" s="86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</row>
    <row r="111" ht="18.75" customHeight="1">
      <c r="A111" s="13">
        <v>107.0</v>
      </c>
      <c r="B111" s="87"/>
      <c r="C111" s="87"/>
      <c r="D111" s="87"/>
      <c r="E111" s="87"/>
      <c r="F111" s="87"/>
      <c r="G111" s="87"/>
      <c r="H111" s="146"/>
      <c r="I111" s="87"/>
      <c r="J111" s="86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</row>
    <row r="112" ht="18.75" customHeight="1">
      <c r="A112" s="13">
        <v>108.0</v>
      </c>
      <c r="B112" s="87"/>
      <c r="C112" s="87"/>
      <c r="D112" s="87"/>
      <c r="E112" s="87"/>
      <c r="F112" s="87"/>
      <c r="G112" s="87"/>
      <c r="H112" s="146"/>
      <c r="I112" s="87"/>
      <c r="J112" s="86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</row>
    <row r="113" ht="18.75" customHeight="1">
      <c r="A113" s="13">
        <v>109.0</v>
      </c>
      <c r="B113" s="87"/>
      <c r="C113" s="87"/>
      <c r="D113" s="87"/>
      <c r="E113" s="87"/>
      <c r="F113" s="87"/>
      <c r="G113" s="87"/>
      <c r="H113" s="146"/>
      <c r="I113" s="87"/>
      <c r="J113" s="86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</row>
    <row r="114" ht="18.75" customHeight="1">
      <c r="A114" s="13">
        <v>110.0</v>
      </c>
      <c r="B114" s="87"/>
      <c r="C114" s="87"/>
      <c r="D114" s="87"/>
      <c r="E114" s="87"/>
      <c r="F114" s="87"/>
      <c r="G114" s="87"/>
      <c r="H114" s="146"/>
      <c r="I114" s="87"/>
      <c r="J114" s="86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</row>
    <row r="115" ht="18.75" customHeight="1">
      <c r="A115" s="13">
        <v>111.0</v>
      </c>
      <c r="B115" s="87"/>
      <c r="C115" s="87"/>
      <c r="D115" s="87"/>
      <c r="E115" s="87"/>
      <c r="F115" s="87"/>
      <c r="G115" s="87"/>
      <c r="H115" s="146"/>
      <c r="I115" s="87"/>
      <c r="J115" s="86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</row>
    <row r="116" ht="18.75" customHeight="1">
      <c r="A116" s="13">
        <v>112.0</v>
      </c>
      <c r="B116" s="87"/>
      <c r="C116" s="87"/>
      <c r="D116" s="87"/>
      <c r="E116" s="87"/>
      <c r="F116" s="87"/>
      <c r="G116" s="87"/>
      <c r="H116" s="146"/>
      <c r="I116" s="87"/>
      <c r="J116" s="86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</row>
    <row r="117" ht="18.75" customHeight="1">
      <c r="A117" s="13">
        <v>113.0</v>
      </c>
      <c r="B117" s="87"/>
      <c r="C117" s="87"/>
      <c r="D117" s="87"/>
      <c r="E117" s="87"/>
      <c r="F117" s="87"/>
      <c r="G117" s="87"/>
      <c r="H117" s="146"/>
      <c r="I117" s="87"/>
      <c r="J117" s="86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</row>
    <row r="118" ht="18.75" customHeight="1">
      <c r="A118" s="13">
        <v>114.0</v>
      </c>
      <c r="B118" s="87"/>
      <c r="C118" s="87"/>
      <c r="D118" s="87"/>
      <c r="E118" s="87"/>
      <c r="F118" s="87"/>
      <c r="G118" s="87"/>
      <c r="H118" s="146"/>
      <c r="I118" s="87"/>
      <c r="J118" s="86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</row>
    <row r="119" ht="18.75" customHeight="1">
      <c r="A119" s="13">
        <v>115.0</v>
      </c>
      <c r="B119" s="87"/>
      <c r="C119" s="87"/>
      <c r="D119" s="87"/>
      <c r="E119" s="87"/>
      <c r="F119" s="87"/>
      <c r="G119" s="87"/>
      <c r="H119" s="146"/>
      <c r="I119" s="87"/>
      <c r="J119" s="86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</row>
    <row r="120" ht="18.75" customHeight="1">
      <c r="A120" s="13">
        <v>116.0</v>
      </c>
      <c r="B120" s="87"/>
      <c r="C120" s="87"/>
      <c r="D120" s="87"/>
      <c r="E120" s="87"/>
      <c r="F120" s="87"/>
      <c r="G120" s="87"/>
      <c r="H120" s="146"/>
      <c r="I120" s="87"/>
      <c r="J120" s="86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</row>
    <row r="121" ht="18.75" customHeight="1">
      <c r="A121" s="13">
        <v>117.0</v>
      </c>
      <c r="B121" s="87"/>
      <c r="C121" s="87"/>
      <c r="D121" s="87"/>
      <c r="E121" s="87"/>
      <c r="F121" s="87"/>
      <c r="G121" s="87"/>
      <c r="H121" s="146"/>
      <c r="I121" s="87"/>
      <c r="J121" s="86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</row>
    <row r="122" ht="18.75" customHeight="1">
      <c r="A122" s="13">
        <v>118.0</v>
      </c>
      <c r="B122" s="87"/>
      <c r="C122" s="87"/>
      <c r="D122" s="87"/>
      <c r="E122" s="87"/>
      <c r="F122" s="87"/>
      <c r="G122" s="87"/>
      <c r="H122" s="146"/>
      <c r="I122" s="87"/>
      <c r="J122" s="86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</row>
    <row r="123" ht="18.75" customHeight="1">
      <c r="A123" s="13">
        <v>119.0</v>
      </c>
      <c r="B123" s="87"/>
      <c r="C123" s="87"/>
      <c r="D123" s="87"/>
      <c r="E123" s="87"/>
      <c r="F123" s="87"/>
      <c r="G123" s="87"/>
      <c r="H123" s="146"/>
      <c r="I123" s="87"/>
      <c r="J123" s="86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</row>
    <row r="124" ht="18.75" customHeight="1">
      <c r="A124" s="13">
        <v>120.0</v>
      </c>
      <c r="B124" s="87"/>
      <c r="C124" s="87"/>
      <c r="D124" s="87"/>
      <c r="E124" s="87"/>
      <c r="F124" s="87"/>
      <c r="G124" s="87"/>
      <c r="H124" s="146"/>
      <c r="I124" s="87"/>
      <c r="J124" s="86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</row>
    <row r="125" ht="18.75" customHeight="1">
      <c r="A125" s="13">
        <v>121.0</v>
      </c>
      <c r="B125" s="87"/>
      <c r="C125" s="87"/>
      <c r="D125" s="87"/>
      <c r="E125" s="87"/>
      <c r="F125" s="87"/>
      <c r="G125" s="87"/>
      <c r="H125" s="146"/>
      <c r="I125" s="87"/>
      <c r="J125" s="86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</row>
    <row r="126" ht="18.75" customHeight="1">
      <c r="A126" s="13">
        <v>122.0</v>
      </c>
      <c r="B126" s="87"/>
      <c r="C126" s="87"/>
      <c r="D126" s="87"/>
      <c r="E126" s="87"/>
      <c r="F126" s="87"/>
      <c r="G126" s="87"/>
      <c r="H126" s="146"/>
      <c r="I126" s="87"/>
      <c r="J126" s="86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</row>
    <row r="127" ht="18.75" customHeight="1">
      <c r="A127" s="13">
        <v>123.0</v>
      </c>
      <c r="B127" s="87"/>
      <c r="C127" s="87"/>
      <c r="D127" s="87"/>
      <c r="E127" s="87"/>
      <c r="F127" s="87"/>
      <c r="G127" s="87"/>
      <c r="H127" s="146"/>
      <c r="I127" s="87"/>
      <c r="J127" s="86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</row>
    <row r="128" ht="18.75" customHeight="1">
      <c r="A128" s="13">
        <v>124.0</v>
      </c>
      <c r="B128" s="87"/>
      <c r="C128" s="87"/>
      <c r="D128" s="87"/>
      <c r="E128" s="87"/>
      <c r="F128" s="87"/>
      <c r="G128" s="87"/>
      <c r="H128" s="146"/>
      <c r="I128" s="87"/>
      <c r="J128" s="86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</row>
    <row r="129" ht="18.75" customHeight="1">
      <c r="A129" s="13">
        <v>125.0</v>
      </c>
      <c r="B129" s="87"/>
      <c r="C129" s="87"/>
      <c r="D129" s="87"/>
      <c r="E129" s="87"/>
      <c r="F129" s="87"/>
      <c r="G129" s="87"/>
      <c r="H129" s="146"/>
      <c r="I129" s="87"/>
      <c r="J129" s="86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</row>
    <row r="130" ht="18.75" customHeight="1">
      <c r="A130" s="13">
        <v>126.0</v>
      </c>
      <c r="B130" s="87"/>
      <c r="C130" s="87"/>
      <c r="D130" s="87"/>
      <c r="E130" s="87"/>
      <c r="F130" s="87"/>
      <c r="G130" s="87"/>
      <c r="H130" s="146"/>
      <c r="I130" s="87"/>
      <c r="J130" s="86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</row>
    <row r="131" ht="18.75" customHeight="1">
      <c r="A131" s="13">
        <v>127.0</v>
      </c>
      <c r="B131" s="87"/>
      <c r="C131" s="87"/>
      <c r="D131" s="87"/>
      <c r="E131" s="87"/>
      <c r="F131" s="87"/>
      <c r="G131" s="87"/>
      <c r="H131" s="146"/>
      <c r="I131" s="87"/>
      <c r="J131" s="86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</row>
    <row r="132" ht="18.75" customHeight="1">
      <c r="A132" s="13">
        <v>128.0</v>
      </c>
      <c r="B132" s="87"/>
      <c r="C132" s="87"/>
      <c r="D132" s="87"/>
      <c r="E132" s="87"/>
      <c r="F132" s="87"/>
      <c r="G132" s="87"/>
      <c r="H132" s="146"/>
      <c r="I132" s="87"/>
      <c r="J132" s="86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</row>
    <row r="133" ht="18.75" customHeight="1">
      <c r="A133" s="13">
        <v>129.0</v>
      </c>
      <c r="B133" s="87"/>
      <c r="C133" s="87"/>
      <c r="D133" s="87"/>
      <c r="E133" s="87"/>
      <c r="F133" s="87"/>
      <c r="G133" s="87"/>
      <c r="H133" s="146"/>
      <c r="I133" s="87"/>
      <c r="J133" s="86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</row>
    <row r="134" ht="18.75" customHeight="1">
      <c r="A134" s="13">
        <v>130.0</v>
      </c>
      <c r="B134" s="87"/>
      <c r="C134" s="87"/>
      <c r="D134" s="87"/>
      <c r="E134" s="87"/>
      <c r="F134" s="87"/>
      <c r="G134" s="87"/>
      <c r="H134" s="146"/>
      <c r="I134" s="87"/>
      <c r="J134" s="86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</row>
    <row r="135" ht="18.75" customHeight="1">
      <c r="A135" s="13">
        <v>131.0</v>
      </c>
      <c r="B135" s="87"/>
      <c r="C135" s="87"/>
      <c r="D135" s="87"/>
      <c r="E135" s="87"/>
      <c r="F135" s="87"/>
      <c r="G135" s="87"/>
      <c r="H135" s="146"/>
      <c r="I135" s="87"/>
      <c r="J135" s="86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</row>
    <row r="136" ht="18.75" customHeight="1">
      <c r="A136" s="13">
        <v>132.0</v>
      </c>
      <c r="B136" s="87"/>
      <c r="C136" s="87"/>
      <c r="D136" s="87"/>
      <c r="E136" s="87"/>
      <c r="F136" s="87"/>
      <c r="G136" s="87"/>
      <c r="H136" s="146"/>
      <c r="I136" s="87"/>
      <c r="J136" s="86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</row>
    <row r="137" ht="18.75" customHeight="1">
      <c r="A137" s="13">
        <v>133.0</v>
      </c>
      <c r="B137" s="87"/>
      <c r="C137" s="87"/>
      <c r="D137" s="87"/>
      <c r="E137" s="87"/>
      <c r="F137" s="87"/>
      <c r="G137" s="87"/>
      <c r="H137" s="146"/>
      <c r="I137" s="87"/>
      <c r="J137" s="86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</row>
    <row r="138" ht="18.75" customHeight="1">
      <c r="A138" s="13">
        <v>134.0</v>
      </c>
      <c r="B138" s="87"/>
      <c r="C138" s="87"/>
      <c r="D138" s="87"/>
      <c r="E138" s="87"/>
      <c r="F138" s="87"/>
      <c r="G138" s="87"/>
      <c r="H138" s="146"/>
      <c r="I138" s="87"/>
      <c r="J138" s="86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</row>
    <row r="139" ht="18.75" customHeight="1">
      <c r="A139" s="13">
        <v>135.0</v>
      </c>
      <c r="B139" s="87"/>
      <c r="C139" s="87"/>
      <c r="D139" s="87"/>
      <c r="E139" s="87"/>
      <c r="F139" s="87"/>
      <c r="G139" s="87"/>
      <c r="H139" s="146"/>
      <c r="I139" s="87"/>
      <c r="J139" s="86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</row>
    <row r="140" ht="18.75" customHeight="1">
      <c r="A140" s="13">
        <v>136.0</v>
      </c>
      <c r="B140" s="87"/>
      <c r="C140" s="87"/>
      <c r="D140" s="87"/>
      <c r="E140" s="87"/>
      <c r="F140" s="87"/>
      <c r="G140" s="87"/>
      <c r="H140" s="146"/>
      <c r="I140" s="87"/>
      <c r="J140" s="86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</row>
    <row r="141" ht="18.75" customHeight="1">
      <c r="A141" s="13">
        <v>137.0</v>
      </c>
      <c r="B141" s="87"/>
      <c r="C141" s="87"/>
      <c r="D141" s="87"/>
      <c r="E141" s="87"/>
      <c r="F141" s="87"/>
      <c r="G141" s="87"/>
      <c r="H141" s="146"/>
      <c r="I141" s="87"/>
      <c r="J141" s="86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</row>
    <row r="142" ht="18.75" customHeight="1">
      <c r="A142" s="13">
        <v>138.0</v>
      </c>
      <c r="B142" s="87"/>
      <c r="C142" s="87"/>
      <c r="D142" s="87"/>
      <c r="E142" s="87"/>
      <c r="F142" s="87"/>
      <c r="G142" s="87"/>
      <c r="H142" s="146"/>
      <c r="I142" s="87"/>
      <c r="J142" s="86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</row>
    <row r="143" ht="18.75" customHeight="1">
      <c r="A143" s="13">
        <v>139.0</v>
      </c>
      <c r="B143" s="87"/>
      <c r="C143" s="87"/>
      <c r="D143" s="87"/>
      <c r="E143" s="87"/>
      <c r="F143" s="87"/>
      <c r="G143" s="87"/>
      <c r="H143" s="146"/>
      <c r="I143" s="87"/>
      <c r="J143" s="86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</row>
    <row r="144" ht="18.75" customHeight="1">
      <c r="A144" s="13">
        <v>140.0</v>
      </c>
      <c r="B144" s="87"/>
      <c r="C144" s="87"/>
      <c r="D144" s="87"/>
      <c r="E144" s="87"/>
      <c r="F144" s="87"/>
      <c r="G144" s="87"/>
      <c r="H144" s="146"/>
      <c r="I144" s="87"/>
      <c r="J144" s="86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</row>
    <row r="145" ht="18.75" customHeight="1">
      <c r="A145" s="13">
        <v>141.0</v>
      </c>
      <c r="B145" s="87"/>
      <c r="C145" s="87"/>
      <c r="D145" s="87"/>
      <c r="E145" s="87"/>
      <c r="F145" s="87"/>
      <c r="G145" s="87"/>
      <c r="H145" s="146"/>
      <c r="I145" s="87"/>
      <c r="J145" s="86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</row>
    <row r="146" ht="18.75" customHeight="1">
      <c r="A146" s="13">
        <v>142.0</v>
      </c>
      <c r="B146" s="87"/>
      <c r="C146" s="87"/>
      <c r="D146" s="87"/>
      <c r="E146" s="87"/>
      <c r="F146" s="87"/>
      <c r="G146" s="87"/>
      <c r="H146" s="146"/>
      <c r="I146" s="87"/>
      <c r="J146" s="86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</row>
    <row r="147" ht="18.75" customHeight="1">
      <c r="A147" s="13">
        <v>143.0</v>
      </c>
      <c r="B147" s="87"/>
      <c r="C147" s="87"/>
      <c r="D147" s="87"/>
      <c r="E147" s="87"/>
      <c r="F147" s="87"/>
      <c r="G147" s="87"/>
      <c r="H147" s="146"/>
      <c r="I147" s="87"/>
      <c r="J147" s="86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</row>
    <row r="148" ht="18.75" customHeight="1">
      <c r="A148" s="13">
        <v>144.0</v>
      </c>
      <c r="B148" s="87"/>
      <c r="C148" s="87"/>
      <c r="D148" s="87"/>
      <c r="E148" s="87"/>
      <c r="F148" s="87"/>
      <c r="G148" s="87"/>
      <c r="H148" s="146"/>
      <c r="I148" s="87"/>
      <c r="J148" s="86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</row>
    <row r="149" ht="18.75" customHeight="1">
      <c r="A149" s="13">
        <v>145.0</v>
      </c>
      <c r="B149" s="87"/>
      <c r="C149" s="87"/>
      <c r="D149" s="87"/>
      <c r="E149" s="87"/>
      <c r="F149" s="87"/>
      <c r="G149" s="87"/>
      <c r="H149" s="146"/>
      <c r="I149" s="87"/>
      <c r="J149" s="86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</row>
    <row r="150" ht="18.75" customHeight="1">
      <c r="A150" s="13">
        <v>146.0</v>
      </c>
      <c r="B150" s="87"/>
      <c r="C150" s="87"/>
      <c r="D150" s="87"/>
      <c r="E150" s="87"/>
      <c r="F150" s="87"/>
      <c r="G150" s="87"/>
      <c r="H150" s="146"/>
      <c r="I150" s="87"/>
      <c r="J150" s="86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</row>
    <row r="151" ht="18.75" customHeight="1">
      <c r="A151" s="13">
        <v>147.0</v>
      </c>
      <c r="B151" s="87"/>
      <c r="C151" s="87"/>
      <c r="D151" s="87"/>
      <c r="E151" s="87"/>
      <c r="F151" s="87"/>
      <c r="G151" s="87"/>
      <c r="H151" s="146"/>
      <c r="I151" s="87"/>
      <c r="J151" s="86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</row>
    <row r="152" ht="18.75" customHeight="1">
      <c r="A152" s="13">
        <v>148.0</v>
      </c>
      <c r="B152" s="87"/>
      <c r="C152" s="87"/>
      <c r="D152" s="87"/>
      <c r="E152" s="87"/>
      <c r="F152" s="87"/>
      <c r="G152" s="87"/>
      <c r="H152" s="146"/>
      <c r="I152" s="87"/>
      <c r="J152" s="86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</row>
    <row r="153" ht="18.75" customHeight="1">
      <c r="A153" s="13">
        <v>149.0</v>
      </c>
      <c r="B153" s="87"/>
      <c r="C153" s="87"/>
      <c r="D153" s="87"/>
      <c r="E153" s="87"/>
      <c r="F153" s="87"/>
      <c r="G153" s="87"/>
      <c r="H153" s="146"/>
      <c r="I153" s="87"/>
      <c r="J153" s="86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</row>
    <row r="154" ht="18.75" customHeight="1">
      <c r="A154" s="13">
        <v>150.0</v>
      </c>
      <c r="B154" s="87"/>
      <c r="C154" s="87"/>
      <c r="D154" s="87"/>
      <c r="E154" s="87"/>
      <c r="F154" s="87"/>
      <c r="G154" s="87"/>
      <c r="H154" s="146"/>
      <c r="I154" s="138"/>
      <c r="J154" s="86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</row>
    <row r="155" ht="18.75" customHeight="1">
      <c r="A155" s="13">
        <v>151.0</v>
      </c>
      <c r="B155" s="87"/>
      <c r="C155" s="87"/>
      <c r="D155" s="87"/>
      <c r="E155" s="87"/>
      <c r="F155" s="87"/>
      <c r="G155" s="87"/>
      <c r="H155" s="146"/>
      <c r="I155" s="87"/>
      <c r="J155" s="86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</row>
    <row r="156" ht="19.5" customHeight="1">
      <c r="A156" s="13">
        <v>152.0</v>
      </c>
      <c r="B156" s="87"/>
      <c r="C156" s="87"/>
      <c r="D156" s="87"/>
      <c r="E156" s="87"/>
      <c r="F156" s="87"/>
      <c r="G156" s="87"/>
      <c r="H156" s="146"/>
      <c r="I156" s="87"/>
      <c r="J156" s="86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</row>
    <row r="157" ht="19.5" customHeight="1">
      <c r="A157" s="13">
        <v>153.0</v>
      </c>
      <c r="B157" s="87"/>
      <c r="C157" s="87"/>
      <c r="D157" s="87"/>
      <c r="E157" s="87"/>
      <c r="F157" s="87"/>
      <c r="G157" s="87"/>
      <c r="H157" s="146"/>
      <c r="I157" s="87"/>
      <c r="J157" s="86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</row>
    <row r="158" ht="19.5" customHeight="1">
      <c r="A158" s="13">
        <v>154.0</v>
      </c>
      <c r="B158" s="87"/>
      <c r="C158" s="87"/>
      <c r="D158" s="87"/>
      <c r="E158" s="87"/>
      <c r="F158" s="87"/>
      <c r="G158" s="87"/>
      <c r="H158" s="146"/>
      <c r="I158" s="87"/>
      <c r="J158" s="86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</row>
    <row r="159" ht="19.5" customHeight="1">
      <c r="A159" s="13">
        <v>155.0</v>
      </c>
      <c r="B159" s="87"/>
      <c r="C159" s="87"/>
      <c r="D159" s="87"/>
      <c r="E159" s="87"/>
      <c r="F159" s="87"/>
      <c r="G159" s="87"/>
      <c r="H159" s="146"/>
      <c r="I159" s="87"/>
      <c r="J159" s="86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</row>
    <row r="160" ht="19.5" customHeight="1">
      <c r="A160" s="13">
        <v>156.0</v>
      </c>
      <c r="B160" s="87"/>
      <c r="C160" s="87"/>
      <c r="D160" s="87"/>
      <c r="E160" s="87"/>
      <c r="F160" s="87"/>
      <c r="G160" s="87"/>
      <c r="H160" s="146"/>
      <c r="I160" s="87"/>
      <c r="J160" s="86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</row>
    <row r="161" ht="19.5" customHeight="1">
      <c r="A161" s="13">
        <v>157.0</v>
      </c>
      <c r="B161" s="87"/>
      <c r="C161" s="87"/>
      <c r="D161" s="87"/>
      <c r="E161" s="87"/>
      <c r="F161" s="87"/>
      <c r="G161" s="87"/>
      <c r="H161" s="146"/>
      <c r="I161" s="87"/>
      <c r="J161" s="86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</row>
    <row r="162" ht="19.5" customHeight="1">
      <c r="A162" s="13">
        <v>158.0</v>
      </c>
      <c r="B162" s="87"/>
      <c r="C162" s="87"/>
      <c r="D162" s="87"/>
      <c r="E162" s="87"/>
      <c r="F162" s="87"/>
      <c r="G162" s="87"/>
      <c r="H162" s="146"/>
      <c r="I162" s="87"/>
      <c r="J162" s="86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</row>
    <row r="163" ht="19.5" customHeight="1">
      <c r="A163" s="13">
        <v>159.0</v>
      </c>
      <c r="B163" s="87"/>
      <c r="C163" s="87"/>
      <c r="D163" s="87"/>
      <c r="E163" s="87"/>
      <c r="F163" s="87"/>
      <c r="G163" s="87"/>
      <c r="H163" s="146"/>
      <c r="I163" s="87"/>
      <c r="J163" s="86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</row>
    <row r="164" ht="19.5" customHeight="1">
      <c r="A164" s="13">
        <v>160.0</v>
      </c>
      <c r="B164" s="87"/>
      <c r="C164" s="87"/>
      <c r="D164" s="87"/>
      <c r="E164" s="87"/>
      <c r="F164" s="87"/>
      <c r="G164" s="87"/>
      <c r="H164" s="146"/>
      <c r="I164" s="87"/>
      <c r="J164" s="86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</row>
    <row r="165" ht="19.5" customHeight="1">
      <c r="A165" s="13">
        <v>161.0</v>
      </c>
      <c r="B165" s="87"/>
      <c r="C165" s="87"/>
      <c r="D165" s="87"/>
      <c r="E165" s="87"/>
      <c r="F165" s="87"/>
      <c r="G165" s="87"/>
      <c r="H165" s="146"/>
      <c r="I165" s="87"/>
      <c r="J165" s="86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</row>
    <row r="166" ht="19.5" customHeight="1">
      <c r="A166" s="13">
        <v>162.0</v>
      </c>
      <c r="B166" s="87"/>
      <c r="C166" s="87"/>
      <c r="D166" s="87"/>
      <c r="E166" s="87"/>
      <c r="F166" s="87"/>
      <c r="G166" s="87"/>
      <c r="H166" s="146"/>
      <c r="I166" s="87"/>
      <c r="J166" s="86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</row>
    <row r="167" ht="19.5" customHeight="1">
      <c r="A167" s="13">
        <v>163.0</v>
      </c>
      <c r="B167" s="87"/>
      <c r="C167" s="87"/>
      <c r="D167" s="87"/>
      <c r="E167" s="87"/>
      <c r="F167" s="87"/>
      <c r="G167" s="87"/>
      <c r="H167" s="146"/>
      <c r="I167" s="87"/>
      <c r="J167" s="86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</row>
    <row r="168" ht="19.5" customHeight="1">
      <c r="A168" s="13">
        <v>164.0</v>
      </c>
      <c r="B168" s="87"/>
      <c r="C168" s="87"/>
      <c r="D168" s="87"/>
      <c r="E168" s="87"/>
      <c r="F168" s="87"/>
      <c r="G168" s="87"/>
      <c r="H168" s="146"/>
      <c r="I168" s="87"/>
      <c r="J168" s="86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</row>
    <row r="169" ht="19.5" customHeight="1">
      <c r="A169" s="13">
        <v>165.0</v>
      </c>
      <c r="B169" s="87"/>
      <c r="C169" s="87"/>
      <c r="D169" s="87"/>
      <c r="E169" s="87"/>
      <c r="F169" s="87"/>
      <c r="G169" s="87"/>
      <c r="H169" s="146"/>
      <c r="I169" s="87"/>
      <c r="J169" s="86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</row>
    <row r="170" ht="19.5" customHeight="1">
      <c r="A170" s="13">
        <v>166.0</v>
      </c>
      <c r="B170" s="87"/>
      <c r="C170" s="87"/>
      <c r="D170" s="87"/>
      <c r="E170" s="87"/>
      <c r="F170" s="87"/>
      <c r="G170" s="87"/>
      <c r="H170" s="146"/>
      <c r="I170" s="87"/>
      <c r="J170" s="86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</row>
    <row r="171" ht="19.5" customHeight="1">
      <c r="A171" s="13">
        <v>167.0</v>
      </c>
      <c r="B171" s="87"/>
      <c r="C171" s="87"/>
      <c r="D171" s="87"/>
      <c r="E171" s="87"/>
      <c r="F171" s="87"/>
      <c r="G171" s="87"/>
      <c r="H171" s="146"/>
      <c r="I171" s="87"/>
      <c r="J171" s="86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</row>
    <row r="172" ht="19.5" customHeight="1">
      <c r="A172" s="13">
        <v>168.0</v>
      </c>
      <c r="B172" s="87"/>
      <c r="C172" s="87"/>
      <c r="D172" s="87"/>
      <c r="E172" s="87"/>
      <c r="F172" s="87"/>
      <c r="G172" s="87"/>
      <c r="H172" s="146"/>
      <c r="I172" s="87"/>
      <c r="J172" s="86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</row>
    <row r="173" ht="19.5" customHeight="1">
      <c r="A173" s="13">
        <v>169.0</v>
      </c>
      <c r="B173" s="87"/>
      <c r="C173" s="87"/>
      <c r="D173" s="87"/>
      <c r="E173" s="87"/>
      <c r="F173" s="87"/>
      <c r="G173" s="87"/>
      <c r="H173" s="146"/>
      <c r="I173" s="87"/>
      <c r="J173" s="86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</row>
    <row r="174" ht="19.5" customHeight="1">
      <c r="A174" s="13">
        <v>170.0</v>
      </c>
      <c r="B174" s="87"/>
      <c r="C174" s="87"/>
      <c r="D174" s="87"/>
      <c r="E174" s="87"/>
      <c r="F174" s="87"/>
      <c r="G174" s="87"/>
      <c r="H174" s="146"/>
      <c r="I174" s="87"/>
      <c r="J174" s="86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</row>
    <row r="175" ht="19.5" customHeight="1">
      <c r="A175" s="13">
        <v>171.0</v>
      </c>
      <c r="B175" s="87"/>
      <c r="C175" s="87"/>
      <c r="D175" s="87"/>
      <c r="E175" s="87"/>
      <c r="F175" s="87"/>
      <c r="G175" s="87"/>
      <c r="H175" s="146"/>
      <c r="I175" s="87"/>
      <c r="J175" s="86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</row>
    <row r="176" ht="19.5" customHeight="1">
      <c r="A176" s="13">
        <v>172.0</v>
      </c>
      <c r="B176" s="87"/>
      <c r="C176" s="87"/>
      <c r="D176" s="87"/>
      <c r="E176" s="87"/>
      <c r="F176" s="87"/>
      <c r="G176" s="87"/>
      <c r="H176" s="146"/>
      <c r="I176" s="87"/>
      <c r="J176" s="86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</row>
    <row r="177" ht="19.5" customHeight="1">
      <c r="A177" s="13">
        <v>173.0</v>
      </c>
      <c r="B177" s="87"/>
      <c r="C177" s="87"/>
      <c r="D177" s="87"/>
      <c r="E177" s="87"/>
      <c r="F177" s="87"/>
      <c r="G177" s="87"/>
      <c r="H177" s="146"/>
      <c r="I177" s="87"/>
      <c r="J177" s="86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</row>
    <row r="178" ht="19.5" customHeight="1">
      <c r="A178" s="13">
        <v>174.0</v>
      </c>
      <c r="B178" s="87"/>
      <c r="C178" s="87"/>
      <c r="D178" s="87"/>
      <c r="E178" s="87"/>
      <c r="F178" s="87"/>
      <c r="G178" s="87"/>
      <c r="H178" s="146"/>
      <c r="I178" s="87"/>
      <c r="J178" s="86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</row>
    <row r="179" ht="18.75" customHeight="1">
      <c r="A179" s="56" t="s">
        <v>40</v>
      </c>
      <c r="B179" s="87"/>
      <c r="C179" s="87"/>
      <c r="D179" s="87"/>
      <c r="E179" s="87"/>
      <c r="F179" s="87"/>
      <c r="G179" s="87"/>
      <c r="H179" s="146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</row>
    <row r="180" ht="18.75" customHeight="1">
      <c r="A180" s="85" t="s">
        <v>41</v>
      </c>
      <c r="B180" s="87"/>
      <c r="C180" s="87"/>
      <c r="D180" s="87"/>
      <c r="E180" s="87"/>
      <c r="F180" s="87"/>
      <c r="G180" s="87"/>
      <c r="H180" s="146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</row>
    <row r="181" ht="18.75" customHeight="1">
      <c r="A181" s="85" t="s">
        <v>43</v>
      </c>
      <c r="B181" s="87"/>
      <c r="C181" s="87"/>
      <c r="D181" s="87"/>
      <c r="E181" s="87"/>
      <c r="F181" s="87"/>
      <c r="G181" s="87"/>
      <c r="H181" s="146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</row>
    <row r="182" ht="18.75" customHeight="1">
      <c r="A182" s="85" t="s">
        <v>45</v>
      </c>
      <c r="B182" s="87"/>
      <c r="C182" s="87"/>
      <c r="D182" s="87"/>
      <c r="E182" s="87"/>
      <c r="F182" s="87"/>
      <c r="G182" s="87"/>
      <c r="H182" s="146"/>
      <c r="I182" s="87"/>
      <c r="J182" s="86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</row>
    <row r="183" ht="18.75" customHeight="1">
      <c r="A183" s="85" t="s">
        <v>81</v>
      </c>
      <c r="B183" s="87"/>
      <c r="C183" s="87"/>
      <c r="D183" s="87"/>
      <c r="E183" s="87"/>
      <c r="F183" s="87"/>
      <c r="G183" s="87"/>
      <c r="H183" s="146"/>
      <c r="I183" s="87"/>
      <c r="J183" s="86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</row>
    <row r="184" ht="18.75" customHeight="1">
      <c r="A184" s="87"/>
      <c r="B184" s="87"/>
      <c r="C184" s="87"/>
      <c r="D184" s="87"/>
      <c r="E184" s="87"/>
      <c r="F184" s="87"/>
      <c r="G184" s="87"/>
      <c r="H184" s="146"/>
      <c r="I184" s="87"/>
      <c r="J184" s="86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</row>
    <row r="185" ht="18.75" customHeight="1">
      <c r="A185" s="83" t="s">
        <v>76</v>
      </c>
      <c r="B185" s="87"/>
      <c r="C185" s="87"/>
      <c r="D185" s="87"/>
      <c r="E185" s="87"/>
      <c r="F185" s="87"/>
      <c r="G185" s="87"/>
      <c r="H185" s="146"/>
      <c r="I185" s="87"/>
      <c r="J185" s="86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</row>
    <row r="186" ht="18.75" customHeight="1">
      <c r="A186" s="87"/>
      <c r="B186" s="87"/>
      <c r="C186" s="87"/>
      <c r="D186" s="87"/>
      <c r="E186" s="87"/>
      <c r="F186" s="87"/>
      <c r="G186" s="87"/>
      <c r="H186" s="146"/>
      <c r="I186" s="87"/>
      <c r="J186" s="86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</row>
    <row r="187" ht="18.75" customHeight="1">
      <c r="A187" s="87"/>
      <c r="B187" s="87"/>
      <c r="C187" s="87"/>
      <c r="D187" s="87"/>
      <c r="E187" s="87"/>
      <c r="F187" s="87"/>
      <c r="G187" s="87"/>
      <c r="H187" s="146"/>
      <c r="I187" s="87"/>
      <c r="J187" s="86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</row>
    <row r="188" ht="18.75" customHeight="1">
      <c r="A188" s="87"/>
      <c r="B188" s="87"/>
      <c r="C188" s="87"/>
      <c r="D188" s="87"/>
      <c r="E188" s="87"/>
      <c r="F188" s="87"/>
      <c r="G188" s="87"/>
      <c r="H188" s="146"/>
      <c r="I188" s="87"/>
      <c r="J188" s="86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</row>
    <row r="189" ht="18.75" customHeight="1">
      <c r="A189" s="87"/>
      <c r="B189" s="87"/>
      <c r="C189" s="87"/>
      <c r="D189" s="87"/>
      <c r="E189" s="87"/>
      <c r="F189" s="87"/>
      <c r="G189" s="87"/>
      <c r="H189" s="146"/>
      <c r="I189" s="87"/>
      <c r="J189" s="86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</row>
    <row r="190" ht="18.75" customHeight="1">
      <c r="A190" s="87"/>
      <c r="B190" s="87"/>
      <c r="C190" s="87"/>
      <c r="D190" s="87"/>
      <c r="E190" s="87"/>
      <c r="F190" s="87"/>
      <c r="G190" s="87"/>
      <c r="H190" s="146"/>
      <c r="I190" s="87"/>
      <c r="J190" s="86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</row>
    <row r="191" ht="18.75" customHeight="1">
      <c r="A191" s="87"/>
      <c r="B191" s="87"/>
      <c r="C191" s="87"/>
      <c r="D191" s="87"/>
      <c r="E191" s="87"/>
      <c r="F191" s="87"/>
      <c r="G191" s="87"/>
      <c r="H191" s="146"/>
      <c r="I191" s="87"/>
      <c r="J191" s="86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</row>
    <row r="192" ht="18.75" customHeight="1">
      <c r="A192" s="87"/>
      <c r="B192" s="87"/>
      <c r="C192" s="87"/>
      <c r="D192" s="87"/>
      <c r="E192" s="87"/>
      <c r="F192" s="87"/>
      <c r="G192" s="87"/>
      <c r="H192" s="146"/>
      <c r="I192" s="87"/>
      <c r="J192" s="86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</row>
    <row r="193" ht="18.75" customHeight="1">
      <c r="A193" s="87"/>
      <c r="B193" s="87"/>
      <c r="C193" s="87"/>
      <c r="D193" s="87"/>
      <c r="E193" s="87"/>
      <c r="F193" s="87"/>
      <c r="G193" s="87"/>
      <c r="H193" s="146"/>
      <c r="I193" s="87"/>
      <c r="J193" s="86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</row>
    <row r="194" ht="18.75" customHeight="1">
      <c r="A194" s="87"/>
      <c r="B194" s="87"/>
      <c r="C194" s="87"/>
      <c r="D194" s="87"/>
      <c r="E194" s="87"/>
      <c r="F194" s="87"/>
      <c r="G194" s="87"/>
      <c r="H194" s="146"/>
      <c r="I194" s="87"/>
      <c r="J194" s="86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</row>
    <row r="195" ht="18.75" customHeight="1">
      <c r="A195" s="87"/>
      <c r="B195" s="87"/>
      <c r="C195" s="87"/>
      <c r="D195" s="87"/>
      <c r="E195" s="87"/>
      <c r="F195" s="87"/>
      <c r="G195" s="87"/>
      <c r="H195" s="146"/>
      <c r="I195" s="87"/>
      <c r="J195" s="86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</row>
    <row r="196" ht="18.75" customHeight="1">
      <c r="A196" s="87"/>
      <c r="B196" s="87"/>
      <c r="C196" s="87"/>
      <c r="D196" s="87"/>
      <c r="E196" s="87"/>
      <c r="F196" s="87"/>
      <c r="G196" s="87"/>
      <c r="H196" s="146"/>
      <c r="I196" s="87"/>
      <c r="J196" s="86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</row>
    <row r="197" ht="18.75" customHeight="1">
      <c r="A197" s="87"/>
      <c r="B197" s="87"/>
      <c r="C197" s="87"/>
      <c r="D197" s="87"/>
      <c r="E197" s="87"/>
      <c r="F197" s="87"/>
      <c r="G197" s="87"/>
      <c r="H197" s="146"/>
      <c r="I197" s="87"/>
      <c r="J197" s="86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</row>
    <row r="198" ht="18.75" customHeight="1">
      <c r="A198" s="87"/>
      <c r="B198" s="87"/>
      <c r="C198" s="87"/>
      <c r="D198" s="87"/>
      <c r="E198" s="87"/>
      <c r="F198" s="87"/>
      <c r="G198" s="87"/>
      <c r="H198" s="146"/>
      <c r="I198" s="87"/>
      <c r="J198" s="86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</row>
    <row r="199" ht="18.75" customHeight="1">
      <c r="A199" s="87"/>
      <c r="B199" s="87"/>
      <c r="C199" s="87"/>
      <c r="D199" s="87"/>
      <c r="E199" s="87"/>
      <c r="F199" s="87"/>
      <c r="G199" s="87"/>
      <c r="H199" s="146"/>
      <c r="I199" s="87"/>
      <c r="J199" s="86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</row>
    <row r="200" ht="18.75" customHeight="1">
      <c r="A200" s="87"/>
      <c r="B200" s="87"/>
      <c r="C200" s="87"/>
      <c r="D200" s="87"/>
      <c r="E200" s="87"/>
      <c r="F200" s="87"/>
      <c r="G200" s="87"/>
      <c r="H200" s="146"/>
      <c r="I200" s="87"/>
      <c r="J200" s="86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</row>
    <row r="201" ht="18.75" customHeight="1">
      <c r="A201" s="87"/>
      <c r="B201" s="87"/>
      <c r="C201" s="87"/>
      <c r="D201" s="87"/>
      <c r="E201" s="87"/>
      <c r="F201" s="87"/>
      <c r="G201" s="87"/>
      <c r="H201" s="146"/>
      <c r="I201" s="87"/>
      <c r="J201" s="86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</row>
    <row r="202" ht="18.75" customHeight="1">
      <c r="A202" s="87"/>
      <c r="B202" s="87"/>
      <c r="C202" s="87"/>
      <c r="D202" s="87"/>
      <c r="E202" s="87"/>
      <c r="F202" s="87"/>
      <c r="G202" s="87"/>
      <c r="H202" s="146"/>
      <c r="I202" s="87"/>
      <c r="J202" s="86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</row>
    <row r="203" ht="18.75" customHeight="1">
      <c r="A203" s="87"/>
      <c r="B203" s="87"/>
      <c r="C203" s="87"/>
      <c r="D203" s="87"/>
      <c r="E203" s="87"/>
      <c r="F203" s="87"/>
      <c r="G203" s="87"/>
      <c r="H203" s="146"/>
      <c r="I203" s="87"/>
      <c r="J203" s="86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</row>
    <row r="204" ht="18.75" customHeight="1">
      <c r="A204" s="87"/>
      <c r="B204" s="87"/>
      <c r="C204" s="87"/>
      <c r="D204" s="87"/>
      <c r="E204" s="87"/>
      <c r="F204" s="87"/>
      <c r="G204" s="87"/>
      <c r="H204" s="146"/>
      <c r="I204" s="87"/>
      <c r="J204" s="86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</row>
    <row r="205" ht="18.75" customHeight="1">
      <c r="A205" s="87"/>
      <c r="B205" s="87"/>
      <c r="C205" s="87"/>
      <c r="D205" s="87"/>
      <c r="E205" s="87"/>
      <c r="F205" s="87"/>
      <c r="G205" s="87"/>
      <c r="H205" s="146"/>
      <c r="I205" s="87"/>
      <c r="J205" s="86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</row>
    <row r="206" ht="18.75" customHeight="1">
      <c r="A206" s="87"/>
      <c r="B206" s="87"/>
      <c r="C206" s="87"/>
      <c r="D206" s="87"/>
      <c r="E206" s="87"/>
      <c r="F206" s="87"/>
      <c r="G206" s="87"/>
      <c r="H206" s="146"/>
      <c r="I206" s="87"/>
      <c r="J206" s="86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</row>
    <row r="207" ht="18.75" customHeight="1">
      <c r="A207" s="87"/>
      <c r="B207" s="87"/>
      <c r="C207" s="87"/>
      <c r="D207" s="87"/>
      <c r="E207" s="87"/>
      <c r="F207" s="87"/>
      <c r="G207" s="87"/>
      <c r="H207" s="146"/>
      <c r="I207" s="87"/>
      <c r="J207" s="86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</row>
    <row r="208" ht="18.75" customHeight="1">
      <c r="A208" s="87"/>
      <c r="B208" s="87"/>
      <c r="C208" s="87"/>
      <c r="D208" s="87"/>
      <c r="E208" s="87"/>
      <c r="F208" s="87"/>
      <c r="G208" s="87"/>
      <c r="H208" s="146"/>
      <c r="I208" s="87"/>
      <c r="J208" s="86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</row>
    <row r="209" ht="18.75" customHeight="1">
      <c r="A209" s="87"/>
      <c r="B209" s="87"/>
      <c r="C209" s="87"/>
      <c r="D209" s="87"/>
      <c r="E209" s="87"/>
      <c r="F209" s="87"/>
      <c r="G209" s="87"/>
      <c r="H209" s="146"/>
      <c r="I209" s="87"/>
      <c r="J209" s="86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</row>
    <row r="210" ht="18.75" customHeight="1">
      <c r="A210" s="87"/>
      <c r="B210" s="87"/>
      <c r="C210" s="87"/>
      <c r="D210" s="87"/>
      <c r="E210" s="87"/>
      <c r="F210" s="87"/>
      <c r="G210" s="87"/>
      <c r="H210" s="146"/>
      <c r="I210" s="87"/>
      <c r="J210" s="86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</row>
    <row r="211" ht="18.75" customHeight="1">
      <c r="A211" s="87"/>
      <c r="B211" s="87"/>
      <c r="C211" s="87"/>
      <c r="D211" s="87"/>
      <c r="E211" s="87"/>
      <c r="F211" s="87"/>
      <c r="G211" s="87"/>
      <c r="H211" s="146"/>
      <c r="I211" s="87"/>
      <c r="J211" s="86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</row>
    <row r="212" ht="18.75" customHeight="1">
      <c r="A212" s="87"/>
      <c r="B212" s="87"/>
      <c r="C212" s="87"/>
      <c r="D212" s="87"/>
      <c r="E212" s="87"/>
      <c r="F212" s="87"/>
      <c r="G212" s="87"/>
      <c r="H212" s="146"/>
      <c r="I212" s="87"/>
      <c r="J212" s="86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</row>
    <row r="213" ht="18.75" customHeight="1">
      <c r="A213" s="87"/>
      <c r="B213" s="87"/>
      <c r="C213" s="87"/>
      <c r="D213" s="87"/>
      <c r="E213" s="87"/>
      <c r="F213" s="87"/>
      <c r="G213" s="87"/>
      <c r="H213" s="146"/>
      <c r="I213" s="87"/>
      <c r="J213" s="86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</row>
    <row r="214" ht="18.75" customHeight="1">
      <c r="A214" s="87"/>
      <c r="B214" s="87"/>
      <c r="C214" s="87"/>
      <c r="D214" s="87"/>
      <c r="E214" s="87"/>
      <c r="F214" s="87"/>
      <c r="G214" s="87"/>
      <c r="H214" s="146"/>
      <c r="I214" s="87"/>
      <c r="J214" s="86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</row>
    <row r="215" ht="18.75" customHeight="1">
      <c r="A215" s="87"/>
      <c r="B215" s="87"/>
      <c r="C215" s="87"/>
      <c r="D215" s="87"/>
      <c r="E215" s="87"/>
      <c r="F215" s="87"/>
      <c r="G215" s="87"/>
      <c r="H215" s="146"/>
      <c r="I215" s="87"/>
      <c r="J215" s="86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</row>
    <row r="216" ht="18.75" customHeight="1">
      <c r="A216" s="87"/>
      <c r="B216" s="87"/>
      <c r="C216" s="87"/>
      <c r="D216" s="87"/>
      <c r="E216" s="87"/>
      <c r="F216" s="87"/>
      <c r="G216" s="87"/>
      <c r="H216" s="146"/>
      <c r="I216" s="87"/>
      <c r="J216" s="86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</row>
    <row r="217" ht="18.75" customHeight="1">
      <c r="A217" s="87"/>
      <c r="B217" s="87"/>
      <c r="C217" s="87"/>
      <c r="D217" s="87"/>
      <c r="E217" s="87"/>
      <c r="F217" s="87"/>
      <c r="G217" s="87"/>
      <c r="H217" s="146"/>
      <c r="I217" s="87"/>
      <c r="J217" s="86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</row>
    <row r="218" ht="18.75" customHeight="1">
      <c r="A218" s="87"/>
      <c r="B218" s="87"/>
      <c r="C218" s="87"/>
      <c r="D218" s="87"/>
      <c r="E218" s="87"/>
      <c r="F218" s="87"/>
      <c r="G218" s="87"/>
      <c r="H218" s="146"/>
      <c r="I218" s="87"/>
      <c r="J218" s="86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</row>
    <row r="219" ht="18.75" customHeight="1">
      <c r="A219" s="87"/>
      <c r="B219" s="87"/>
      <c r="C219" s="87"/>
      <c r="D219" s="87"/>
      <c r="E219" s="87"/>
      <c r="F219" s="87"/>
      <c r="G219" s="87"/>
      <c r="H219" s="146"/>
      <c r="I219" s="87"/>
      <c r="J219" s="86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</row>
    <row r="220" ht="18.75" customHeight="1">
      <c r="A220" s="87"/>
      <c r="B220" s="87"/>
      <c r="C220" s="87"/>
      <c r="D220" s="87"/>
      <c r="E220" s="87"/>
      <c r="F220" s="87"/>
      <c r="G220" s="87"/>
      <c r="H220" s="146"/>
      <c r="I220" s="87"/>
      <c r="J220" s="86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</row>
    <row r="221" ht="18.75" customHeight="1">
      <c r="A221" s="87"/>
      <c r="B221" s="87"/>
      <c r="C221" s="87"/>
      <c r="D221" s="87"/>
      <c r="E221" s="87"/>
      <c r="F221" s="87"/>
      <c r="G221" s="87"/>
      <c r="H221" s="146"/>
      <c r="I221" s="87"/>
      <c r="J221" s="86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</row>
    <row r="222" ht="18.75" customHeight="1">
      <c r="A222" s="87"/>
      <c r="B222" s="87"/>
      <c r="C222" s="87"/>
      <c r="D222" s="87"/>
      <c r="E222" s="87"/>
      <c r="F222" s="87"/>
      <c r="G222" s="87"/>
      <c r="H222" s="146"/>
      <c r="I222" s="87"/>
      <c r="J222" s="86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</row>
    <row r="223" ht="18.75" customHeight="1">
      <c r="A223" s="87"/>
      <c r="B223" s="87"/>
      <c r="C223" s="87"/>
      <c r="D223" s="87"/>
      <c r="E223" s="87"/>
      <c r="F223" s="87"/>
      <c r="G223" s="87"/>
      <c r="H223" s="146"/>
      <c r="I223" s="87"/>
      <c r="J223" s="86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</row>
    <row r="224" ht="18.75" customHeight="1">
      <c r="A224" s="87"/>
      <c r="B224" s="87"/>
      <c r="C224" s="87"/>
      <c r="D224" s="87"/>
      <c r="E224" s="87"/>
      <c r="F224" s="87"/>
      <c r="G224" s="87"/>
      <c r="H224" s="146"/>
      <c r="I224" s="87"/>
      <c r="J224" s="86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</row>
    <row r="225" ht="18.75" customHeight="1">
      <c r="A225" s="87"/>
      <c r="B225" s="87"/>
      <c r="C225" s="87"/>
      <c r="D225" s="87"/>
      <c r="E225" s="87"/>
      <c r="F225" s="87"/>
      <c r="G225" s="87"/>
      <c r="H225" s="146"/>
      <c r="I225" s="87"/>
      <c r="J225" s="86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</row>
    <row r="226" ht="18.75" customHeight="1">
      <c r="A226" s="87"/>
      <c r="B226" s="87"/>
      <c r="C226" s="87"/>
      <c r="D226" s="87"/>
      <c r="E226" s="87"/>
      <c r="F226" s="87"/>
      <c r="G226" s="87"/>
      <c r="H226" s="146"/>
      <c r="I226" s="87"/>
      <c r="J226" s="86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</row>
    <row r="227" ht="18.75" customHeight="1">
      <c r="A227" s="87"/>
      <c r="B227" s="87"/>
      <c r="C227" s="87"/>
      <c r="D227" s="87"/>
      <c r="E227" s="87"/>
      <c r="F227" s="87"/>
      <c r="G227" s="87"/>
      <c r="H227" s="146"/>
      <c r="I227" s="87"/>
      <c r="J227" s="86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</row>
    <row r="228" ht="18.75" customHeight="1">
      <c r="A228" s="87"/>
      <c r="B228" s="87"/>
      <c r="C228" s="87"/>
      <c r="D228" s="87"/>
      <c r="E228" s="87"/>
      <c r="F228" s="87"/>
      <c r="G228" s="87"/>
      <c r="H228" s="146"/>
      <c r="I228" s="87"/>
      <c r="J228" s="86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</row>
    <row r="229" ht="18.75" customHeight="1">
      <c r="A229" s="87"/>
      <c r="B229" s="87"/>
      <c r="C229" s="87"/>
      <c r="D229" s="87"/>
      <c r="E229" s="87"/>
      <c r="F229" s="87"/>
      <c r="G229" s="87"/>
      <c r="H229" s="146"/>
      <c r="I229" s="87"/>
      <c r="J229" s="86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</row>
    <row r="230" ht="18.75" customHeight="1">
      <c r="A230" s="87"/>
      <c r="B230" s="87"/>
      <c r="C230" s="87"/>
      <c r="D230" s="87"/>
      <c r="E230" s="87"/>
      <c r="F230" s="87"/>
      <c r="G230" s="87"/>
      <c r="H230" s="146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</row>
    <row r="231" ht="18.75" customHeight="1">
      <c r="A231" s="87"/>
      <c r="B231" s="87"/>
      <c r="C231" s="87"/>
      <c r="D231" s="87"/>
      <c r="E231" s="87"/>
      <c r="F231" s="87"/>
      <c r="G231" s="87"/>
      <c r="H231" s="146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</row>
    <row r="232" ht="18.75" customHeight="1">
      <c r="A232" s="87"/>
      <c r="B232" s="87"/>
      <c r="C232" s="87"/>
      <c r="D232" s="87"/>
      <c r="E232" s="87"/>
      <c r="F232" s="87"/>
      <c r="G232" s="87"/>
      <c r="H232" s="146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</row>
    <row r="233" ht="18.75" customHeight="1">
      <c r="A233" s="87"/>
      <c r="B233" s="87"/>
      <c r="C233" s="87"/>
      <c r="D233" s="87"/>
      <c r="E233" s="87"/>
      <c r="F233" s="87"/>
      <c r="G233" s="87"/>
      <c r="H233" s="146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</row>
    <row r="234" ht="18.75" customHeight="1">
      <c r="A234" s="87"/>
      <c r="B234" s="87"/>
      <c r="C234" s="87"/>
      <c r="D234" s="87"/>
      <c r="E234" s="87"/>
      <c r="F234" s="87"/>
      <c r="G234" s="87"/>
      <c r="H234" s="146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</row>
    <row r="235" ht="18.75" customHeight="1">
      <c r="A235" s="87"/>
      <c r="B235" s="87"/>
      <c r="C235" s="87"/>
      <c r="D235" s="87"/>
      <c r="E235" s="87"/>
      <c r="F235" s="87"/>
      <c r="G235" s="87"/>
      <c r="H235" s="146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</row>
    <row r="236" ht="18.75" customHeight="1">
      <c r="A236" s="87"/>
      <c r="B236" s="87"/>
      <c r="C236" s="87"/>
      <c r="D236" s="87"/>
      <c r="E236" s="87"/>
      <c r="F236" s="87"/>
      <c r="G236" s="87"/>
      <c r="H236" s="146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</row>
    <row r="237" ht="18.75" customHeight="1">
      <c r="A237" s="87"/>
      <c r="B237" s="87"/>
      <c r="C237" s="87"/>
      <c r="D237" s="87"/>
      <c r="E237" s="87"/>
      <c r="F237" s="87"/>
      <c r="G237" s="87"/>
      <c r="H237" s="146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</row>
    <row r="238" ht="18.75" customHeight="1">
      <c r="A238" s="87"/>
      <c r="B238" s="87"/>
      <c r="C238" s="87"/>
      <c r="D238" s="87"/>
      <c r="E238" s="87"/>
      <c r="F238" s="87"/>
      <c r="G238" s="87"/>
      <c r="H238" s="146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</row>
    <row r="239" ht="18.75" customHeight="1">
      <c r="A239" s="87"/>
      <c r="B239" s="87"/>
      <c r="C239" s="87"/>
      <c r="D239" s="87"/>
      <c r="E239" s="87"/>
      <c r="F239" s="87"/>
      <c r="G239" s="87"/>
      <c r="H239" s="146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</row>
    <row r="240" ht="18.75" customHeight="1">
      <c r="A240" s="87"/>
      <c r="B240" s="87"/>
      <c r="C240" s="87"/>
      <c r="D240" s="87"/>
      <c r="E240" s="87"/>
      <c r="F240" s="87"/>
      <c r="G240" s="87"/>
      <c r="H240" s="146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</row>
    <row r="241" ht="18.75" customHeight="1">
      <c r="A241" s="87"/>
      <c r="B241" s="87"/>
      <c r="C241" s="87"/>
      <c r="D241" s="87"/>
      <c r="E241" s="87"/>
      <c r="F241" s="87"/>
      <c r="G241" s="87"/>
      <c r="H241" s="146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</row>
    <row r="242" ht="18.75" customHeight="1">
      <c r="A242" s="87"/>
      <c r="B242" s="87"/>
      <c r="C242" s="87"/>
      <c r="D242" s="87"/>
      <c r="E242" s="87"/>
      <c r="F242" s="87"/>
      <c r="G242" s="87"/>
      <c r="H242" s="146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</row>
    <row r="243" ht="18.75" customHeight="1">
      <c r="A243" s="87"/>
      <c r="B243" s="87"/>
      <c r="C243" s="87"/>
      <c r="D243" s="87"/>
      <c r="E243" s="87"/>
      <c r="F243" s="87"/>
      <c r="G243" s="87"/>
      <c r="H243" s="146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</row>
    <row r="244" ht="18.75" customHeight="1">
      <c r="A244" s="87"/>
      <c r="B244" s="87"/>
      <c r="C244" s="87"/>
      <c r="D244" s="87"/>
      <c r="E244" s="87"/>
      <c r="F244" s="87"/>
      <c r="G244" s="87"/>
      <c r="H244" s="146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</row>
    <row r="245" ht="18.75" customHeight="1">
      <c r="A245" s="87"/>
      <c r="B245" s="87"/>
      <c r="C245" s="87"/>
      <c r="D245" s="87"/>
      <c r="E245" s="87"/>
      <c r="F245" s="87"/>
      <c r="G245" s="87"/>
      <c r="H245" s="146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</row>
    <row r="246" ht="18.75" customHeight="1">
      <c r="A246" s="87"/>
      <c r="B246" s="87"/>
      <c r="C246" s="87"/>
      <c r="D246" s="87"/>
      <c r="E246" s="87"/>
      <c r="F246" s="87"/>
      <c r="G246" s="87"/>
      <c r="H246" s="146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</row>
    <row r="247" ht="18.75" customHeight="1">
      <c r="A247" s="87"/>
      <c r="B247" s="87"/>
      <c r="C247" s="87"/>
      <c r="D247" s="87"/>
      <c r="E247" s="87"/>
      <c r="F247" s="87"/>
      <c r="G247" s="87"/>
      <c r="H247" s="146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</row>
    <row r="248" ht="18.75" customHeight="1">
      <c r="A248" s="87"/>
      <c r="B248" s="87"/>
      <c r="C248" s="87"/>
      <c r="D248" s="87"/>
      <c r="E248" s="87"/>
      <c r="F248" s="87"/>
      <c r="G248" s="87"/>
      <c r="H248" s="146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</row>
    <row r="249" ht="18.75" customHeight="1">
      <c r="A249" s="87"/>
      <c r="B249" s="87"/>
      <c r="C249" s="87"/>
      <c r="D249" s="87"/>
      <c r="E249" s="87"/>
      <c r="F249" s="87"/>
      <c r="G249" s="87"/>
      <c r="H249" s="146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</row>
    <row r="250" ht="18.75" customHeight="1">
      <c r="A250" s="87"/>
      <c r="B250" s="87"/>
      <c r="C250" s="87"/>
      <c r="D250" s="87"/>
      <c r="E250" s="87"/>
      <c r="F250" s="87"/>
      <c r="G250" s="87"/>
      <c r="H250" s="146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</row>
    <row r="251" ht="18.75" customHeight="1">
      <c r="A251" s="87"/>
      <c r="B251" s="87"/>
      <c r="C251" s="87"/>
      <c r="D251" s="87"/>
      <c r="E251" s="87"/>
      <c r="F251" s="87"/>
      <c r="G251" s="87"/>
      <c r="H251" s="146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</row>
    <row r="252" ht="18.75" customHeight="1">
      <c r="A252" s="87"/>
      <c r="B252" s="87"/>
      <c r="C252" s="87"/>
      <c r="D252" s="87"/>
      <c r="E252" s="87"/>
      <c r="F252" s="87"/>
      <c r="G252" s="87"/>
      <c r="H252" s="146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</row>
    <row r="253" ht="18.75" customHeight="1">
      <c r="A253" s="87"/>
      <c r="B253" s="87"/>
      <c r="C253" s="87"/>
      <c r="D253" s="87"/>
      <c r="E253" s="87"/>
      <c r="F253" s="87"/>
      <c r="G253" s="87"/>
      <c r="H253" s="146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</row>
    <row r="254" ht="18.75" customHeight="1">
      <c r="A254" s="87"/>
      <c r="B254" s="87"/>
      <c r="C254" s="87"/>
      <c r="D254" s="87"/>
      <c r="E254" s="87"/>
      <c r="F254" s="87"/>
      <c r="G254" s="87"/>
      <c r="H254" s="146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</row>
    <row r="255" ht="18.75" customHeight="1">
      <c r="A255" s="87"/>
      <c r="B255" s="87"/>
      <c r="C255" s="87"/>
      <c r="D255" s="87"/>
      <c r="E255" s="87"/>
      <c r="F255" s="87"/>
      <c r="G255" s="87"/>
      <c r="H255" s="146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</row>
    <row r="256" ht="18.75" customHeight="1">
      <c r="A256" s="87"/>
      <c r="B256" s="87"/>
      <c r="C256" s="87"/>
      <c r="D256" s="87"/>
      <c r="E256" s="87"/>
      <c r="F256" s="87"/>
      <c r="G256" s="87"/>
      <c r="H256" s="146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</row>
    <row r="257" ht="18.75" customHeight="1">
      <c r="A257" s="87"/>
      <c r="B257" s="87"/>
      <c r="C257" s="87"/>
      <c r="D257" s="87"/>
      <c r="E257" s="87"/>
      <c r="F257" s="87"/>
      <c r="G257" s="87"/>
      <c r="H257" s="146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</row>
    <row r="258" ht="18.75" customHeight="1">
      <c r="A258" s="87"/>
      <c r="B258" s="87"/>
      <c r="C258" s="87"/>
      <c r="D258" s="87"/>
      <c r="E258" s="87"/>
      <c r="F258" s="87"/>
      <c r="G258" s="87"/>
      <c r="H258" s="146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</row>
    <row r="259" ht="18.75" customHeight="1">
      <c r="A259" s="87"/>
      <c r="B259" s="87"/>
      <c r="C259" s="87"/>
      <c r="D259" s="87"/>
      <c r="E259" s="87"/>
      <c r="F259" s="87"/>
      <c r="G259" s="87"/>
      <c r="H259" s="146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</row>
    <row r="260" ht="18.75" customHeight="1">
      <c r="A260" s="87"/>
      <c r="B260" s="87"/>
      <c r="C260" s="87"/>
      <c r="D260" s="87"/>
      <c r="E260" s="87"/>
      <c r="F260" s="87"/>
      <c r="G260" s="87"/>
      <c r="H260" s="146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</row>
    <row r="261" ht="18.75" customHeight="1">
      <c r="A261" s="87"/>
      <c r="B261" s="87"/>
      <c r="C261" s="87"/>
      <c r="D261" s="87"/>
      <c r="E261" s="87"/>
      <c r="F261" s="87"/>
      <c r="G261" s="87"/>
      <c r="H261" s="146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</row>
    <row r="262" ht="18.75" customHeight="1">
      <c r="A262" s="87"/>
      <c r="B262" s="87"/>
      <c r="C262" s="87"/>
      <c r="D262" s="87"/>
      <c r="E262" s="87"/>
      <c r="F262" s="87"/>
      <c r="G262" s="87"/>
      <c r="H262" s="146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</row>
    <row r="263" ht="18.75" customHeight="1">
      <c r="A263" s="87"/>
      <c r="B263" s="87"/>
      <c r="C263" s="87"/>
      <c r="D263" s="87"/>
      <c r="E263" s="87"/>
      <c r="F263" s="87"/>
      <c r="G263" s="87"/>
      <c r="H263" s="146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</row>
    <row r="264" ht="18.75" customHeight="1">
      <c r="A264" s="87"/>
      <c r="B264" s="87"/>
      <c r="C264" s="87"/>
      <c r="D264" s="87"/>
      <c r="E264" s="87"/>
      <c r="F264" s="87"/>
      <c r="G264" s="87"/>
      <c r="H264" s="146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</row>
    <row r="265" ht="18.75" customHeight="1">
      <c r="A265" s="87"/>
      <c r="B265" s="87"/>
      <c r="C265" s="87"/>
      <c r="D265" s="87"/>
      <c r="E265" s="87"/>
      <c r="F265" s="87"/>
      <c r="G265" s="87"/>
      <c r="H265" s="146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</row>
    <row r="266" ht="18.75" customHeight="1">
      <c r="A266" s="87"/>
      <c r="B266" s="87"/>
      <c r="C266" s="87"/>
      <c r="D266" s="87"/>
      <c r="E266" s="87"/>
      <c r="F266" s="87"/>
      <c r="G266" s="87"/>
      <c r="H266" s="146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</row>
    <row r="267" ht="18.75" customHeight="1">
      <c r="A267" s="87"/>
      <c r="B267" s="87"/>
      <c r="C267" s="87"/>
      <c r="D267" s="87"/>
      <c r="E267" s="87"/>
      <c r="F267" s="87"/>
      <c r="G267" s="87"/>
      <c r="H267" s="146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</row>
    <row r="268" ht="18.75" customHeight="1">
      <c r="A268" s="87"/>
      <c r="B268" s="87"/>
      <c r="C268" s="87"/>
      <c r="D268" s="87"/>
      <c r="E268" s="87"/>
      <c r="F268" s="87"/>
      <c r="G268" s="87"/>
      <c r="H268" s="146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</row>
    <row r="269" ht="18.75" customHeight="1">
      <c r="A269" s="87"/>
      <c r="B269" s="87"/>
      <c r="C269" s="87"/>
      <c r="D269" s="87"/>
      <c r="E269" s="87"/>
      <c r="F269" s="87"/>
      <c r="G269" s="87"/>
      <c r="H269" s="146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</row>
    <row r="270" ht="18.75" customHeight="1">
      <c r="A270" s="87"/>
      <c r="B270" s="87"/>
      <c r="C270" s="87"/>
      <c r="D270" s="87"/>
      <c r="E270" s="87"/>
      <c r="F270" s="87"/>
      <c r="G270" s="87"/>
      <c r="H270" s="146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</row>
    <row r="271" ht="18.75" customHeight="1">
      <c r="A271" s="87"/>
      <c r="B271" s="87"/>
      <c r="C271" s="87"/>
      <c r="D271" s="87"/>
      <c r="E271" s="87"/>
      <c r="F271" s="87"/>
      <c r="G271" s="87"/>
      <c r="H271" s="146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</row>
    <row r="272" ht="18.75" customHeight="1">
      <c r="A272" s="87"/>
      <c r="B272" s="87"/>
      <c r="C272" s="87"/>
      <c r="D272" s="87"/>
      <c r="E272" s="87"/>
      <c r="F272" s="87"/>
      <c r="G272" s="87"/>
      <c r="H272" s="146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</row>
    <row r="273" ht="18.75" customHeight="1">
      <c r="A273" s="87"/>
      <c r="B273" s="87"/>
      <c r="C273" s="87"/>
      <c r="D273" s="87"/>
      <c r="E273" s="87"/>
      <c r="F273" s="87"/>
      <c r="G273" s="87"/>
      <c r="H273" s="146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</row>
    <row r="274" ht="18.75" customHeight="1">
      <c r="A274" s="87"/>
      <c r="B274" s="87"/>
      <c r="C274" s="87"/>
      <c r="D274" s="87"/>
      <c r="E274" s="87"/>
      <c r="F274" s="87"/>
      <c r="G274" s="87"/>
      <c r="H274" s="146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</row>
    <row r="275" ht="18.75" customHeight="1">
      <c r="A275" s="87"/>
      <c r="B275" s="87"/>
      <c r="C275" s="87"/>
      <c r="D275" s="87"/>
      <c r="E275" s="87"/>
      <c r="F275" s="87"/>
      <c r="G275" s="87"/>
      <c r="H275" s="146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</row>
    <row r="276" ht="18.75" customHeight="1">
      <c r="A276" s="87"/>
      <c r="B276" s="87"/>
      <c r="C276" s="87"/>
      <c r="D276" s="87"/>
      <c r="E276" s="87"/>
      <c r="F276" s="87"/>
      <c r="G276" s="87"/>
      <c r="H276" s="146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</row>
    <row r="277" ht="18.75" customHeight="1">
      <c r="A277" s="87"/>
      <c r="B277" s="87"/>
      <c r="C277" s="87"/>
      <c r="D277" s="87"/>
      <c r="E277" s="87"/>
      <c r="F277" s="87"/>
      <c r="G277" s="87"/>
      <c r="H277" s="146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</row>
    <row r="278" ht="18.75" customHeight="1">
      <c r="A278" s="87"/>
      <c r="B278" s="87"/>
      <c r="C278" s="87"/>
      <c r="D278" s="87"/>
      <c r="E278" s="87"/>
      <c r="F278" s="87"/>
      <c r="G278" s="87"/>
      <c r="H278" s="146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</row>
    <row r="279" ht="18.75" customHeight="1">
      <c r="A279" s="87"/>
      <c r="B279" s="87"/>
      <c r="C279" s="87"/>
      <c r="D279" s="87"/>
      <c r="E279" s="87"/>
      <c r="F279" s="87"/>
      <c r="G279" s="87"/>
      <c r="H279" s="146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</row>
    <row r="280" ht="18.75" customHeight="1">
      <c r="A280" s="87"/>
      <c r="B280" s="87"/>
      <c r="C280" s="87"/>
      <c r="D280" s="87"/>
      <c r="E280" s="87"/>
      <c r="F280" s="87"/>
      <c r="G280" s="87"/>
      <c r="H280" s="146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</row>
    <row r="281" ht="18.75" customHeight="1">
      <c r="A281" s="87"/>
      <c r="B281" s="87"/>
      <c r="C281" s="87"/>
      <c r="D281" s="87"/>
      <c r="E281" s="87"/>
      <c r="F281" s="87"/>
      <c r="G281" s="87"/>
      <c r="H281" s="146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</row>
    <row r="282" ht="18.75" customHeight="1">
      <c r="A282" s="87"/>
      <c r="B282" s="87"/>
      <c r="C282" s="87"/>
      <c r="D282" s="87"/>
      <c r="E282" s="87"/>
      <c r="F282" s="87"/>
      <c r="G282" s="87"/>
      <c r="H282" s="146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</row>
    <row r="283" ht="18.75" customHeight="1">
      <c r="A283" s="87"/>
      <c r="B283" s="87"/>
      <c r="C283" s="87"/>
      <c r="D283" s="87"/>
      <c r="E283" s="87"/>
      <c r="F283" s="87"/>
      <c r="G283" s="87"/>
      <c r="H283" s="146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</row>
    <row r="284" ht="18.75" customHeight="1">
      <c r="A284" s="87"/>
      <c r="B284" s="87"/>
      <c r="C284" s="87"/>
      <c r="D284" s="87"/>
      <c r="E284" s="87"/>
      <c r="F284" s="87"/>
      <c r="G284" s="87"/>
      <c r="H284" s="146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</row>
    <row r="285" ht="18.75" customHeight="1">
      <c r="A285" s="87"/>
      <c r="B285" s="87"/>
      <c r="C285" s="87"/>
      <c r="D285" s="87"/>
      <c r="E285" s="87"/>
      <c r="F285" s="87"/>
      <c r="G285" s="87"/>
      <c r="H285" s="146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</row>
    <row r="286" ht="18.75" customHeight="1">
      <c r="A286" s="87"/>
      <c r="B286" s="87"/>
      <c r="C286" s="87"/>
      <c r="D286" s="87"/>
      <c r="E286" s="87"/>
      <c r="F286" s="87"/>
      <c r="G286" s="87"/>
      <c r="H286" s="146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</row>
    <row r="287" ht="18.75" customHeight="1">
      <c r="A287" s="87"/>
      <c r="B287" s="87"/>
      <c r="C287" s="87"/>
      <c r="D287" s="87"/>
      <c r="E287" s="87"/>
      <c r="F287" s="87"/>
      <c r="G287" s="87"/>
      <c r="H287" s="146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</row>
    <row r="288" ht="18.75" customHeight="1">
      <c r="A288" s="87"/>
      <c r="B288" s="87"/>
      <c r="C288" s="87"/>
      <c r="D288" s="87"/>
      <c r="E288" s="87"/>
      <c r="F288" s="87"/>
      <c r="G288" s="87"/>
      <c r="H288" s="146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</row>
    <row r="289" ht="18.75" customHeight="1">
      <c r="A289" s="87"/>
      <c r="B289" s="87"/>
      <c r="C289" s="87"/>
      <c r="D289" s="87"/>
      <c r="E289" s="87"/>
      <c r="F289" s="87"/>
      <c r="G289" s="87"/>
      <c r="H289" s="146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</row>
    <row r="290" ht="18.75" customHeight="1">
      <c r="A290" s="87"/>
      <c r="B290" s="87"/>
      <c r="C290" s="87"/>
      <c r="D290" s="87"/>
      <c r="E290" s="87"/>
      <c r="F290" s="87"/>
      <c r="G290" s="87"/>
      <c r="H290" s="146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</row>
    <row r="291" ht="18.75" customHeight="1">
      <c r="A291" s="87"/>
      <c r="B291" s="87"/>
      <c r="C291" s="87"/>
      <c r="D291" s="87"/>
      <c r="E291" s="87"/>
      <c r="F291" s="87"/>
      <c r="G291" s="87"/>
      <c r="H291" s="146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</row>
    <row r="292" ht="18.75" customHeight="1">
      <c r="A292" s="87"/>
      <c r="B292" s="87"/>
      <c r="C292" s="87"/>
      <c r="D292" s="87"/>
      <c r="E292" s="87"/>
      <c r="F292" s="87"/>
      <c r="G292" s="87"/>
      <c r="H292" s="146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</row>
    <row r="293" ht="18.75" customHeight="1">
      <c r="A293" s="87"/>
      <c r="B293" s="87"/>
      <c r="C293" s="87"/>
      <c r="D293" s="87"/>
      <c r="E293" s="87"/>
      <c r="F293" s="87"/>
      <c r="G293" s="87"/>
      <c r="H293" s="146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</row>
    <row r="294" ht="18.75" customHeight="1">
      <c r="A294" s="87"/>
      <c r="B294" s="87"/>
      <c r="C294" s="87"/>
      <c r="D294" s="87"/>
      <c r="E294" s="87"/>
      <c r="F294" s="87"/>
      <c r="G294" s="87"/>
      <c r="H294" s="146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</row>
    <row r="295" ht="18.75" customHeight="1">
      <c r="A295" s="87"/>
      <c r="B295" s="87"/>
      <c r="C295" s="87"/>
      <c r="D295" s="87"/>
      <c r="E295" s="87"/>
      <c r="F295" s="87"/>
      <c r="G295" s="87"/>
      <c r="H295" s="146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</row>
    <row r="296" ht="18.75" customHeight="1">
      <c r="A296" s="87"/>
      <c r="B296" s="87"/>
      <c r="C296" s="87"/>
      <c r="D296" s="87"/>
      <c r="E296" s="87"/>
      <c r="F296" s="87"/>
      <c r="G296" s="87"/>
      <c r="H296" s="146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</row>
    <row r="297" ht="18.75" customHeight="1">
      <c r="A297" s="87"/>
      <c r="B297" s="87"/>
      <c r="C297" s="87"/>
      <c r="D297" s="87"/>
      <c r="E297" s="87"/>
      <c r="F297" s="87"/>
      <c r="G297" s="87"/>
      <c r="H297" s="146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</row>
    <row r="298" ht="18.75" customHeight="1">
      <c r="A298" s="87"/>
      <c r="B298" s="87"/>
      <c r="C298" s="87"/>
      <c r="D298" s="87"/>
      <c r="E298" s="87"/>
      <c r="F298" s="87"/>
      <c r="G298" s="87"/>
      <c r="H298" s="146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</row>
    <row r="299" ht="18.75" customHeight="1">
      <c r="A299" s="87"/>
      <c r="B299" s="87"/>
      <c r="C299" s="87"/>
      <c r="D299" s="87"/>
      <c r="E299" s="87"/>
      <c r="F299" s="87"/>
      <c r="G299" s="87"/>
      <c r="H299" s="146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</row>
    <row r="300" ht="18.75" customHeight="1">
      <c r="A300" s="87"/>
      <c r="B300" s="87"/>
      <c r="C300" s="87"/>
      <c r="D300" s="87"/>
      <c r="E300" s="87"/>
      <c r="F300" s="87"/>
      <c r="G300" s="87"/>
      <c r="H300" s="146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</row>
    <row r="301" ht="18.75" customHeight="1">
      <c r="A301" s="87"/>
      <c r="B301" s="87"/>
      <c r="C301" s="87"/>
      <c r="D301" s="87"/>
      <c r="E301" s="87"/>
      <c r="F301" s="87"/>
      <c r="G301" s="87"/>
      <c r="H301" s="146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</row>
    <row r="302" ht="18.75" customHeight="1">
      <c r="A302" s="87"/>
      <c r="B302" s="87"/>
      <c r="C302" s="87"/>
      <c r="D302" s="87"/>
      <c r="E302" s="87"/>
      <c r="F302" s="87"/>
      <c r="G302" s="87"/>
      <c r="H302" s="146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</row>
    <row r="303" ht="18.75" customHeight="1">
      <c r="A303" s="87"/>
      <c r="B303" s="87"/>
      <c r="C303" s="87"/>
      <c r="D303" s="87"/>
      <c r="E303" s="87"/>
      <c r="F303" s="87"/>
      <c r="G303" s="87"/>
      <c r="H303" s="146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</row>
    <row r="304" ht="18.75" customHeight="1">
      <c r="A304" s="87"/>
      <c r="B304" s="87"/>
      <c r="C304" s="87"/>
      <c r="D304" s="87"/>
      <c r="E304" s="87"/>
      <c r="F304" s="87"/>
      <c r="G304" s="87"/>
      <c r="H304" s="146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</row>
    <row r="305" ht="18.75" customHeight="1">
      <c r="A305" s="87"/>
      <c r="B305" s="87"/>
      <c r="C305" s="87"/>
      <c r="D305" s="87"/>
      <c r="E305" s="87"/>
      <c r="F305" s="87"/>
      <c r="G305" s="87"/>
      <c r="H305" s="146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</row>
    <row r="306" ht="18.75" customHeight="1">
      <c r="A306" s="87"/>
      <c r="B306" s="87"/>
      <c r="C306" s="87"/>
      <c r="D306" s="87"/>
      <c r="E306" s="87"/>
      <c r="F306" s="87"/>
      <c r="G306" s="87"/>
      <c r="H306" s="146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</row>
    <row r="307" ht="18.75" customHeight="1">
      <c r="A307" s="87"/>
      <c r="B307" s="87"/>
      <c r="C307" s="87"/>
      <c r="D307" s="87"/>
      <c r="E307" s="87"/>
      <c r="F307" s="87"/>
      <c r="G307" s="87"/>
      <c r="H307" s="146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</row>
    <row r="308" ht="18.75" customHeight="1">
      <c r="A308" s="87"/>
      <c r="B308" s="87"/>
      <c r="C308" s="87"/>
      <c r="D308" s="87"/>
      <c r="E308" s="87"/>
      <c r="F308" s="87"/>
      <c r="G308" s="87"/>
      <c r="H308" s="146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</row>
    <row r="309" ht="18.75" customHeight="1">
      <c r="A309" s="87"/>
      <c r="B309" s="87"/>
      <c r="C309" s="87"/>
      <c r="D309" s="87"/>
      <c r="E309" s="87"/>
      <c r="F309" s="87"/>
      <c r="G309" s="87"/>
      <c r="H309" s="146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</row>
    <row r="310" ht="18.75" customHeight="1">
      <c r="A310" s="87"/>
      <c r="B310" s="87"/>
      <c r="C310" s="87"/>
      <c r="D310" s="87"/>
      <c r="E310" s="87"/>
      <c r="F310" s="87"/>
      <c r="G310" s="87"/>
      <c r="H310" s="146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</row>
    <row r="311" ht="18.75" customHeight="1">
      <c r="A311" s="87"/>
      <c r="B311" s="87"/>
      <c r="C311" s="87"/>
      <c r="D311" s="87"/>
      <c r="E311" s="87"/>
      <c r="F311" s="87"/>
      <c r="G311" s="87"/>
      <c r="H311" s="146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</row>
    <row r="312" ht="18.75" customHeight="1">
      <c r="A312" s="87"/>
      <c r="B312" s="87"/>
      <c r="C312" s="87"/>
      <c r="D312" s="87"/>
      <c r="E312" s="87"/>
      <c r="F312" s="87"/>
      <c r="G312" s="87"/>
      <c r="H312" s="146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</row>
    <row r="313" ht="18.75" customHeight="1">
      <c r="A313" s="87"/>
      <c r="B313" s="87"/>
      <c r="C313" s="87"/>
      <c r="D313" s="87"/>
      <c r="E313" s="87"/>
      <c r="F313" s="87"/>
      <c r="G313" s="87"/>
      <c r="H313" s="146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</row>
    <row r="314" ht="18.75" customHeight="1">
      <c r="A314" s="87"/>
      <c r="B314" s="87"/>
      <c r="C314" s="87"/>
      <c r="D314" s="87"/>
      <c r="E314" s="87"/>
      <c r="F314" s="87"/>
      <c r="G314" s="87"/>
      <c r="H314" s="146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</row>
    <row r="315" ht="18.75" customHeight="1">
      <c r="A315" s="87"/>
      <c r="B315" s="87"/>
      <c r="C315" s="87"/>
      <c r="D315" s="87"/>
      <c r="E315" s="87"/>
      <c r="F315" s="87"/>
      <c r="G315" s="87"/>
      <c r="H315" s="146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</row>
    <row r="316" ht="18.75" customHeight="1">
      <c r="A316" s="87"/>
      <c r="B316" s="87"/>
      <c r="C316" s="87"/>
      <c r="D316" s="87"/>
      <c r="E316" s="87"/>
      <c r="F316" s="87"/>
      <c r="G316" s="87"/>
      <c r="H316" s="146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</row>
    <row r="317" ht="18.75" customHeight="1">
      <c r="A317" s="87"/>
      <c r="B317" s="87"/>
      <c r="C317" s="87"/>
      <c r="D317" s="87"/>
      <c r="E317" s="87"/>
      <c r="F317" s="87"/>
      <c r="G317" s="87"/>
      <c r="H317" s="146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</row>
    <row r="318" ht="18.75" customHeight="1">
      <c r="A318" s="87"/>
      <c r="B318" s="87"/>
      <c r="C318" s="87"/>
      <c r="D318" s="87"/>
      <c r="E318" s="87"/>
      <c r="F318" s="87"/>
      <c r="G318" s="87"/>
      <c r="H318" s="146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</row>
    <row r="319" ht="18.75" customHeight="1">
      <c r="A319" s="87"/>
      <c r="B319" s="87"/>
      <c r="C319" s="87"/>
      <c r="D319" s="87"/>
      <c r="E319" s="87"/>
      <c r="F319" s="87"/>
      <c r="G319" s="87"/>
      <c r="H319" s="146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</row>
    <row r="320" ht="18.75" customHeight="1">
      <c r="A320" s="87"/>
      <c r="B320" s="87"/>
      <c r="C320" s="87"/>
      <c r="D320" s="87"/>
      <c r="E320" s="87"/>
      <c r="F320" s="87"/>
      <c r="G320" s="87"/>
      <c r="H320" s="146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</row>
    <row r="321" ht="18.75" customHeight="1">
      <c r="A321" s="87"/>
      <c r="B321" s="87"/>
      <c r="C321" s="87"/>
      <c r="D321" s="87"/>
      <c r="E321" s="87"/>
      <c r="F321" s="87"/>
      <c r="G321" s="87"/>
      <c r="H321" s="146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</row>
    <row r="322" ht="18.75" customHeight="1">
      <c r="A322" s="87"/>
      <c r="B322" s="87"/>
      <c r="C322" s="87"/>
      <c r="D322" s="87"/>
      <c r="E322" s="87"/>
      <c r="F322" s="87"/>
      <c r="G322" s="87"/>
      <c r="H322" s="146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</row>
    <row r="323" ht="18.75" customHeight="1">
      <c r="A323" s="87"/>
      <c r="B323" s="87"/>
      <c r="C323" s="87"/>
      <c r="D323" s="87"/>
      <c r="E323" s="87"/>
      <c r="F323" s="87"/>
      <c r="G323" s="87"/>
      <c r="H323" s="146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</row>
    <row r="324" ht="18.75" customHeight="1">
      <c r="A324" s="87"/>
      <c r="B324" s="87"/>
      <c r="C324" s="87"/>
      <c r="D324" s="87"/>
      <c r="E324" s="87"/>
      <c r="F324" s="87"/>
      <c r="G324" s="87"/>
      <c r="H324" s="146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</row>
    <row r="325" ht="18.75" customHeight="1">
      <c r="A325" s="87"/>
      <c r="B325" s="87"/>
      <c r="C325" s="87"/>
      <c r="D325" s="87"/>
      <c r="E325" s="87"/>
      <c r="F325" s="87"/>
      <c r="G325" s="87"/>
      <c r="H325" s="146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</row>
    <row r="326" ht="18.75" customHeight="1">
      <c r="A326" s="87"/>
      <c r="B326" s="87"/>
      <c r="C326" s="87"/>
      <c r="D326" s="87"/>
      <c r="E326" s="87"/>
      <c r="F326" s="87"/>
      <c r="G326" s="87"/>
      <c r="H326" s="146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</row>
    <row r="327" ht="18.75" customHeight="1">
      <c r="A327" s="87"/>
      <c r="B327" s="87"/>
      <c r="C327" s="87"/>
      <c r="D327" s="87"/>
      <c r="E327" s="87"/>
      <c r="F327" s="87"/>
      <c r="G327" s="87"/>
      <c r="H327" s="146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</row>
    <row r="328" ht="18.75" customHeight="1">
      <c r="A328" s="87"/>
      <c r="B328" s="87"/>
      <c r="C328" s="87"/>
      <c r="D328" s="87"/>
      <c r="E328" s="87"/>
      <c r="F328" s="87"/>
      <c r="G328" s="87"/>
      <c r="H328" s="146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</row>
    <row r="329" ht="18.75" customHeight="1">
      <c r="A329" s="87"/>
      <c r="B329" s="87"/>
      <c r="C329" s="87"/>
      <c r="D329" s="87"/>
      <c r="E329" s="87"/>
      <c r="F329" s="87"/>
      <c r="G329" s="87"/>
      <c r="H329" s="146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</row>
    <row r="330" ht="18.75" customHeight="1">
      <c r="A330" s="87"/>
      <c r="B330" s="87"/>
      <c r="C330" s="87"/>
      <c r="D330" s="87"/>
      <c r="E330" s="87"/>
      <c r="F330" s="87"/>
      <c r="G330" s="87"/>
      <c r="H330" s="146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</row>
    <row r="331" ht="18.75" customHeight="1">
      <c r="A331" s="87"/>
      <c r="B331" s="87"/>
      <c r="C331" s="87"/>
      <c r="D331" s="87"/>
      <c r="E331" s="87"/>
      <c r="F331" s="87"/>
      <c r="G331" s="87"/>
      <c r="H331" s="146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</row>
    <row r="332" ht="18.75" customHeight="1">
      <c r="A332" s="87"/>
      <c r="B332" s="87"/>
      <c r="C332" s="87"/>
      <c r="D332" s="87"/>
      <c r="E332" s="87"/>
      <c r="F332" s="87"/>
      <c r="G332" s="87"/>
      <c r="H332" s="146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</row>
    <row r="333" ht="18.75" customHeight="1">
      <c r="A333" s="87"/>
      <c r="B333" s="87"/>
      <c r="C333" s="87"/>
      <c r="D333" s="87"/>
      <c r="E333" s="87"/>
      <c r="F333" s="87"/>
      <c r="G333" s="87"/>
      <c r="H333" s="146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</row>
    <row r="334" ht="18.75" customHeight="1">
      <c r="A334" s="87"/>
      <c r="B334" s="87"/>
      <c r="C334" s="87"/>
      <c r="D334" s="87"/>
      <c r="E334" s="87"/>
      <c r="F334" s="87"/>
      <c r="G334" s="87"/>
      <c r="H334" s="146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</row>
    <row r="335" ht="18.75" customHeight="1">
      <c r="A335" s="87"/>
      <c r="B335" s="87"/>
      <c r="C335" s="87"/>
      <c r="D335" s="87"/>
      <c r="E335" s="87"/>
      <c r="F335" s="87"/>
      <c r="G335" s="87"/>
      <c r="H335" s="146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</row>
    <row r="336" ht="18.75" customHeight="1">
      <c r="A336" s="87"/>
      <c r="B336" s="87"/>
      <c r="C336" s="87"/>
      <c r="D336" s="87"/>
      <c r="E336" s="87"/>
      <c r="F336" s="87"/>
      <c r="G336" s="87"/>
      <c r="H336" s="146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</row>
    <row r="337" ht="18.75" customHeight="1">
      <c r="A337" s="87"/>
      <c r="B337" s="87"/>
      <c r="C337" s="87"/>
      <c r="D337" s="87"/>
      <c r="E337" s="87"/>
      <c r="F337" s="87"/>
      <c r="G337" s="87"/>
      <c r="H337" s="146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</row>
    <row r="338" ht="18.75" customHeight="1">
      <c r="A338" s="87"/>
      <c r="B338" s="87"/>
      <c r="C338" s="87"/>
      <c r="D338" s="87"/>
      <c r="E338" s="87"/>
      <c r="F338" s="87"/>
      <c r="G338" s="87"/>
      <c r="H338" s="146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</row>
    <row r="339" ht="18.75" customHeight="1">
      <c r="A339" s="87"/>
      <c r="B339" s="87"/>
      <c r="C339" s="87"/>
      <c r="D339" s="87"/>
      <c r="E339" s="87"/>
      <c r="F339" s="87"/>
      <c r="G339" s="87"/>
      <c r="H339" s="146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</row>
    <row r="340" ht="18.75" customHeight="1">
      <c r="A340" s="87"/>
      <c r="B340" s="87"/>
      <c r="C340" s="87"/>
      <c r="D340" s="87"/>
      <c r="E340" s="87"/>
      <c r="F340" s="87"/>
      <c r="G340" s="87"/>
      <c r="H340" s="146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</row>
    <row r="341" ht="18.75" customHeight="1">
      <c r="A341" s="87"/>
      <c r="B341" s="87"/>
      <c r="C341" s="87"/>
      <c r="D341" s="87"/>
      <c r="E341" s="87"/>
      <c r="F341" s="87"/>
      <c r="G341" s="87"/>
      <c r="H341" s="146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</row>
    <row r="342" ht="18.75" customHeight="1">
      <c r="A342" s="87"/>
      <c r="B342" s="87"/>
      <c r="C342" s="87"/>
      <c r="D342" s="87"/>
      <c r="E342" s="87"/>
      <c r="F342" s="87"/>
      <c r="G342" s="87"/>
      <c r="H342" s="146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</row>
    <row r="343" ht="18.75" customHeight="1">
      <c r="A343" s="87"/>
      <c r="B343" s="87"/>
      <c r="C343" s="87"/>
      <c r="D343" s="87"/>
      <c r="E343" s="87"/>
      <c r="F343" s="87"/>
      <c r="G343" s="87"/>
      <c r="H343" s="146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</row>
    <row r="344" ht="18.75" customHeight="1">
      <c r="A344" s="87"/>
      <c r="B344" s="87"/>
      <c r="C344" s="87"/>
      <c r="D344" s="87"/>
      <c r="E344" s="87"/>
      <c r="F344" s="87"/>
      <c r="G344" s="87"/>
      <c r="H344" s="146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</row>
    <row r="345" ht="18.75" customHeight="1">
      <c r="A345" s="87"/>
      <c r="B345" s="87"/>
      <c r="C345" s="87"/>
      <c r="D345" s="87"/>
      <c r="E345" s="87"/>
      <c r="F345" s="87"/>
      <c r="G345" s="87"/>
      <c r="H345" s="146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</row>
    <row r="346" ht="18.75" customHeight="1">
      <c r="A346" s="87"/>
      <c r="B346" s="87"/>
      <c r="C346" s="87"/>
      <c r="D346" s="87"/>
      <c r="E346" s="87"/>
      <c r="F346" s="87"/>
      <c r="G346" s="87"/>
      <c r="H346" s="146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</row>
    <row r="347" ht="18.75" customHeight="1">
      <c r="A347" s="87"/>
      <c r="B347" s="87"/>
      <c r="C347" s="87"/>
      <c r="D347" s="87"/>
      <c r="E347" s="87"/>
      <c r="F347" s="87"/>
      <c r="G347" s="87"/>
      <c r="H347" s="146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</row>
    <row r="348" ht="18.75" customHeight="1">
      <c r="A348" s="87"/>
      <c r="B348" s="87"/>
      <c r="C348" s="87"/>
      <c r="D348" s="87"/>
      <c r="E348" s="87"/>
      <c r="F348" s="87"/>
      <c r="G348" s="87"/>
      <c r="H348" s="146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</row>
    <row r="349" ht="18.75" customHeight="1">
      <c r="A349" s="87"/>
      <c r="B349" s="87"/>
      <c r="C349" s="87"/>
      <c r="D349" s="87"/>
      <c r="E349" s="87"/>
      <c r="F349" s="87"/>
      <c r="G349" s="87"/>
      <c r="H349" s="146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</row>
    <row r="350" ht="18.75" customHeight="1">
      <c r="A350" s="87"/>
      <c r="B350" s="87"/>
      <c r="C350" s="87"/>
      <c r="D350" s="87"/>
      <c r="E350" s="87"/>
      <c r="F350" s="87"/>
      <c r="G350" s="87"/>
      <c r="H350" s="146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</row>
    <row r="351" ht="18.75" customHeight="1">
      <c r="A351" s="87"/>
      <c r="B351" s="87"/>
      <c r="C351" s="87"/>
      <c r="D351" s="87"/>
      <c r="E351" s="87"/>
      <c r="F351" s="87"/>
      <c r="G351" s="87"/>
      <c r="H351" s="146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</row>
    <row r="352" ht="18.75" customHeight="1">
      <c r="A352" s="87"/>
      <c r="B352" s="87"/>
      <c r="C352" s="87"/>
      <c r="D352" s="87"/>
      <c r="E352" s="87"/>
      <c r="F352" s="87"/>
      <c r="G352" s="87"/>
      <c r="H352" s="146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</row>
    <row r="353" ht="18.75" customHeight="1">
      <c r="A353" s="87"/>
      <c r="B353" s="87"/>
      <c r="C353" s="87"/>
      <c r="D353" s="87"/>
      <c r="E353" s="87"/>
      <c r="F353" s="87"/>
      <c r="G353" s="87"/>
      <c r="H353" s="146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</row>
    <row r="354" ht="18.75" customHeight="1">
      <c r="A354" s="87"/>
      <c r="B354" s="87"/>
      <c r="C354" s="87"/>
      <c r="D354" s="87"/>
      <c r="E354" s="87"/>
      <c r="F354" s="87"/>
      <c r="G354" s="87"/>
      <c r="H354" s="146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</row>
    <row r="355" ht="18.75" customHeight="1">
      <c r="A355" s="87"/>
      <c r="B355" s="87"/>
      <c r="C355" s="87"/>
      <c r="D355" s="87"/>
      <c r="E355" s="87"/>
      <c r="F355" s="87"/>
      <c r="G355" s="87"/>
      <c r="H355" s="146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</row>
    <row r="356" ht="18.75" customHeight="1">
      <c r="A356" s="87"/>
      <c r="B356" s="87"/>
      <c r="C356" s="87"/>
      <c r="D356" s="87"/>
      <c r="E356" s="87"/>
      <c r="F356" s="87"/>
      <c r="G356" s="87"/>
      <c r="H356" s="146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</row>
    <row r="357" ht="18.75" customHeight="1">
      <c r="A357" s="87"/>
      <c r="B357" s="87"/>
      <c r="C357" s="87"/>
      <c r="D357" s="87"/>
      <c r="E357" s="87"/>
      <c r="F357" s="87"/>
      <c r="G357" s="87"/>
      <c r="H357" s="146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</row>
    <row r="358" ht="18.75" customHeight="1">
      <c r="A358" s="87"/>
      <c r="B358" s="87"/>
      <c r="C358" s="87"/>
      <c r="D358" s="87"/>
      <c r="E358" s="87"/>
      <c r="F358" s="87"/>
      <c r="G358" s="87"/>
      <c r="H358" s="146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</row>
    <row r="359" ht="18.75" customHeight="1">
      <c r="A359" s="87"/>
      <c r="B359" s="87"/>
      <c r="C359" s="87"/>
      <c r="D359" s="87"/>
      <c r="E359" s="87"/>
      <c r="F359" s="87"/>
      <c r="G359" s="87"/>
      <c r="H359" s="146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</row>
    <row r="360" ht="18.75" customHeight="1">
      <c r="A360" s="87"/>
      <c r="B360" s="87"/>
      <c r="C360" s="87"/>
      <c r="D360" s="87"/>
      <c r="E360" s="87"/>
      <c r="F360" s="87"/>
      <c r="G360" s="87"/>
      <c r="H360" s="146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</row>
    <row r="361" ht="18.75" customHeight="1">
      <c r="A361" s="87"/>
      <c r="B361" s="87"/>
      <c r="C361" s="87"/>
      <c r="D361" s="87"/>
      <c r="E361" s="87"/>
      <c r="F361" s="87"/>
      <c r="G361" s="87"/>
      <c r="H361" s="146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</row>
    <row r="362" ht="18.75" customHeight="1">
      <c r="A362" s="87"/>
      <c r="B362" s="87"/>
      <c r="C362" s="87"/>
      <c r="D362" s="87"/>
      <c r="E362" s="87"/>
      <c r="F362" s="87"/>
      <c r="G362" s="87"/>
      <c r="H362" s="146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</row>
    <row r="363" ht="18.75" customHeight="1">
      <c r="A363" s="87"/>
      <c r="B363" s="87"/>
      <c r="C363" s="87"/>
      <c r="D363" s="87"/>
      <c r="E363" s="87"/>
      <c r="F363" s="87"/>
      <c r="G363" s="87"/>
      <c r="H363" s="146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</row>
    <row r="364" ht="18.75" customHeight="1">
      <c r="A364" s="87"/>
      <c r="B364" s="87"/>
      <c r="C364" s="87"/>
      <c r="D364" s="87"/>
      <c r="E364" s="87"/>
      <c r="F364" s="87"/>
      <c r="G364" s="87"/>
      <c r="H364" s="146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</row>
    <row r="365" ht="18.75" customHeight="1">
      <c r="A365" s="87"/>
      <c r="B365" s="87"/>
      <c r="C365" s="87"/>
      <c r="D365" s="87"/>
      <c r="E365" s="87"/>
      <c r="F365" s="87"/>
      <c r="G365" s="87"/>
      <c r="H365" s="146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</row>
    <row r="366" ht="18.75" customHeight="1">
      <c r="A366" s="87"/>
      <c r="B366" s="87"/>
      <c r="C366" s="87"/>
      <c r="D366" s="87"/>
      <c r="E366" s="87"/>
      <c r="F366" s="87"/>
      <c r="G366" s="87"/>
      <c r="H366" s="146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</row>
    <row r="367" ht="18.75" customHeight="1">
      <c r="A367" s="87"/>
      <c r="B367" s="87"/>
      <c r="C367" s="87"/>
      <c r="D367" s="87"/>
      <c r="E367" s="87"/>
      <c r="F367" s="87"/>
      <c r="G367" s="87"/>
      <c r="H367" s="146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</row>
    <row r="368" ht="18.75" customHeight="1">
      <c r="A368" s="87"/>
      <c r="B368" s="87"/>
      <c r="C368" s="87"/>
      <c r="D368" s="87"/>
      <c r="E368" s="87"/>
      <c r="F368" s="87"/>
      <c r="G368" s="87"/>
      <c r="H368" s="146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</row>
    <row r="369" ht="18.75" customHeight="1">
      <c r="A369" s="87"/>
      <c r="B369" s="87"/>
      <c r="C369" s="87"/>
      <c r="D369" s="87"/>
      <c r="E369" s="87"/>
      <c r="F369" s="87"/>
      <c r="G369" s="87"/>
      <c r="H369" s="146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</row>
    <row r="370" ht="18.75" customHeight="1">
      <c r="A370" s="87"/>
      <c r="B370" s="87"/>
      <c r="C370" s="87"/>
      <c r="D370" s="87"/>
      <c r="E370" s="87"/>
      <c r="F370" s="87"/>
      <c r="G370" s="87"/>
      <c r="H370" s="146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</row>
    <row r="371" ht="18.75" customHeight="1">
      <c r="A371" s="87"/>
      <c r="B371" s="87"/>
      <c r="C371" s="87"/>
      <c r="D371" s="87"/>
      <c r="E371" s="87"/>
      <c r="F371" s="87"/>
      <c r="G371" s="87"/>
      <c r="H371" s="146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</row>
    <row r="372" ht="18.75" customHeight="1">
      <c r="A372" s="87"/>
      <c r="B372" s="87"/>
      <c r="C372" s="87"/>
      <c r="D372" s="87"/>
      <c r="E372" s="87"/>
      <c r="F372" s="87"/>
      <c r="G372" s="87"/>
      <c r="H372" s="146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</row>
    <row r="373" ht="18.75" customHeight="1">
      <c r="A373" s="87"/>
      <c r="B373" s="87"/>
      <c r="C373" s="87"/>
      <c r="D373" s="87"/>
      <c r="E373" s="87"/>
      <c r="F373" s="87"/>
      <c r="G373" s="87"/>
      <c r="H373" s="146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</row>
    <row r="374" ht="18.75" customHeight="1">
      <c r="A374" s="87"/>
      <c r="B374" s="87"/>
      <c r="C374" s="87"/>
      <c r="D374" s="87"/>
      <c r="E374" s="87"/>
      <c r="F374" s="87"/>
      <c r="G374" s="87"/>
      <c r="H374" s="146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</row>
    <row r="375" ht="18.75" customHeight="1">
      <c r="A375" s="87"/>
      <c r="B375" s="87"/>
      <c r="C375" s="87"/>
      <c r="D375" s="87"/>
      <c r="E375" s="87"/>
      <c r="F375" s="87"/>
      <c r="G375" s="87"/>
      <c r="H375" s="146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</row>
    <row r="376" ht="18.75" customHeight="1">
      <c r="A376" s="87"/>
      <c r="B376" s="87"/>
      <c r="C376" s="87"/>
      <c r="D376" s="87"/>
      <c r="E376" s="87"/>
      <c r="F376" s="87"/>
      <c r="G376" s="87"/>
      <c r="H376" s="146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</row>
    <row r="377" ht="18.75" customHeight="1">
      <c r="A377" s="87"/>
      <c r="B377" s="87"/>
      <c r="C377" s="87"/>
      <c r="D377" s="87"/>
      <c r="E377" s="87"/>
      <c r="F377" s="87"/>
      <c r="G377" s="87"/>
      <c r="H377" s="146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</row>
    <row r="378" ht="18.75" customHeight="1">
      <c r="A378" s="87"/>
      <c r="B378" s="87"/>
      <c r="C378" s="87"/>
      <c r="D378" s="87"/>
      <c r="E378" s="87"/>
      <c r="F378" s="87"/>
      <c r="G378" s="87"/>
      <c r="H378" s="146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</row>
    <row r="379" ht="18.75" customHeight="1">
      <c r="A379" s="87"/>
      <c r="B379" s="87"/>
      <c r="C379" s="87"/>
      <c r="D379" s="87"/>
      <c r="E379" s="87"/>
      <c r="F379" s="87"/>
      <c r="G379" s="87"/>
      <c r="H379" s="146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</row>
    <row r="380" ht="18.75" customHeight="1">
      <c r="A380" s="87"/>
      <c r="B380" s="87"/>
      <c r="C380" s="87"/>
      <c r="D380" s="87"/>
      <c r="E380" s="87"/>
      <c r="F380" s="87"/>
      <c r="G380" s="87"/>
      <c r="H380" s="146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</row>
    <row r="381" ht="18.75" customHeight="1">
      <c r="A381" s="87"/>
      <c r="B381" s="87"/>
      <c r="C381" s="87"/>
      <c r="D381" s="87"/>
      <c r="E381" s="87"/>
      <c r="F381" s="87"/>
      <c r="G381" s="87"/>
      <c r="H381" s="146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</row>
    <row r="382" ht="18.75" customHeight="1">
      <c r="A382" s="87"/>
      <c r="B382" s="87"/>
      <c r="C382" s="87"/>
      <c r="D382" s="87"/>
      <c r="E382" s="87"/>
      <c r="F382" s="87"/>
      <c r="G382" s="87"/>
      <c r="H382" s="146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</row>
    <row r="383" ht="18.75" customHeight="1">
      <c r="A383" s="87"/>
      <c r="B383" s="87"/>
      <c r="C383" s="87"/>
      <c r="D383" s="87"/>
      <c r="E383" s="87"/>
      <c r="F383" s="87"/>
      <c r="G383" s="87"/>
      <c r="H383" s="146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</row>
    <row r="384" ht="18.75" customHeight="1">
      <c r="A384" s="87"/>
      <c r="B384" s="87"/>
      <c r="C384" s="87"/>
      <c r="D384" s="87"/>
      <c r="E384" s="87"/>
      <c r="F384" s="87"/>
      <c r="G384" s="87"/>
      <c r="H384" s="146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</row>
    <row r="385" ht="18.75" customHeight="1">
      <c r="A385" s="87"/>
      <c r="B385" s="87"/>
      <c r="C385" s="87"/>
      <c r="D385" s="87"/>
      <c r="E385" s="87"/>
      <c r="F385" s="87"/>
      <c r="G385" s="87"/>
      <c r="H385" s="146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</row>
    <row r="386" ht="18.75" customHeight="1">
      <c r="A386" s="87"/>
      <c r="B386" s="87"/>
      <c r="C386" s="87"/>
      <c r="D386" s="87"/>
      <c r="E386" s="87"/>
      <c r="F386" s="87"/>
      <c r="G386" s="87"/>
      <c r="H386" s="146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</row>
    <row r="387" ht="18.75" customHeight="1">
      <c r="A387" s="87"/>
      <c r="B387" s="87"/>
      <c r="C387" s="87"/>
      <c r="D387" s="87"/>
      <c r="E387" s="87"/>
      <c r="F387" s="87"/>
      <c r="G387" s="87"/>
      <c r="H387" s="146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</row>
    <row r="388" ht="18.75" customHeight="1">
      <c r="A388" s="87"/>
      <c r="B388" s="87"/>
      <c r="C388" s="87"/>
      <c r="D388" s="87"/>
      <c r="E388" s="87"/>
      <c r="F388" s="87"/>
      <c r="G388" s="87"/>
      <c r="H388" s="146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</row>
    <row r="389" ht="18.75" customHeight="1">
      <c r="A389" s="87"/>
      <c r="B389" s="87"/>
      <c r="C389" s="87"/>
      <c r="D389" s="87"/>
      <c r="E389" s="87"/>
      <c r="F389" s="87"/>
      <c r="G389" s="87"/>
      <c r="H389" s="146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</row>
    <row r="390" ht="18.75" customHeight="1">
      <c r="A390" s="87"/>
      <c r="B390" s="87"/>
      <c r="C390" s="87"/>
      <c r="D390" s="87"/>
      <c r="E390" s="87"/>
      <c r="F390" s="87"/>
      <c r="G390" s="87"/>
      <c r="H390" s="146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</row>
    <row r="391" ht="18.75" customHeight="1">
      <c r="A391" s="87"/>
      <c r="B391" s="87"/>
      <c r="C391" s="87"/>
      <c r="D391" s="87"/>
      <c r="E391" s="87"/>
      <c r="F391" s="87"/>
      <c r="G391" s="87"/>
      <c r="H391" s="146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</row>
    <row r="392" ht="18.75" customHeight="1">
      <c r="A392" s="87"/>
      <c r="B392" s="87"/>
      <c r="C392" s="87"/>
      <c r="D392" s="87"/>
      <c r="E392" s="87"/>
      <c r="F392" s="87"/>
      <c r="G392" s="87"/>
      <c r="H392" s="146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</row>
    <row r="393" ht="18.75" customHeight="1">
      <c r="A393" s="87"/>
      <c r="B393" s="87"/>
      <c r="C393" s="87"/>
      <c r="D393" s="87"/>
      <c r="E393" s="87"/>
      <c r="F393" s="87"/>
      <c r="G393" s="87"/>
      <c r="H393" s="146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</row>
    <row r="394" ht="18.75" customHeight="1">
      <c r="A394" s="87"/>
      <c r="B394" s="87"/>
      <c r="C394" s="87"/>
      <c r="D394" s="87"/>
      <c r="E394" s="87"/>
      <c r="F394" s="87"/>
      <c r="G394" s="87"/>
      <c r="H394" s="146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</row>
    <row r="395" ht="18.75" customHeight="1">
      <c r="A395" s="87"/>
      <c r="B395" s="87"/>
      <c r="C395" s="87"/>
      <c r="D395" s="87"/>
      <c r="E395" s="87"/>
      <c r="F395" s="87"/>
      <c r="G395" s="87"/>
      <c r="H395" s="146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</row>
    <row r="396" ht="18.75" customHeight="1">
      <c r="A396" s="87"/>
      <c r="B396" s="87"/>
      <c r="C396" s="87"/>
      <c r="D396" s="87"/>
      <c r="E396" s="87"/>
      <c r="F396" s="87"/>
      <c r="G396" s="87"/>
      <c r="H396" s="146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</row>
    <row r="397" ht="18.75" customHeight="1">
      <c r="A397" s="87"/>
      <c r="B397" s="87"/>
      <c r="C397" s="87"/>
      <c r="D397" s="87"/>
      <c r="E397" s="87"/>
      <c r="F397" s="87"/>
      <c r="G397" s="87"/>
      <c r="H397" s="146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</row>
    <row r="398" ht="18.75" customHeight="1">
      <c r="A398" s="87"/>
      <c r="B398" s="87"/>
      <c r="C398" s="87"/>
      <c r="D398" s="87"/>
      <c r="E398" s="87"/>
      <c r="F398" s="87"/>
      <c r="G398" s="87"/>
      <c r="H398" s="146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</row>
    <row r="399" ht="18.75" customHeight="1">
      <c r="A399" s="87"/>
      <c r="B399" s="87"/>
      <c r="C399" s="87"/>
      <c r="D399" s="87"/>
      <c r="E399" s="87"/>
      <c r="F399" s="87"/>
      <c r="G399" s="87"/>
      <c r="H399" s="146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</row>
    <row r="400" ht="18.75" customHeight="1">
      <c r="A400" s="87"/>
      <c r="B400" s="87"/>
      <c r="C400" s="87"/>
      <c r="D400" s="87"/>
      <c r="E400" s="87"/>
      <c r="F400" s="87"/>
      <c r="G400" s="87"/>
      <c r="H400" s="146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</row>
    <row r="401" ht="18.75" customHeight="1">
      <c r="A401" s="87"/>
      <c r="B401" s="87"/>
      <c r="C401" s="87"/>
      <c r="D401" s="87"/>
      <c r="E401" s="87"/>
      <c r="F401" s="87"/>
      <c r="G401" s="87"/>
      <c r="H401" s="146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</row>
    <row r="402" ht="18.75" customHeight="1">
      <c r="A402" s="87"/>
      <c r="B402" s="87"/>
      <c r="C402" s="87"/>
      <c r="D402" s="87"/>
      <c r="E402" s="87"/>
      <c r="F402" s="87"/>
      <c r="G402" s="87"/>
      <c r="H402" s="146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</row>
    <row r="403" ht="18.75" customHeight="1">
      <c r="A403" s="87"/>
      <c r="B403" s="87"/>
      <c r="C403" s="87"/>
      <c r="D403" s="87"/>
      <c r="E403" s="87"/>
      <c r="F403" s="87"/>
      <c r="G403" s="87"/>
      <c r="H403" s="146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</row>
    <row r="404" ht="18.75" customHeight="1">
      <c r="A404" s="87"/>
      <c r="B404" s="87"/>
      <c r="C404" s="87"/>
      <c r="D404" s="87"/>
      <c r="E404" s="87"/>
      <c r="F404" s="87"/>
      <c r="G404" s="87"/>
      <c r="H404" s="146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</row>
    <row r="405" ht="18.75" customHeight="1">
      <c r="A405" s="87"/>
      <c r="B405" s="87"/>
      <c r="C405" s="87"/>
      <c r="D405" s="87"/>
      <c r="E405" s="87"/>
      <c r="F405" s="87"/>
      <c r="G405" s="87"/>
      <c r="H405" s="146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</row>
    <row r="406" ht="18.75" customHeight="1">
      <c r="A406" s="87"/>
      <c r="B406" s="87"/>
      <c r="C406" s="87"/>
      <c r="D406" s="87"/>
      <c r="E406" s="87"/>
      <c r="F406" s="87"/>
      <c r="G406" s="87"/>
      <c r="H406" s="146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</row>
    <row r="407" ht="18.75" customHeight="1">
      <c r="A407" s="87"/>
      <c r="B407" s="87"/>
      <c r="C407" s="87"/>
      <c r="D407" s="87"/>
      <c r="E407" s="87"/>
      <c r="F407" s="87"/>
      <c r="G407" s="87"/>
      <c r="H407" s="146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</row>
    <row r="408" ht="18.75" customHeight="1">
      <c r="A408" s="87"/>
      <c r="B408" s="87"/>
      <c r="C408" s="87"/>
      <c r="D408" s="87"/>
      <c r="E408" s="87"/>
      <c r="F408" s="87"/>
      <c r="G408" s="87"/>
      <c r="H408" s="146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</row>
    <row r="409" ht="18.75" customHeight="1">
      <c r="A409" s="87"/>
      <c r="B409" s="87"/>
      <c r="C409" s="87"/>
      <c r="D409" s="87"/>
      <c r="E409" s="87"/>
      <c r="F409" s="87"/>
      <c r="G409" s="87"/>
      <c r="H409" s="146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</row>
    <row r="410" ht="18.75" customHeight="1">
      <c r="A410" s="87"/>
      <c r="B410" s="87"/>
      <c r="C410" s="87"/>
      <c r="D410" s="87"/>
      <c r="E410" s="87"/>
      <c r="F410" s="87"/>
      <c r="G410" s="87"/>
      <c r="H410" s="146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</row>
    <row r="411" ht="18.75" customHeight="1">
      <c r="A411" s="87"/>
      <c r="B411" s="87"/>
      <c r="C411" s="87"/>
      <c r="D411" s="87"/>
      <c r="E411" s="87"/>
      <c r="F411" s="87"/>
      <c r="G411" s="87"/>
      <c r="H411" s="146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</row>
    <row r="412" ht="18.75" customHeight="1">
      <c r="A412" s="87"/>
      <c r="B412" s="87"/>
      <c r="C412" s="87"/>
      <c r="D412" s="87"/>
      <c r="E412" s="87"/>
      <c r="F412" s="87"/>
      <c r="G412" s="87"/>
      <c r="H412" s="146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</row>
    <row r="413" ht="18.75" customHeight="1">
      <c r="A413" s="87"/>
      <c r="B413" s="87"/>
      <c r="C413" s="87"/>
      <c r="D413" s="87"/>
      <c r="E413" s="87"/>
      <c r="F413" s="87"/>
      <c r="G413" s="87"/>
      <c r="H413" s="146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</row>
    <row r="414" ht="18.75" customHeight="1">
      <c r="A414" s="87"/>
      <c r="B414" s="87"/>
      <c r="C414" s="87"/>
      <c r="D414" s="87"/>
      <c r="E414" s="87"/>
      <c r="F414" s="87"/>
      <c r="G414" s="87"/>
      <c r="H414" s="146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</row>
    <row r="415" ht="18.75" customHeight="1">
      <c r="A415" s="87"/>
      <c r="B415" s="87"/>
      <c r="C415" s="87"/>
      <c r="D415" s="87"/>
      <c r="E415" s="87"/>
      <c r="F415" s="87"/>
      <c r="G415" s="87"/>
      <c r="H415" s="146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</row>
    <row r="416" ht="18.75" customHeight="1">
      <c r="A416" s="87"/>
      <c r="B416" s="87"/>
      <c r="C416" s="87"/>
      <c r="D416" s="87"/>
      <c r="E416" s="87"/>
      <c r="F416" s="87"/>
      <c r="G416" s="87"/>
      <c r="H416" s="146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</row>
    <row r="417" ht="18.75" customHeight="1">
      <c r="A417" s="87"/>
      <c r="B417" s="87"/>
      <c r="C417" s="87"/>
      <c r="D417" s="87"/>
      <c r="E417" s="87"/>
      <c r="F417" s="87"/>
      <c r="G417" s="87"/>
      <c r="H417" s="146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</row>
    <row r="418" ht="18.75" customHeight="1">
      <c r="A418" s="87"/>
      <c r="B418" s="87"/>
      <c r="C418" s="87"/>
      <c r="D418" s="87"/>
      <c r="E418" s="87"/>
      <c r="F418" s="87"/>
      <c r="G418" s="87"/>
      <c r="H418" s="146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</row>
    <row r="419" ht="18.75" customHeight="1">
      <c r="A419" s="87"/>
      <c r="B419" s="87"/>
      <c r="C419" s="87"/>
      <c r="D419" s="87"/>
      <c r="E419" s="87"/>
      <c r="F419" s="87"/>
      <c r="G419" s="87"/>
      <c r="H419" s="146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</row>
    <row r="420" ht="18.75" customHeight="1">
      <c r="A420" s="87"/>
      <c r="B420" s="87"/>
      <c r="C420" s="87"/>
      <c r="D420" s="87"/>
      <c r="E420" s="87"/>
      <c r="F420" s="87"/>
      <c r="G420" s="87"/>
      <c r="H420" s="146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</row>
    <row r="421" ht="18.75" customHeight="1">
      <c r="A421" s="87"/>
      <c r="B421" s="87"/>
      <c r="C421" s="87"/>
      <c r="D421" s="87"/>
      <c r="E421" s="87"/>
      <c r="F421" s="87"/>
      <c r="G421" s="87"/>
      <c r="H421" s="146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</row>
    <row r="422" ht="18.75" customHeight="1">
      <c r="A422" s="87"/>
      <c r="B422" s="87"/>
      <c r="C422" s="87"/>
      <c r="D422" s="87"/>
      <c r="E422" s="87"/>
      <c r="F422" s="87"/>
      <c r="G422" s="87"/>
      <c r="H422" s="146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</row>
    <row r="423" ht="18.75" customHeight="1">
      <c r="A423" s="87"/>
      <c r="B423" s="87"/>
      <c r="C423" s="87"/>
      <c r="D423" s="87"/>
      <c r="E423" s="87"/>
      <c r="F423" s="87"/>
      <c r="G423" s="87"/>
      <c r="H423" s="146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</row>
    <row r="424" ht="18.75" customHeight="1">
      <c r="A424" s="87"/>
      <c r="B424" s="87"/>
      <c r="C424" s="87"/>
      <c r="D424" s="87"/>
      <c r="E424" s="87"/>
      <c r="F424" s="87"/>
      <c r="G424" s="87"/>
      <c r="H424" s="146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</row>
    <row r="425" ht="18.75" customHeight="1">
      <c r="A425" s="87"/>
      <c r="B425" s="87"/>
      <c r="C425" s="87"/>
      <c r="D425" s="87"/>
      <c r="E425" s="87"/>
      <c r="F425" s="87"/>
      <c r="G425" s="87"/>
      <c r="H425" s="146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</row>
    <row r="426" ht="18.75" customHeight="1">
      <c r="A426" s="87"/>
      <c r="B426" s="87"/>
      <c r="C426" s="87"/>
      <c r="D426" s="87"/>
      <c r="E426" s="87"/>
      <c r="F426" s="87"/>
      <c r="G426" s="87"/>
      <c r="H426" s="146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</row>
    <row r="427" ht="18.75" customHeight="1">
      <c r="A427" s="87"/>
      <c r="B427" s="87"/>
      <c r="C427" s="87"/>
      <c r="D427" s="87"/>
      <c r="E427" s="87"/>
      <c r="F427" s="87"/>
      <c r="G427" s="87"/>
      <c r="H427" s="146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</row>
    <row r="428" ht="18.75" customHeight="1">
      <c r="A428" s="87"/>
      <c r="B428" s="87"/>
      <c r="C428" s="87"/>
      <c r="D428" s="87"/>
      <c r="E428" s="87"/>
      <c r="F428" s="87"/>
      <c r="G428" s="87"/>
      <c r="H428" s="146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</row>
    <row r="429" ht="18.75" customHeight="1">
      <c r="A429" s="87"/>
      <c r="B429" s="87"/>
      <c r="C429" s="87"/>
      <c r="D429" s="87"/>
      <c r="E429" s="87"/>
      <c r="F429" s="87"/>
      <c r="G429" s="87"/>
      <c r="H429" s="146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</row>
    <row r="430" ht="18.75" customHeight="1">
      <c r="A430" s="87"/>
      <c r="B430" s="87"/>
      <c r="C430" s="87"/>
      <c r="D430" s="87"/>
      <c r="E430" s="87"/>
      <c r="F430" s="87"/>
      <c r="G430" s="87"/>
      <c r="H430" s="146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</row>
    <row r="431" ht="18.75" customHeight="1">
      <c r="A431" s="87"/>
      <c r="B431" s="87"/>
      <c r="C431" s="87"/>
      <c r="D431" s="87"/>
      <c r="E431" s="87"/>
      <c r="F431" s="87"/>
      <c r="G431" s="87"/>
      <c r="H431" s="146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</row>
    <row r="432" ht="18.75" customHeight="1">
      <c r="A432" s="87"/>
      <c r="B432" s="87"/>
      <c r="C432" s="87"/>
      <c r="D432" s="87"/>
      <c r="E432" s="87"/>
      <c r="F432" s="87"/>
      <c r="G432" s="87"/>
      <c r="H432" s="146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</row>
    <row r="433" ht="18.75" customHeight="1">
      <c r="A433" s="87"/>
      <c r="B433" s="87"/>
      <c r="C433" s="87"/>
      <c r="D433" s="87"/>
      <c r="E433" s="87"/>
      <c r="F433" s="87"/>
      <c r="G433" s="87"/>
      <c r="H433" s="146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</row>
    <row r="434" ht="18.75" customHeight="1">
      <c r="A434" s="87"/>
      <c r="B434" s="87"/>
      <c r="C434" s="87"/>
      <c r="D434" s="87"/>
      <c r="E434" s="87"/>
      <c r="F434" s="87"/>
      <c r="G434" s="87"/>
      <c r="H434" s="146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</row>
    <row r="435" ht="18.75" customHeight="1">
      <c r="A435" s="87"/>
      <c r="B435" s="87"/>
      <c r="C435" s="87"/>
      <c r="D435" s="87"/>
      <c r="E435" s="87"/>
      <c r="F435" s="87"/>
      <c r="G435" s="87"/>
      <c r="H435" s="146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</row>
    <row r="436" ht="18.75" customHeight="1">
      <c r="A436" s="87"/>
      <c r="B436" s="87"/>
      <c r="C436" s="87"/>
      <c r="D436" s="87"/>
      <c r="E436" s="87"/>
      <c r="F436" s="87"/>
      <c r="G436" s="87"/>
      <c r="H436" s="146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</row>
    <row r="437" ht="18.75" customHeight="1">
      <c r="A437" s="87"/>
      <c r="B437" s="87"/>
      <c r="C437" s="87"/>
      <c r="D437" s="87"/>
      <c r="E437" s="87"/>
      <c r="F437" s="87"/>
      <c r="G437" s="87"/>
      <c r="H437" s="146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</row>
    <row r="438" ht="18.75" customHeight="1">
      <c r="A438" s="87"/>
      <c r="B438" s="87"/>
      <c r="C438" s="87"/>
      <c r="D438" s="87"/>
      <c r="E438" s="87"/>
      <c r="F438" s="87"/>
      <c r="G438" s="87"/>
      <c r="H438" s="146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</row>
    <row r="439" ht="18.75" customHeight="1">
      <c r="A439" s="87"/>
      <c r="B439" s="87"/>
      <c r="C439" s="87"/>
      <c r="D439" s="87"/>
      <c r="E439" s="87"/>
      <c r="F439" s="87"/>
      <c r="G439" s="87"/>
      <c r="H439" s="146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</row>
    <row r="440" ht="18.75" customHeight="1">
      <c r="A440" s="87"/>
      <c r="B440" s="87"/>
      <c r="C440" s="87"/>
      <c r="D440" s="87"/>
      <c r="E440" s="87"/>
      <c r="F440" s="87"/>
      <c r="G440" s="87"/>
      <c r="H440" s="146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</row>
    <row r="441" ht="18.75" customHeight="1">
      <c r="A441" s="87"/>
      <c r="B441" s="87"/>
      <c r="C441" s="87"/>
      <c r="D441" s="87"/>
      <c r="E441" s="87"/>
      <c r="F441" s="87"/>
      <c r="G441" s="87"/>
      <c r="H441" s="146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</row>
    <row r="442" ht="18.75" customHeight="1">
      <c r="A442" s="87"/>
      <c r="B442" s="87"/>
      <c r="C442" s="87"/>
      <c r="D442" s="87"/>
      <c r="E442" s="87"/>
      <c r="F442" s="87"/>
      <c r="G442" s="87"/>
      <c r="H442" s="146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</row>
    <row r="443" ht="18.75" customHeight="1">
      <c r="A443" s="87"/>
      <c r="B443" s="87"/>
      <c r="C443" s="87"/>
      <c r="D443" s="87"/>
      <c r="E443" s="87"/>
      <c r="F443" s="87"/>
      <c r="G443" s="87"/>
      <c r="H443" s="146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</row>
    <row r="444" ht="18.75" customHeight="1">
      <c r="A444" s="87"/>
      <c r="B444" s="87"/>
      <c r="C444" s="87"/>
      <c r="D444" s="87"/>
      <c r="E444" s="87"/>
      <c r="F444" s="87"/>
      <c r="G444" s="87"/>
      <c r="H444" s="146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</row>
    <row r="445" ht="18.75" customHeight="1">
      <c r="A445" s="87"/>
      <c r="B445" s="87"/>
      <c r="C445" s="87"/>
      <c r="D445" s="87"/>
      <c r="E445" s="87"/>
      <c r="F445" s="87"/>
      <c r="G445" s="87"/>
      <c r="H445" s="146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</row>
    <row r="446" ht="18.75" customHeight="1">
      <c r="A446" s="87"/>
      <c r="B446" s="87"/>
      <c r="C446" s="87"/>
      <c r="D446" s="87"/>
      <c r="E446" s="87"/>
      <c r="F446" s="87"/>
      <c r="G446" s="87"/>
      <c r="H446" s="146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</row>
    <row r="447" ht="18.75" customHeight="1">
      <c r="A447" s="87"/>
      <c r="B447" s="87"/>
      <c r="C447" s="87"/>
      <c r="D447" s="87"/>
      <c r="E447" s="87"/>
      <c r="F447" s="87"/>
      <c r="G447" s="87"/>
      <c r="H447" s="146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</row>
    <row r="448" ht="18.75" customHeight="1">
      <c r="A448" s="87"/>
      <c r="B448" s="87"/>
      <c r="C448" s="87"/>
      <c r="D448" s="87"/>
      <c r="E448" s="87"/>
      <c r="F448" s="87"/>
      <c r="G448" s="87"/>
      <c r="H448" s="146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</row>
    <row r="449" ht="18.75" customHeight="1">
      <c r="A449" s="87"/>
      <c r="B449" s="87"/>
      <c r="C449" s="87"/>
      <c r="D449" s="87"/>
      <c r="E449" s="87"/>
      <c r="F449" s="87"/>
      <c r="G449" s="87"/>
      <c r="H449" s="146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</row>
    <row r="450" ht="18.75" customHeight="1">
      <c r="A450" s="87"/>
      <c r="B450" s="87"/>
      <c r="C450" s="87"/>
      <c r="D450" s="87"/>
      <c r="E450" s="87"/>
      <c r="F450" s="87"/>
      <c r="G450" s="87"/>
      <c r="H450" s="146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</row>
    <row r="451" ht="18.75" customHeight="1">
      <c r="A451" s="87"/>
      <c r="B451" s="87"/>
      <c r="C451" s="87"/>
      <c r="D451" s="87"/>
      <c r="E451" s="87"/>
      <c r="F451" s="87"/>
      <c r="G451" s="87"/>
      <c r="H451" s="146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</row>
    <row r="452" ht="18.75" customHeight="1">
      <c r="A452" s="87"/>
      <c r="B452" s="87"/>
      <c r="C452" s="87"/>
      <c r="D452" s="87"/>
      <c r="E452" s="87"/>
      <c r="F452" s="87"/>
      <c r="G452" s="87"/>
      <c r="H452" s="146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</row>
    <row r="453" ht="18.75" customHeight="1">
      <c r="A453" s="87"/>
      <c r="B453" s="87"/>
      <c r="C453" s="87"/>
      <c r="D453" s="87"/>
      <c r="E453" s="87"/>
      <c r="F453" s="87"/>
      <c r="G453" s="87"/>
      <c r="H453" s="146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</row>
    <row r="454" ht="18.75" customHeight="1">
      <c r="A454" s="87"/>
      <c r="B454" s="87"/>
      <c r="C454" s="87"/>
      <c r="D454" s="87"/>
      <c r="E454" s="87"/>
      <c r="F454" s="87"/>
      <c r="G454" s="87"/>
      <c r="H454" s="146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</row>
    <row r="455" ht="18.75" customHeight="1">
      <c r="A455" s="87"/>
      <c r="B455" s="87"/>
      <c r="C455" s="87"/>
      <c r="D455" s="87"/>
      <c r="E455" s="87"/>
      <c r="F455" s="87"/>
      <c r="G455" s="87"/>
      <c r="H455" s="146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</row>
    <row r="456" ht="18.75" customHeight="1">
      <c r="A456" s="87"/>
      <c r="B456" s="87"/>
      <c r="C456" s="87"/>
      <c r="D456" s="87"/>
      <c r="E456" s="87"/>
      <c r="F456" s="87"/>
      <c r="G456" s="87"/>
      <c r="H456" s="146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</row>
    <row r="457" ht="18.75" customHeight="1">
      <c r="A457" s="87"/>
      <c r="B457" s="87"/>
      <c r="C457" s="87"/>
      <c r="D457" s="87"/>
      <c r="E457" s="87"/>
      <c r="F457" s="87"/>
      <c r="G457" s="87"/>
      <c r="H457" s="146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</row>
    <row r="458" ht="18.75" customHeight="1">
      <c r="A458" s="87"/>
      <c r="B458" s="87"/>
      <c r="C458" s="87"/>
      <c r="D458" s="87"/>
      <c r="E458" s="87"/>
      <c r="F458" s="87"/>
      <c r="G458" s="87"/>
      <c r="H458" s="146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</row>
    <row r="459" ht="18.75" customHeight="1">
      <c r="A459" s="87"/>
      <c r="B459" s="87"/>
      <c r="C459" s="87"/>
      <c r="D459" s="87"/>
      <c r="E459" s="87"/>
      <c r="F459" s="87"/>
      <c r="G459" s="87"/>
      <c r="H459" s="146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</row>
    <row r="460" ht="18.75" customHeight="1">
      <c r="A460" s="87"/>
      <c r="B460" s="87"/>
      <c r="C460" s="87"/>
      <c r="D460" s="87"/>
      <c r="E460" s="87"/>
      <c r="F460" s="87"/>
      <c r="G460" s="87"/>
      <c r="H460" s="146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</row>
    <row r="461" ht="18.75" customHeight="1">
      <c r="A461" s="87"/>
      <c r="B461" s="87"/>
      <c r="C461" s="87"/>
      <c r="D461" s="87"/>
      <c r="E461" s="87"/>
      <c r="F461" s="87"/>
      <c r="G461" s="87"/>
      <c r="H461" s="146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</row>
    <row r="462" ht="18.75" customHeight="1">
      <c r="A462" s="87"/>
      <c r="B462" s="87"/>
      <c r="C462" s="87"/>
      <c r="D462" s="87"/>
      <c r="E462" s="87"/>
      <c r="F462" s="87"/>
      <c r="G462" s="87"/>
      <c r="H462" s="146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</row>
    <row r="463" ht="18.75" customHeight="1">
      <c r="A463" s="87"/>
      <c r="B463" s="87"/>
      <c r="C463" s="87"/>
      <c r="D463" s="87"/>
      <c r="E463" s="87"/>
      <c r="F463" s="87"/>
      <c r="G463" s="87"/>
      <c r="H463" s="146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</row>
    <row r="464" ht="18.75" customHeight="1">
      <c r="A464" s="87"/>
      <c r="B464" s="87"/>
      <c r="C464" s="87"/>
      <c r="D464" s="87"/>
      <c r="E464" s="87"/>
      <c r="F464" s="87"/>
      <c r="G464" s="87"/>
      <c r="H464" s="146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</row>
    <row r="465" ht="18.75" customHeight="1">
      <c r="A465" s="87"/>
      <c r="B465" s="87"/>
      <c r="C465" s="87"/>
      <c r="D465" s="87"/>
      <c r="E465" s="87"/>
      <c r="F465" s="87"/>
      <c r="G465" s="87"/>
      <c r="H465" s="146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</row>
    <row r="466" ht="18.75" customHeight="1">
      <c r="A466" s="87"/>
      <c r="B466" s="87"/>
      <c r="C466" s="87"/>
      <c r="D466" s="87"/>
      <c r="E466" s="87"/>
      <c r="F466" s="87"/>
      <c r="G466" s="87"/>
      <c r="H466" s="146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</row>
    <row r="467" ht="18.75" customHeight="1">
      <c r="A467" s="87"/>
      <c r="B467" s="87"/>
      <c r="C467" s="87"/>
      <c r="D467" s="87"/>
      <c r="E467" s="87"/>
      <c r="F467" s="87"/>
      <c r="G467" s="87"/>
      <c r="H467" s="146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</row>
    <row r="468" ht="18.75" customHeight="1">
      <c r="A468" s="87"/>
      <c r="B468" s="87"/>
      <c r="C468" s="87"/>
      <c r="D468" s="87"/>
      <c r="E468" s="87"/>
      <c r="F468" s="87"/>
      <c r="G468" s="87"/>
      <c r="H468" s="146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</row>
    <row r="469" ht="18.75" customHeight="1">
      <c r="A469" s="87"/>
      <c r="B469" s="87"/>
      <c r="C469" s="87"/>
      <c r="D469" s="87"/>
      <c r="E469" s="87"/>
      <c r="F469" s="87"/>
      <c r="G469" s="87"/>
      <c r="H469" s="146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</row>
    <row r="470" ht="18.75" customHeight="1">
      <c r="A470" s="87"/>
      <c r="B470" s="87"/>
      <c r="C470" s="87"/>
      <c r="D470" s="87"/>
      <c r="E470" s="87"/>
      <c r="F470" s="87"/>
      <c r="G470" s="87"/>
      <c r="H470" s="146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</row>
    <row r="471" ht="18.75" customHeight="1">
      <c r="A471" s="87"/>
      <c r="B471" s="87"/>
      <c r="C471" s="87"/>
      <c r="D471" s="87"/>
      <c r="E471" s="87"/>
      <c r="F471" s="87"/>
      <c r="G471" s="87"/>
      <c r="H471" s="146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</row>
    <row r="472" ht="18.75" customHeight="1">
      <c r="A472" s="87"/>
      <c r="B472" s="87"/>
      <c r="C472" s="87"/>
      <c r="D472" s="87"/>
      <c r="E472" s="87"/>
      <c r="F472" s="87"/>
      <c r="G472" s="87"/>
      <c r="H472" s="146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</row>
    <row r="473" ht="18.75" customHeight="1">
      <c r="A473" s="87"/>
      <c r="B473" s="87"/>
      <c r="C473" s="87"/>
      <c r="D473" s="87"/>
      <c r="E473" s="87"/>
      <c r="F473" s="87"/>
      <c r="G473" s="87"/>
      <c r="H473" s="146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</row>
    <row r="474" ht="18.75" customHeight="1">
      <c r="A474" s="87"/>
      <c r="B474" s="87"/>
      <c r="C474" s="87"/>
      <c r="D474" s="87"/>
      <c r="E474" s="87"/>
      <c r="F474" s="87"/>
      <c r="G474" s="87"/>
      <c r="H474" s="146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</row>
    <row r="475" ht="18.75" customHeight="1">
      <c r="A475" s="87"/>
      <c r="B475" s="87"/>
      <c r="C475" s="87"/>
      <c r="D475" s="87"/>
      <c r="E475" s="87"/>
      <c r="F475" s="87"/>
      <c r="G475" s="87"/>
      <c r="H475" s="146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</row>
    <row r="476" ht="18.75" customHeight="1">
      <c r="A476" s="87"/>
      <c r="B476" s="87"/>
      <c r="C476" s="87"/>
      <c r="D476" s="87"/>
      <c r="E476" s="87"/>
      <c r="F476" s="87"/>
      <c r="G476" s="87"/>
      <c r="H476" s="146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</row>
    <row r="477" ht="18.75" customHeight="1">
      <c r="A477" s="87"/>
      <c r="B477" s="87"/>
      <c r="C477" s="87"/>
      <c r="D477" s="87"/>
      <c r="E477" s="87"/>
      <c r="F477" s="87"/>
      <c r="G477" s="87"/>
      <c r="H477" s="146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</row>
    <row r="478" ht="18.75" customHeight="1">
      <c r="A478" s="87"/>
      <c r="B478" s="87"/>
      <c r="C478" s="87"/>
      <c r="D478" s="87"/>
      <c r="E478" s="87"/>
      <c r="F478" s="87"/>
      <c r="G478" s="87"/>
      <c r="H478" s="146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</row>
    <row r="479" ht="18.75" customHeight="1">
      <c r="A479" s="87"/>
      <c r="B479" s="87"/>
      <c r="C479" s="87"/>
      <c r="D479" s="87"/>
      <c r="E479" s="87"/>
      <c r="F479" s="87"/>
      <c r="G479" s="87"/>
      <c r="H479" s="146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</row>
    <row r="480" ht="18.75" customHeight="1">
      <c r="A480" s="87"/>
      <c r="B480" s="87"/>
      <c r="C480" s="87"/>
      <c r="D480" s="87"/>
      <c r="E480" s="87"/>
      <c r="F480" s="87"/>
      <c r="G480" s="87"/>
      <c r="H480" s="146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</row>
    <row r="481" ht="18.75" customHeight="1">
      <c r="A481" s="87"/>
      <c r="B481" s="87"/>
      <c r="C481" s="87"/>
      <c r="D481" s="87"/>
      <c r="E481" s="87"/>
      <c r="F481" s="87"/>
      <c r="G481" s="87"/>
      <c r="H481" s="146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</row>
    <row r="482" ht="18.75" customHeight="1">
      <c r="A482" s="87"/>
      <c r="B482" s="87"/>
      <c r="C482" s="87"/>
      <c r="D482" s="87"/>
      <c r="E482" s="87"/>
      <c r="F482" s="87"/>
      <c r="G482" s="87"/>
      <c r="H482" s="146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</row>
    <row r="483" ht="18.75" customHeight="1">
      <c r="A483" s="87"/>
      <c r="B483" s="87"/>
      <c r="C483" s="87"/>
      <c r="D483" s="87"/>
      <c r="E483" s="87"/>
      <c r="F483" s="87"/>
      <c r="G483" s="87"/>
      <c r="H483" s="146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</row>
    <row r="484" ht="18.75" customHeight="1">
      <c r="A484" s="87"/>
      <c r="B484" s="87"/>
      <c r="C484" s="87"/>
      <c r="D484" s="87"/>
      <c r="E484" s="87"/>
      <c r="F484" s="87"/>
      <c r="G484" s="87"/>
      <c r="H484" s="146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</row>
    <row r="485" ht="18.75" customHeight="1">
      <c r="A485" s="87"/>
      <c r="B485" s="87"/>
      <c r="C485" s="87"/>
      <c r="D485" s="87"/>
      <c r="E485" s="87"/>
      <c r="F485" s="87"/>
      <c r="G485" s="87"/>
      <c r="H485" s="146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</row>
    <row r="486" ht="18.75" customHeight="1">
      <c r="A486" s="87"/>
      <c r="B486" s="87"/>
      <c r="C486" s="87"/>
      <c r="D486" s="87"/>
      <c r="E486" s="87"/>
      <c r="F486" s="87"/>
      <c r="G486" s="87"/>
      <c r="H486" s="146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</row>
    <row r="487" ht="18.75" customHeight="1">
      <c r="A487" s="87"/>
      <c r="B487" s="87"/>
      <c r="C487" s="87"/>
      <c r="D487" s="87"/>
      <c r="E487" s="87"/>
      <c r="F487" s="87"/>
      <c r="G487" s="87"/>
      <c r="H487" s="146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</row>
    <row r="488" ht="18.75" customHeight="1">
      <c r="A488" s="87"/>
      <c r="B488" s="87"/>
      <c r="C488" s="87"/>
      <c r="D488" s="87"/>
      <c r="E488" s="87"/>
      <c r="F488" s="87"/>
      <c r="G488" s="87"/>
      <c r="H488" s="146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</row>
    <row r="489" ht="18.75" customHeight="1">
      <c r="A489" s="87"/>
      <c r="B489" s="87"/>
      <c r="C489" s="87"/>
      <c r="D489" s="87"/>
      <c r="E489" s="87"/>
      <c r="F489" s="87"/>
      <c r="G489" s="87"/>
      <c r="H489" s="146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</row>
    <row r="490" ht="18.75" customHeight="1">
      <c r="A490" s="87"/>
      <c r="B490" s="87"/>
      <c r="C490" s="87"/>
      <c r="D490" s="87"/>
      <c r="E490" s="87"/>
      <c r="F490" s="87"/>
      <c r="G490" s="87"/>
      <c r="H490" s="146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</row>
    <row r="491" ht="18.75" customHeight="1">
      <c r="A491" s="87"/>
      <c r="B491" s="87"/>
      <c r="C491" s="87"/>
      <c r="D491" s="87"/>
      <c r="E491" s="87"/>
      <c r="F491" s="87"/>
      <c r="G491" s="87"/>
      <c r="H491" s="146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</row>
    <row r="492" ht="18.75" customHeight="1">
      <c r="A492" s="87"/>
      <c r="B492" s="87"/>
      <c r="C492" s="87"/>
      <c r="D492" s="87"/>
      <c r="E492" s="87"/>
      <c r="F492" s="87"/>
      <c r="G492" s="87"/>
      <c r="H492" s="146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</row>
    <row r="493" ht="18.75" customHeight="1">
      <c r="A493" s="87"/>
      <c r="B493" s="87"/>
      <c r="C493" s="87"/>
      <c r="D493" s="87"/>
      <c r="E493" s="87"/>
      <c r="F493" s="87"/>
      <c r="G493" s="87"/>
      <c r="H493" s="146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</row>
    <row r="494" ht="18.75" customHeight="1">
      <c r="A494" s="87"/>
      <c r="B494" s="87"/>
      <c r="C494" s="87"/>
      <c r="D494" s="87"/>
      <c r="E494" s="87"/>
      <c r="F494" s="87"/>
      <c r="G494" s="87"/>
      <c r="H494" s="146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</row>
    <row r="495" ht="18.75" customHeight="1">
      <c r="A495" s="87"/>
      <c r="B495" s="87"/>
      <c r="C495" s="87"/>
      <c r="D495" s="87"/>
      <c r="E495" s="87"/>
      <c r="F495" s="87"/>
      <c r="G495" s="87"/>
      <c r="H495" s="146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</row>
    <row r="496" ht="18.75" customHeight="1">
      <c r="A496" s="87"/>
      <c r="B496" s="87"/>
      <c r="C496" s="87"/>
      <c r="D496" s="87"/>
      <c r="E496" s="87"/>
      <c r="F496" s="87"/>
      <c r="G496" s="87"/>
      <c r="H496" s="146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</row>
    <row r="497" ht="18.75" customHeight="1">
      <c r="A497" s="87"/>
      <c r="B497" s="87"/>
      <c r="C497" s="87"/>
      <c r="D497" s="87"/>
      <c r="E497" s="87"/>
      <c r="F497" s="87"/>
      <c r="G497" s="87"/>
      <c r="H497" s="146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</row>
    <row r="498" ht="18.75" customHeight="1">
      <c r="A498" s="87"/>
      <c r="B498" s="87"/>
      <c r="C498" s="87"/>
      <c r="D498" s="87"/>
      <c r="E498" s="87"/>
      <c r="F498" s="87"/>
      <c r="G498" s="87"/>
      <c r="H498" s="146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</row>
    <row r="499" ht="18.75" customHeight="1">
      <c r="A499" s="87"/>
      <c r="B499" s="87"/>
      <c r="C499" s="87"/>
      <c r="D499" s="87"/>
      <c r="E499" s="87"/>
      <c r="F499" s="87"/>
      <c r="G499" s="87"/>
      <c r="H499" s="146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</row>
    <row r="500" ht="18.75" customHeight="1">
      <c r="A500" s="87"/>
      <c r="B500" s="87"/>
      <c r="C500" s="87"/>
      <c r="D500" s="87"/>
      <c r="E500" s="87"/>
      <c r="F500" s="87"/>
      <c r="G500" s="87"/>
      <c r="H500" s="146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</row>
    <row r="501" ht="18.75" customHeight="1">
      <c r="A501" s="87"/>
      <c r="B501" s="87"/>
      <c r="C501" s="87"/>
      <c r="D501" s="87"/>
      <c r="E501" s="87"/>
      <c r="F501" s="87"/>
      <c r="G501" s="87"/>
      <c r="H501" s="146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</row>
    <row r="502" ht="18.75" customHeight="1">
      <c r="A502" s="87"/>
      <c r="B502" s="87"/>
      <c r="C502" s="87"/>
      <c r="D502" s="87"/>
      <c r="E502" s="87"/>
      <c r="F502" s="87"/>
      <c r="G502" s="87"/>
      <c r="H502" s="146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</row>
    <row r="503" ht="18.75" customHeight="1">
      <c r="A503" s="87"/>
      <c r="B503" s="87"/>
      <c r="C503" s="87"/>
      <c r="D503" s="87"/>
      <c r="E503" s="87"/>
      <c r="F503" s="87"/>
      <c r="G503" s="87"/>
      <c r="H503" s="146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</row>
    <row r="504" ht="18.75" customHeight="1">
      <c r="A504" s="87"/>
      <c r="B504" s="87"/>
      <c r="C504" s="87"/>
      <c r="D504" s="87"/>
      <c r="E504" s="87"/>
      <c r="F504" s="87"/>
      <c r="G504" s="87"/>
      <c r="H504" s="146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</row>
    <row r="505" ht="18.75" customHeight="1">
      <c r="A505" s="87"/>
      <c r="B505" s="87"/>
      <c r="C505" s="87"/>
      <c r="D505" s="87"/>
      <c r="E505" s="87"/>
      <c r="F505" s="87"/>
      <c r="G505" s="87"/>
      <c r="H505" s="146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</row>
    <row r="506" ht="18.75" customHeight="1">
      <c r="A506" s="87"/>
      <c r="B506" s="87"/>
      <c r="C506" s="87"/>
      <c r="D506" s="87"/>
      <c r="E506" s="87"/>
      <c r="F506" s="87"/>
      <c r="G506" s="87"/>
      <c r="H506" s="146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</row>
    <row r="507" ht="18.75" customHeight="1">
      <c r="A507" s="87"/>
      <c r="B507" s="87"/>
      <c r="C507" s="87"/>
      <c r="D507" s="87"/>
      <c r="E507" s="87"/>
      <c r="F507" s="87"/>
      <c r="G507" s="87"/>
      <c r="H507" s="146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</row>
    <row r="508" ht="18.75" customHeight="1">
      <c r="A508" s="87"/>
      <c r="B508" s="87"/>
      <c r="C508" s="87"/>
      <c r="D508" s="87"/>
      <c r="E508" s="87"/>
      <c r="F508" s="87"/>
      <c r="G508" s="87"/>
      <c r="H508" s="146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</row>
    <row r="509" ht="18.75" customHeight="1">
      <c r="A509" s="87"/>
      <c r="B509" s="87"/>
      <c r="C509" s="87"/>
      <c r="D509" s="87"/>
      <c r="E509" s="87"/>
      <c r="F509" s="87"/>
      <c r="G509" s="87"/>
      <c r="H509" s="146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</row>
    <row r="510" ht="18.75" customHeight="1">
      <c r="A510" s="87"/>
      <c r="B510" s="87"/>
      <c r="C510" s="87"/>
      <c r="D510" s="87"/>
      <c r="E510" s="87"/>
      <c r="F510" s="87"/>
      <c r="G510" s="87"/>
      <c r="H510" s="146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</row>
    <row r="511" ht="18.75" customHeight="1">
      <c r="A511" s="87"/>
      <c r="B511" s="87"/>
      <c r="C511" s="87"/>
      <c r="D511" s="87"/>
      <c r="E511" s="87"/>
      <c r="F511" s="87"/>
      <c r="G511" s="87"/>
      <c r="H511" s="146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</row>
    <row r="512" ht="18.75" customHeight="1">
      <c r="A512" s="87"/>
      <c r="B512" s="87"/>
      <c r="C512" s="87"/>
      <c r="D512" s="87"/>
      <c r="E512" s="87"/>
      <c r="F512" s="87"/>
      <c r="G512" s="87"/>
      <c r="H512" s="146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</row>
    <row r="513" ht="18.75" customHeight="1">
      <c r="A513" s="87"/>
      <c r="B513" s="87"/>
      <c r="C513" s="87"/>
      <c r="D513" s="87"/>
      <c r="E513" s="87"/>
      <c r="F513" s="87"/>
      <c r="G513" s="87"/>
      <c r="H513" s="146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</row>
    <row r="514" ht="18.75" customHeight="1">
      <c r="A514" s="87"/>
      <c r="B514" s="87"/>
      <c r="C514" s="87"/>
      <c r="D514" s="87"/>
      <c r="E514" s="87"/>
      <c r="F514" s="87"/>
      <c r="G514" s="87"/>
      <c r="H514" s="146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</row>
    <row r="515" ht="18.75" customHeight="1">
      <c r="A515" s="87"/>
      <c r="B515" s="87"/>
      <c r="C515" s="87"/>
      <c r="D515" s="87"/>
      <c r="E515" s="87"/>
      <c r="F515" s="87"/>
      <c r="G515" s="87"/>
      <c r="H515" s="146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</row>
    <row r="516" ht="18.75" customHeight="1">
      <c r="A516" s="87"/>
      <c r="B516" s="87"/>
      <c r="C516" s="87"/>
      <c r="D516" s="87"/>
      <c r="E516" s="87"/>
      <c r="F516" s="87"/>
      <c r="G516" s="87"/>
      <c r="H516" s="146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</row>
    <row r="517" ht="18.75" customHeight="1">
      <c r="A517" s="87"/>
      <c r="B517" s="87"/>
      <c r="C517" s="87"/>
      <c r="D517" s="87"/>
      <c r="E517" s="87"/>
      <c r="F517" s="87"/>
      <c r="G517" s="87"/>
      <c r="H517" s="146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</row>
    <row r="518" ht="18.75" customHeight="1">
      <c r="A518" s="87"/>
      <c r="B518" s="87"/>
      <c r="C518" s="87"/>
      <c r="D518" s="87"/>
      <c r="E518" s="87"/>
      <c r="F518" s="87"/>
      <c r="G518" s="87"/>
      <c r="H518" s="146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</row>
    <row r="519" ht="18.75" customHeight="1">
      <c r="A519" s="87"/>
      <c r="B519" s="87"/>
      <c r="C519" s="87"/>
      <c r="D519" s="87"/>
      <c r="E519" s="87"/>
      <c r="F519" s="87"/>
      <c r="G519" s="87"/>
      <c r="H519" s="146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</row>
    <row r="520" ht="18.75" customHeight="1">
      <c r="A520" s="87"/>
      <c r="B520" s="87"/>
      <c r="C520" s="87"/>
      <c r="D520" s="87"/>
      <c r="E520" s="87"/>
      <c r="F520" s="87"/>
      <c r="G520" s="87"/>
      <c r="H520" s="146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</row>
    <row r="521" ht="18.75" customHeight="1">
      <c r="A521" s="87"/>
      <c r="B521" s="87"/>
      <c r="C521" s="87"/>
      <c r="D521" s="87"/>
      <c r="E521" s="87"/>
      <c r="F521" s="87"/>
      <c r="G521" s="87"/>
      <c r="H521" s="146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</row>
    <row r="522" ht="18.75" customHeight="1">
      <c r="A522" s="87"/>
      <c r="B522" s="87"/>
      <c r="C522" s="87"/>
      <c r="D522" s="87"/>
      <c r="E522" s="87"/>
      <c r="F522" s="87"/>
      <c r="G522" s="87"/>
      <c r="H522" s="146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</row>
    <row r="523" ht="18.75" customHeight="1">
      <c r="A523" s="87"/>
      <c r="B523" s="87"/>
      <c r="C523" s="87"/>
      <c r="D523" s="87"/>
      <c r="E523" s="87"/>
      <c r="F523" s="87"/>
      <c r="G523" s="87"/>
      <c r="H523" s="146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</row>
    <row r="524" ht="18.75" customHeight="1">
      <c r="A524" s="87"/>
      <c r="B524" s="87"/>
      <c r="C524" s="87"/>
      <c r="D524" s="87"/>
      <c r="E524" s="87"/>
      <c r="F524" s="87"/>
      <c r="G524" s="87"/>
      <c r="H524" s="146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</row>
    <row r="525" ht="18.75" customHeight="1">
      <c r="A525" s="87"/>
      <c r="B525" s="87"/>
      <c r="C525" s="87"/>
      <c r="D525" s="87"/>
      <c r="E525" s="87"/>
      <c r="F525" s="87"/>
      <c r="G525" s="87"/>
      <c r="H525" s="146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</row>
    <row r="526" ht="18.75" customHeight="1">
      <c r="A526" s="87"/>
      <c r="B526" s="87"/>
      <c r="C526" s="87"/>
      <c r="D526" s="87"/>
      <c r="E526" s="87"/>
      <c r="F526" s="87"/>
      <c r="G526" s="87"/>
      <c r="H526" s="146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</row>
    <row r="527" ht="18.75" customHeight="1">
      <c r="A527" s="87"/>
      <c r="B527" s="87"/>
      <c r="C527" s="87"/>
      <c r="D527" s="87"/>
      <c r="E527" s="87"/>
      <c r="F527" s="87"/>
      <c r="G527" s="87"/>
      <c r="H527" s="146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</row>
    <row r="528" ht="18.75" customHeight="1">
      <c r="A528" s="87"/>
      <c r="B528" s="87"/>
      <c r="C528" s="87"/>
      <c r="D528" s="87"/>
      <c r="E528" s="87"/>
      <c r="F528" s="87"/>
      <c r="G528" s="87"/>
      <c r="H528" s="146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</row>
    <row r="529" ht="18.75" customHeight="1">
      <c r="A529" s="87"/>
      <c r="B529" s="87"/>
      <c r="C529" s="87"/>
      <c r="D529" s="87"/>
      <c r="E529" s="87"/>
      <c r="F529" s="87"/>
      <c r="G529" s="87"/>
      <c r="H529" s="146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</row>
    <row r="530" ht="18.75" customHeight="1">
      <c r="A530" s="87"/>
      <c r="B530" s="87"/>
      <c r="C530" s="87"/>
      <c r="D530" s="87"/>
      <c r="E530" s="87"/>
      <c r="F530" s="87"/>
      <c r="G530" s="87"/>
      <c r="H530" s="146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</row>
    <row r="531" ht="18.75" customHeight="1">
      <c r="A531" s="87"/>
      <c r="B531" s="87"/>
      <c r="C531" s="87"/>
      <c r="D531" s="87"/>
      <c r="E531" s="87"/>
      <c r="F531" s="87"/>
      <c r="G531" s="87"/>
      <c r="H531" s="146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</row>
    <row r="532" ht="18.75" customHeight="1">
      <c r="A532" s="87"/>
      <c r="B532" s="87"/>
      <c r="C532" s="87"/>
      <c r="D532" s="87"/>
      <c r="E532" s="87"/>
      <c r="F532" s="87"/>
      <c r="G532" s="87"/>
      <c r="H532" s="146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</row>
    <row r="533" ht="18.75" customHeight="1">
      <c r="A533" s="87"/>
      <c r="B533" s="87"/>
      <c r="C533" s="87"/>
      <c r="D533" s="87"/>
      <c r="E533" s="87"/>
      <c r="F533" s="87"/>
      <c r="G533" s="87"/>
      <c r="H533" s="146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</row>
    <row r="534" ht="18.75" customHeight="1">
      <c r="A534" s="87"/>
      <c r="B534" s="87"/>
      <c r="C534" s="87"/>
      <c r="D534" s="87"/>
      <c r="E534" s="87"/>
      <c r="F534" s="87"/>
      <c r="G534" s="87"/>
      <c r="H534" s="146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</row>
    <row r="535" ht="18.75" customHeight="1">
      <c r="A535" s="87"/>
      <c r="B535" s="87"/>
      <c r="C535" s="87"/>
      <c r="D535" s="87"/>
      <c r="E535" s="87"/>
      <c r="F535" s="87"/>
      <c r="G535" s="87"/>
      <c r="H535" s="146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</row>
    <row r="536" ht="18.75" customHeight="1">
      <c r="A536" s="87"/>
      <c r="B536" s="87"/>
      <c r="C536" s="87"/>
      <c r="D536" s="87"/>
      <c r="E536" s="87"/>
      <c r="F536" s="87"/>
      <c r="G536" s="87"/>
      <c r="H536" s="146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</row>
    <row r="537" ht="18.75" customHeight="1">
      <c r="A537" s="87"/>
      <c r="B537" s="87"/>
      <c r="C537" s="87"/>
      <c r="D537" s="87"/>
      <c r="E537" s="87"/>
      <c r="F537" s="87"/>
      <c r="G537" s="87"/>
      <c r="H537" s="146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</row>
    <row r="538" ht="18.75" customHeight="1">
      <c r="A538" s="87"/>
      <c r="B538" s="87"/>
      <c r="C538" s="87"/>
      <c r="D538" s="87"/>
      <c r="E538" s="87"/>
      <c r="F538" s="87"/>
      <c r="G538" s="87"/>
      <c r="H538" s="146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</row>
    <row r="539" ht="18.75" customHeight="1">
      <c r="A539" s="87"/>
      <c r="B539" s="87"/>
      <c r="C539" s="87"/>
      <c r="D539" s="87"/>
      <c r="E539" s="87"/>
      <c r="F539" s="87"/>
      <c r="G539" s="87"/>
      <c r="H539" s="146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</row>
    <row r="540" ht="18.75" customHeight="1">
      <c r="A540" s="87"/>
      <c r="B540" s="87"/>
      <c r="C540" s="87"/>
      <c r="D540" s="87"/>
      <c r="E540" s="87"/>
      <c r="F540" s="87"/>
      <c r="G540" s="87"/>
      <c r="H540" s="146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</row>
    <row r="541" ht="18.75" customHeight="1">
      <c r="A541" s="87"/>
      <c r="B541" s="87"/>
      <c r="C541" s="87"/>
      <c r="D541" s="87"/>
      <c r="E541" s="87"/>
      <c r="F541" s="87"/>
      <c r="G541" s="87"/>
      <c r="H541" s="146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</row>
    <row r="542" ht="18.75" customHeight="1">
      <c r="A542" s="87"/>
      <c r="B542" s="87"/>
      <c r="C542" s="87"/>
      <c r="D542" s="87"/>
      <c r="E542" s="87"/>
      <c r="F542" s="87"/>
      <c r="G542" s="87"/>
      <c r="H542" s="146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</row>
    <row r="543" ht="18.75" customHeight="1">
      <c r="A543" s="87"/>
      <c r="B543" s="87"/>
      <c r="C543" s="87"/>
      <c r="D543" s="87"/>
      <c r="E543" s="87"/>
      <c r="F543" s="87"/>
      <c r="G543" s="87"/>
      <c r="H543" s="146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</row>
    <row r="544" ht="18.75" customHeight="1">
      <c r="A544" s="87"/>
      <c r="B544" s="87"/>
      <c r="C544" s="87"/>
      <c r="D544" s="87"/>
      <c r="E544" s="87"/>
      <c r="F544" s="87"/>
      <c r="G544" s="87"/>
      <c r="H544" s="146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</row>
    <row r="545" ht="18.75" customHeight="1">
      <c r="A545" s="87"/>
      <c r="B545" s="87"/>
      <c r="C545" s="87"/>
      <c r="D545" s="87"/>
      <c r="E545" s="87"/>
      <c r="F545" s="87"/>
      <c r="G545" s="87"/>
      <c r="H545" s="146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</row>
    <row r="546" ht="18.75" customHeight="1">
      <c r="A546" s="87"/>
      <c r="B546" s="87"/>
      <c r="C546" s="87"/>
      <c r="D546" s="87"/>
      <c r="E546" s="87"/>
      <c r="F546" s="87"/>
      <c r="G546" s="87"/>
      <c r="H546" s="146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</row>
    <row r="547" ht="18.75" customHeight="1">
      <c r="A547" s="87"/>
      <c r="B547" s="87"/>
      <c r="C547" s="87"/>
      <c r="D547" s="87"/>
      <c r="E547" s="87"/>
      <c r="F547" s="87"/>
      <c r="G547" s="87"/>
      <c r="H547" s="146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</row>
    <row r="548" ht="18.75" customHeight="1">
      <c r="A548" s="87"/>
      <c r="B548" s="87"/>
      <c r="C548" s="87"/>
      <c r="D548" s="87"/>
      <c r="E548" s="87"/>
      <c r="F548" s="87"/>
      <c r="G548" s="87"/>
      <c r="H548" s="146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</row>
    <row r="549" ht="18.75" customHeight="1">
      <c r="A549" s="87"/>
      <c r="B549" s="87"/>
      <c r="C549" s="87"/>
      <c r="D549" s="87"/>
      <c r="E549" s="87"/>
      <c r="F549" s="87"/>
      <c r="G549" s="87"/>
      <c r="H549" s="146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</row>
    <row r="550" ht="18.75" customHeight="1">
      <c r="A550" s="87"/>
      <c r="B550" s="87"/>
      <c r="C550" s="87"/>
      <c r="D550" s="87"/>
      <c r="E550" s="87"/>
      <c r="F550" s="87"/>
      <c r="G550" s="87"/>
      <c r="H550" s="146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</row>
    <row r="551" ht="18.75" customHeight="1">
      <c r="A551" s="87"/>
      <c r="B551" s="87"/>
      <c r="C551" s="87"/>
      <c r="D551" s="87"/>
      <c r="E551" s="87"/>
      <c r="F551" s="87"/>
      <c r="G551" s="87"/>
      <c r="H551" s="146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</row>
    <row r="552" ht="18.75" customHeight="1">
      <c r="A552" s="87"/>
      <c r="B552" s="87"/>
      <c r="C552" s="87"/>
      <c r="D552" s="87"/>
      <c r="E552" s="87"/>
      <c r="F552" s="87"/>
      <c r="G552" s="87"/>
      <c r="H552" s="146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</row>
    <row r="553" ht="18.75" customHeight="1">
      <c r="A553" s="87"/>
      <c r="B553" s="87"/>
      <c r="C553" s="87"/>
      <c r="D553" s="87"/>
      <c r="E553" s="87"/>
      <c r="F553" s="87"/>
      <c r="G553" s="87"/>
      <c r="H553" s="146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</row>
    <row r="554" ht="18.75" customHeight="1">
      <c r="A554" s="87"/>
      <c r="B554" s="87"/>
      <c r="C554" s="87"/>
      <c r="D554" s="87"/>
      <c r="E554" s="87"/>
      <c r="F554" s="87"/>
      <c r="G554" s="87"/>
      <c r="H554" s="146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</row>
    <row r="555" ht="18.75" customHeight="1">
      <c r="A555" s="87"/>
      <c r="B555" s="87"/>
      <c r="C555" s="87"/>
      <c r="D555" s="87"/>
      <c r="E555" s="87"/>
      <c r="F555" s="87"/>
      <c r="G555" s="87"/>
      <c r="H555" s="146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</row>
    <row r="556" ht="18.75" customHeight="1">
      <c r="A556" s="87"/>
      <c r="B556" s="87"/>
      <c r="C556" s="87"/>
      <c r="D556" s="87"/>
      <c r="E556" s="87"/>
      <c r="F556" s="87"/>
      <c r="G556" s="87"/>
      <c r="H556" s="146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</row>
    <row r="557" ht="18.75" customHeight="1">
      <c r="A557" s="87"/>
      <c r="B557" s="87"/>
      <c r="C557" s="87"/>
      <c r="D557" s="87"/>
      <c r="E557" s="87"/>
      <c r="F557" s="87"/>
      <c r="G557" s="87"/>
      <c r="H557" s="146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</row>
    <row r="558" ht="18.75" customHeight="1">
      <c r="A558" s="87"/>
      <c r="B558" s="87"/>
      <c r="C558" s="87"/>
      <c r="D558" s="87"/>
      <c r="E558" s="87"/>
      <c r="F558" s="87"/>
      <c r="G558" s="87"/>
      <c r="H558" s="146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</row>
    <row r="559" ht="18.75" customHeight="1">
      <c r="A559" s="87"/>
      <c r="B559" s="87"/>
      <c r="C559" s="87"/>
      <c r="D559" s="87"/>
      <c r="E559" s="87"/>
      <c r="F559" s="87"/>
      <c r="G559" s="87"/>
      <c r="H559" s="146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</row>
    <row r="560" ht="18.75" customHeight="1">
      <c r="A560" s="87"/>
      <c r="B560" s="87"/>
      <c r="C560" s="87"/>
      <c r="D560" s="87"/>
      <c r="E560" s="87"/>
      <c r="F560" s="87"/>
      <c r="G560" s="87"/>
      <c r="H560" s="146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</row>
    <row r="561" ht="18.75" customHeight="1">
      <c r="A561" s="87"/>
      <c r="B561" s="87"/>
      <c r="C561" s="87"/>
      <c r="D561" s="87"/>
      <c r="E561" s="87"/>
      <c r="F561" s="87"/>
      <c r="G561" s="87"/>
      <c r="H561" s="146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</row>
    <row r="562" ht="18.75" customHeight="1">
      <c r="A562" s="87"/>
      <c r="B562" s="87"/>
      <c r="C562" s="87"/>
      <c r="D562" s="87"/>
      <c r="E562" s="87"/>
      <c r="F562" s="87"/>
      <c r="G562" s="87"/>
      <c r="H562" s="146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</row>
    <row r="563" ht="18.75" customHeight="1">
      <c r="A563" s="87"/>
      <c r="B563" s="87"/>
      <c r="C563" s="87"/>
      <c r="D563" s="87"/>
      <c r="E563" s="87"/>
      <c r="F563" s="87"/>
      <c r="G563" s="87"/>
      <c r="H563" s="146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</row>
    <row r="564" ht="18.75" customHeight="1">
      <c r="A564" s="87"/>
      <c r="B564" s="87"/>
      <c r="C564" s="87"/>
      <c r="D564" s="87"/>
      <c r="E564" s="87"/>
      <c r="F564" s="87"/>
      <c r="G564" s="87"/>
      <c r="H564" s="146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</row>
    <row r="565" ht="18.75" customHeight="1">
      <c r="A565" s="87"/>
      <c r="B565" s="87"/>
      <c r="C565" s="87"/>
      <c r="D565" s="87"/>
      <c r="E565" s="87"/>
      <c r="F565" s="87"/>
      <c r="G565" s="87"/>
      <c r="H565" s="146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</row>
    <row r="566" ht="18.75" customHeight="1">
      <c r="A566" s="87"/>
      <c r="B566" s="87"/>
      <c r="C566" s="87"/>
      <c r="D566" s="87"/>
      <c r="E566" s="87"/>
      <c r="F566" s="87"/>
      <c r="G566" s="87"/>
      <c r="H566" s="146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</row>
    <row r="567" ht="18.75" customHeight="1">
      <c r="A567" s="87"/>
      <c r="B567" s="87"/>
      <c r="C567" s="87"/>
      <c r="D567" s="87"/>
      <c r="E567" s="87"/>
      <c r="F567" s="87"/>
      <c r="G567" s="87"/>
      <c r="H567" s="146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</row>
    <row r="568" ht="18.75" customHeight="1">
      <c r="A568" s="87"/>
      <c r="B568" s="87"/>
      <c r="C568" s="87"/>
      <c r="D568" s="87"/>
      <c r="E568" s="87"/>
      <c r="F568" s="87"/>
      <c r="G568" s="87"/>
      <c r="H568" s="146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</row>
    <row r="569" ht="18.75" customHeight="1">
      <c r="A569" s="87"/>
      <c r="B569" s="87"/>
      <c r="C569" s="87"/>
      <c r="D569" s="87"/>
      <c r="E569" s="87"/>
      <c r="F569" s="87"/>
      <c r="G569" s="87"/>
      <c r="H569" s="146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</row>
    <row r="570" ht="18.75" customHeight="1">
      <c r="A570" s="87"/>
      <c r="B570" s="87"/>
      <c r="C570" s="87"/>
      <c r="D570" s="87"/>
      <c r="E570" s="87"/>
      <c r="F570" s="87"/>
      <c r="G570" s="87"/>
      <c r="H570" s="146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</row>
    <row r="571" ht="18.75" customHeight="1">
      <c r="A571" s="87"/>
      <c r="B571" s="87"/>
      <c r="C571" s="87"/>
      <c r="D571" s="87"/>
      <c r="E571" s="87"/>
      <c r="F571" s="87"/>
      <c r="G571" s="87"/>
      <c r="H571" s="146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</row>
    <row r="572" ht="18.75" customHeight="1">
      <c r="A572" s="87"/>
      <c r="B572" s="87"/>
      <c r="C572" s="87"/>
      <c r="D572" s="87"/>
      <c r="E572" s="87"/>
      <c r="F572" s="87"/>
      <c r="G572" s="87"/>
      <c r="H572" s="146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</row>
    <row r="573" ht="18.75" customHeight="1">
      <c r="A573" s="87"/>
      <c r="B573" s="87"/>
      <c r="C573" s="87"/>
      <c r="D573" s="87"/>
      <c r="E573" s="87"/>
      <c r="F573" s="87"/>
      <c r="G573" s="87"/>
      <c r="H573" s="146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</row>
    <row r="574" ht="18.75" customHeight="1">
      <c r="A574" s="87"/>
      <c r="B574" s="87"/>
      <c r="C574" s="87"/>
      <c r="D574" s="87"/>
      <c r="E574" s="87"/>
      <c r="F574" s="87"/>
      <c r="G574" s="87"/>
      <c r="H574" s="146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</row>
    <row r="575" ht="18.75" customHeight="1">
      <c r="A575" s="87"/>
      <c r="B575" s="87"/>
      <c r="C575" s="87"/>
      <c r="D575" s="87"/>
      <c r="E575" s="87"/>
      <c r="F575" s="87"/>
      <c r="G575" s="87"/>
      <c r="H575" s="146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</row>
    <row r="576" ht="18.75" customHeight="1">
      <c r="A576" s="87"/>
      <c r="B576" s="87"/>
      <c r="C576" s="87"/>
      <c r="D576" s="87"/>
      <c r="E576" s="87"/>
      <c r="F576" s="87"/>
      <c r="G576" s="87"/>
      <c r="H576" s="146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</row>
    <row r="577" ht="18.75" customHeight="1">
      <c r="A577" s="87"/>
      <c r="B577" s="87"/>
      <c r="C577" s="87"/>
      <c r="D577" s="87"/>
      <c r="E577" s="87"/>
      <c r="F577" s="87"/>
      <c r="G577" s="87"/>
      <c r="H577" s="146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</row>
    <row r="578" ht="18.75" customHeight="1">
      <c r="A578" s="87"/>
      <c r="B578" s="87"/>
      <c r="C578" s="87"/>
      <c r="D578" s="87"/>
      <c r="E578" s="87"/>
      <c r="F578" s="87"/>
      <c r="G578" s="87"/>
      <c r="H578" s="146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</row>
    <row r="579" ht="18.75" customHeight="1">
      <c r="A579" s="87"/>
      <c r="B579" s="87"/>
      <c r="C579" s="87"/>
      <c r="D579" s="87"/>
      <c r="E579" s="87"/>
      <c r="F579" s="87"/>
      <c r="G579" s="87"/>
      <c r="H579" s="146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</row>
    <row r="580" ht="18.75" customHeight="1">
      <c r="A580" s="87"/>
      <c r="B580" s="87"/>
      <c r="C580" s="87"/>
      <c r="D580" s="87"/>
      <c r="E580" s="87"/>
      <c r="F580" s="87"/>
      <c r="G580" s="87"/>
      <c r="H580" s="146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</row>
    <row r="581" ht="18.75" customHeight="1">
      <c r="A581" s="87"/>
      <c r="B581" s="87"/>
      <c r="C581" s="87"/>
      <c r="D581" s="87"/>
      <c r="E581" s="87"/>
      <c r="F581" s="87"/>
      <c r="G581" s="87"/>
      <c r="H581" s="146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</row>
    <row r="582" ht="18.75" customHeight="1">
      <c r="A582" s="87"/>
      <c r="B582" s="87"/>
      <c r="C582" s="87"/>
      <c r="D582" s="87"/>
      <c r="E582" s="87"/>
      <c r="F582" s="87"/>
      <c r="G582" s="87"/>
      <c r="H582" s="146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</row>
    <row r="583" ht="18.75" customHeight="1">
      <c r="A583" s="87"/>
      <c r="B583" s="87"/>
      <c r="C583" s="87"/>
      <c r="D583" s="87"/>
      <c r="E583" s="87"/>
      <c r="F583" s="87"/>
      <c r="G583" s="87"/>
      <c r="H583" s="146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</row>
    <row r="584" ht="18.75" customHeight="1">
      <c r="A584" s="87"/>
      <c r="B584" s="87"/>
      <c r="C584" s="87"/>
      <c r="D584" s="87"/>
      <c r="E584" s="87"/>
      <c r="F584" s="87"/>
      <c r="G584" s="87"/>
      <c r="H584" s="146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</row>
    <row r="585" ht="18.75" customHeight="1">
      <c r="A585" s="87"/>
      <c r="B585" s="87"/>
      <c r="C585" s="87"/>
      <c r="D585" s="87"/>
      <c r="E585" s="87"/>
      <c r="F585" s="87"/>
      <c r="G585" s="87"/>
      <c r="H585" s="146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</row>
    <row r="586" ht="18.75" customHeight="1">
      <c r="A586" s="87"/>
      <c r="B586" s="87"/>
      <c r="C586" s="87"/>
      <c r="D586" s="87"/>
      <c r="E586" s="87"/>
      <c r="F586" s="87"/>
      <c r="G586" s="87"/>
      <c r="H586" s="146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</row>
    <row r="587" ht="18.75" customHeight="1">
      <c r="A587" s="87"/>
      <c r="B587" s="87"/>
      <c r="C587" s="87"/>
      <c r="D587" s="87"/>
      <c r="E587" s="87"/>
      <c r="F587" s="87"/>
      <c r="G587" s="87"/>
      <c r="H587" s="146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</row>
    <row r="588" ht="18.75" customHeight="1">
      <c r="A588" s="87"/>
      <c r="B588" s="87"/>
      <c r="C588" s="87"/>
      <c r="D588" s="87"/>
      <c r="E588" s="87"/>
      <c r="F588" s="87"/>
      <c r="G588" s="87"/>
      <c r="H588" s="146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</row>
    <row r="589" ht="18.75" customHeight="1">
      <c r="A589" s="87"/>
      <c r="B589" s="87"/>
      <c r="C589" s="87"/>
      <c r="D589" s="87"/>
      <c r="E589" s="87"/>
      <c r="F589" s="87"/>
      <c r="G589" s="87"/>
      <c r="H589" s="146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</row>
    <row r="590" ht="18.75" customHeight="1">
      <c r="A590" s="87"/>
      <c r="B590" s="87"/>
      <c r="C590" s="87"/>
      <c r="D590" s="87"/>
      <c r="E590" s="87"/>
      <c r="F590" s="87"/>
      <c r="G590" s="87"/>
      <c r="H590" s="146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</row>
    <row r="591" ht="18.75" customHeight="1">
      <c r="A591" s="87"/>
      <c r="B591" s="87"/>
      <c r="C591" s="87"/>
      <c r="D591" s="87"/>
      <c r="E591" s="87"/>
      <c r="F591" s="87"/>
      <c r="G591" s="87"/>
      <c r="H591" s="146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</row>
    <row r="592" ht="18.75" customHeight="1">
      <c r="A592" s="87"/>
      <c r="B592" s="87"/>
      <c r="C592" s="87"/>
      <c r="D592" s="87"/>
      <c r="E592" s="87"/>
      <c r="F592" s="87"/>
      <c r="G592" s="87"/>
      <c r="H592" s="146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</row>
    <row r="593" ht="18.75" customHeight="1">
      <c r="A593" s="87"/>
      <c r="B593" s="87"/>
      <c r="C593" s="87"/>
      <c r="D593" s="87"/>
      <c r="E593" s="87"/>
      <c r="F593" s="87"/>
      <c r="G593" s="87"/>
      <c r="H593" s="146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</row>
    <row r="594" ht="18.75" customHeight="1">
      <c r="A594" s="87"/>
      <c r="B594" s="87"/>
      <c r="C594" s="87"/>
      <c r="D594" s="87"/>
      <c r="E594" s="87"/>
      <c r="F594" s="87"/>
      <c r="G594" s="87"/>
      <c r="H594" s="146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</row>
    <row r="595" ht="18.75" customHeight="1">
      <c r="A595" s="87"/>
      <c r="B595" s="87"/>
      <c r="C595" s="87"/>
      <c r="D595" s="87"/>
      <c r="E595" s="87"/>
      <c r="F595" s="87"/>
      <c r="G595" s="87"/>
      <c r="H595" s="146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</row>
    <row r="596" ht="18.75" customHeight="1">
      <c r="A596" s="87"/>
      <c r="B596" s="87"/>
      <c r="C596" s="87"/>
      <c r="D596" s="87"/>
      <c r="E596" s="87"/>
      <c r="F596" s="87"/>
      <c r="G596" s="87"/>
      <c r="H596" s="146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</row>
    <row r="597" ht="18.75" customHeight="1">
      <c r="A597" s="87"/>
      <c r="B597" s="87"/>
      <c r="C597" s="87"/>
      <c r="D597" s="87"/>
      <c r="E597" s="87"/>
      <c r="F597" s="87"/>
      <c r="G597" s="87"/>
      <c r="H597" s="146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</row>
    <row r="598" ht="18.75" customHeight="1">
      <c r="A598" s="87"/>
      <c r="B598" s="87"/>
      <c r="C598" s="87"/>
      <c r="D598" s="87"/>
      <c r="E598" s="87"/>
      <c r="F598" s="87"/>
      <c r="G598" s="87"/>
      <c r="H598" s="146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</row>
    <row r="599" ht="18.75" customHeight="1">
      <c r="A599" s="87"/>
      <c r="B599" s="87"/>
      <c r="C599" s="87"/>
      <c r="D599" s="87"/>
      <c r="E599" s="87"/>
      <c r="F599" s="87"/>
      <c r="G599" s="87"/>
      <c r="H599" s="146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</row>
    <row r="600" ht="18.75" customHeight="1">
      <c r="A600" s="87"/>
      <c r="B600" s="87"/>
      <c r="C600" s="87"/>
      <c r="D600" s="87"/>
      <c r="E600" s="87"/>
      <c r="F600" s="87"/>
      <c r="G600" s="87"/>
      <c r="H600" s="146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</row>
    <row r="601" ht="18.75" customHeight="1">
      <c r="A601" s="87"/>
      <c r="B601" s="87"/>
      <c r="C601" s="87"/>
      <c r="D601" s="87"/>
      <c r="E601" s="87"/>
      <c r="F601" s="87"/>
      <c r="G601" s="87"/>
      <c r="H601" s="146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</row>
    <row r="602" ht="18.75" customHeight="1">
      <c r="A602" s="87"/>
      <c r="B602" s="87"/>
      <c r="C602" s="87"/>
      <c r="D602" s="87"/>
      <c r="E602" s="87"/>
      <c r="F602" s="87"/>
      <c r="G602" s="87"/>
      <c r="H602" s="146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</row>
    <row r="603" ht="18.75" customHeight="1">
      <c r="A603" s="87"/>
      <c r="B603" s="87"/>
      <c r="C603" s="87"/>
      <c r="D603" s="87"/>
      <c r="E603" s="87"/>
      <c r="F603" s="87"/>
      <c r="G603" s="87"/>
      <c r="H603" s="146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</row>
    <row r="604" ht="18.75" customHeight="1">
      <c r="A604" s="87"/>
      <c r="B604" s="87"/>
      <c r="C604" s="87"/>
      <c r="D604" s="87"/>
      <c r="E604" s="87"/>
      <c r="F604" s="87"/>
      <c r="G604" s="87"/>
      <c r="H604" s="146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</row>
    <row r="605" ht="18.75" customHeight="1">
      <c r="A605" s="87"/>
      <c r="B605" s="87"/>
      <c r="C605" s="87"/>
      <c r="D605" s="87"/>
      <c r="E605" s="87"/>
      <c r="F605" s="87"/>
      <c r="G605" s="87"/>
      <c r="H605" s="146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</row>
    <row r="606" ht="18.75" customHeight="1">
      <c r="A606" s="87"/>
      <c r="B606" s="87"/>
      <c r="C606" s="87"/>
      <c r="D606" s="87"/>
      <c r="E606" s="87"/>
      <c r="F606" s="87"/>
      <c r="G606" s="87"/>
      <c r="H606" s="146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</row>
    <row r="607" ht="18.75" customHeight="1">
      <c r="A607" s="87"/>
      <c r="B607" s="87"/>
      <c r="C607" s="87"/>
      <c r="D607" s="87"/>
      <c r="E607" s="87"/>
      <c r="F607" s="87"/>
      <c r="G607" s="87"/>
      <c r="H607" s="146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</row>
    <row r="608" ht="18.75" customHeight="1">
      <c r="A608" s="87"/>
      <c r="B608" s="87"/>
      <c r="C608" s="87"/>
      <c r="D608" s="87"/>
      <c r="E608" s="87"/>
      <c r="F608" s="87"/>
      <c r="G608" s="87"/>
      <c r="H608" s="146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</row>
    <row r="609" ht="18.75" customHeight="1">
      <c r="A609" s="87"/>
      <c r="B609" s="87"/>
      <c r="C609" s="87"/>
      <c r="D609" s="87"/>
      <c r="E609" s="87"/>
      <c r="F609" s="87"/>
      <c r="G609" s="87"/>
      <c r="H609" s="146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</row>
    <row r="610" ht="18.75" customHeight="1">
      <c r="A610" s="87"/>
      <c r="B610" s="87"/>
      <c r="C610" s="87"/>
      <c r="D610" s="87"/>
      <c r="E610" s="87"/>
      <c r="F610" s="87"/>
      <c r="G610" s="87"/>
      <c r="H610" s="146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</row>
    <row r="611" ht="18.75" customHeight="1">
      <c r="A611" s="87"/>
      <c r="B611" s="87"/>
      <c r="C611" s="87"/>
      <c r="D611" s="87"/>
      <c r="E611" s="87"/>
      <c r="F611" s="87"/>
      <c r="G611" s="87"/>
      <c r="H611" s="146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</row>
    <row r="612" ht="18.75" customHeight="1">
      <c r="A612" s="87"/>
      <c r="B612" s="87"/>
      <c r="C612" s="87"/>
      <c r="D612" s="87"/>
      <c r="E612" s="87"/>
      <c r="F612" s="87"/>
      <c r="G612" s="87"/>
      <c r="H612" s="146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</row>
    <row r="613" ht="18.75" customHeight="1">
      <c r="A613" s="87"/>
      <c r="B613" s="87"/>
      <c r="C613" s="87"/>
      <c r="D613" s="87"/>
      <c r="E613" s="87"/>
      <c r="F613" s="87"/>
      <c r="G613" s="87"/>
      <c r="H613" s="146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</row>
    <row r="614" ht="18.75" customHeight="1">
      <c r="A614" s="87"/>
      <c r="B614" s="87"/>
      <c r="C614" s="87"/>
      <c r="D614" s="87"/>
      <c r="E614" s="87"/>
      <c r="F614" s="87"/>
      <c r="G614" s="87"/>
      <c r="H614" s="146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</row>
    <row r="615" ht="18.75" customHeight="1">
      <c r="A615" s="87"/>
      <c r="B615" s="87"/>
      <c r="C615" s="87"/>
      <c r="D615" s="87"/>
      <c r="E615" s="87"/>
      <c r="F615" s="87"/>
      <c r="G615" s="87"/>
      <c r="H615" s="146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</row>
    <row r="616" ht="18.75" customHeight="1">
      <c r="A616" s="87"/>
      <c r="B616" s="87"/>
      <c r="C616" s="87"/>
      <c r="D616" s="87"/>
      <c r="E616" s="87"/>
      <c r="F616" s="87"/>
      <c r="G616" s="87"/>
      <c r="H616" s="146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</row>
    <row r="617" ht="18.75" customHeight="1">
      <c r="A617" s="87"/>
      <c r="B617" s="87"/>
      <c r="C617" s="87"/>
      <c r="D617" s="87"/>
      <c r="E617" s="87"/>
      <c r="F617" s="87"/>
      <c r="G617" s="87"/>
      <c r="H617" s="146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</row>
    <row r="618" ht="18.75" customHeight="1">
      <c r="A618" s="87"/>
      <c r="B618" s="87"/>
      <c r="C618" s="87"/>
      <c r="D618" s="87"/>
      <c r="E618" s="87"/>
      <c r="F618" s="87"/>
      <c r="G618" s="87"/>
      <c r="H618" s="146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</row>
    <row r="619" ht="18.75" customHeight="1">
      <c r="A619" s="87"/>
      <c r="B619" s="87"/>
      <c r="C619" s="87"/>
      <c r="D619" s="87"/>
      <c r="E619" s="87"/>
      <c r="F619" s="87"/>
      <c r="G619" s="87"/>
      <c r="H619" s="146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</row>
    <row r="620" ht="18.75" customHeight="1">
      <c r="A620" s="87"/>
      <c r="B620" s="87"/>
      <c r="C620" s="87"/>
      <c r="D620" s="87"/>
      <c r="E620" s="87"/>
      <c r="F620" s="87"/>
      <c r="G620" s="87"/>
      <c r="H620" s="146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</row>
    <row r="621" ht="18.75" customHeight="1">
      <c r="A621" s="87"/>
      <c r="B621" s="87"/>
      <c r="C621" s="87"/>
      <c r="D621" s="87"/>
      <c r="E621" s="87"/>
      <c r="F621" s="87"/>
      <c r="G621" s="87"/>
      <c r="H621" s="146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</row>
    <row r="622" ht="18.75" customHeight="1">
      <c r="A622" s="87"/>
      <c r="B622" s="87"/>
      <c r="C622" s="87"/>
      <c r="D622" s="87"/>
      <c r="E622" s="87"/>
      <c r="F622" s="87"/>
      <c r="G622" s="87"/>
      <c r="H622" s="146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</row>
    <row r="623" ht="18.75" customHeight="1">
      <c r="A623" s="87"/>
      <c r="B623" s="87"/>
      <c r="C623" s="87"/>
      <c r="D623" s="87"/>
      <c r="E623" s="87"/>
      <c r="F623" s="87"/>
      <c r="G623" s="87"/>
      <c r="H623" s="146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</row>
    <row r="624" ht="18.75" customHeight="1">
      <c r="A624" s="87"/>
      <c r="B624" s="87"/>
      <c r="C624" s="87"/>
      <c r="D624" s="87"/>
      <c r="E624" s="87"/>
      <c r="F624" s="87"/>
      <c r="G624" s="87"/>
      <c r="H624" s="146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</row>
    <row r="625" ht="18.75" customHeight="1">
      <c r="A625" s="87"/>
      <c r="B625" s="87"/>
      <c r="C625" s="87"/>
      <c r="D625" s="87"/>
      <c r="E625" s="87"/>
      <c r="F625" s="87"/>
      <c r="G625" s="87"/>
      <c r="H625" s="146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</row>
    <row r="626" ht="18.75" customHeight="1">
      <c r="A626" s="87"/>
      <c r="B626" s="87"/>
      <c r="C626" s="87"/>
      <c r="D626" s="87"/>
      <c r="E626" s="87"/>
      <c r="F626" s="87"/>
      <c r="G626" s="87"/>
      <c r="H626" s="146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</row>
    <row r="627" ht="18.75" customHeight="1">
      <c r="A627" s="87"/>
      <c r="B627" s="87"/>
      <c r="C627" s="87"/>
      <c r="D627" s="87"/>
      <c r="E627" s="87"/>
      <c r="F627" s="87"/>
      <c r="G627" s="87"/>
      <c r="H627" s="146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</row>
    <row r="628" ht="18.75" customHeight="1">
      <c r="A628" s="87"/>
      <c r="B628" s="87"/>
      <c r="C628" s="87"/>
      <c r="D628" s="87"/>
      <c r="E628" s="87"/>
      <c r="F628" s="87"/>
      <c r="G628" s="87"/>
      <c r="H628" s="146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</row>
    <row r="629" ht="18.75" customHeight="1">
      <c r="A629" s="87"/>
      <c r="B629" s="87"/>
      <c r="C629" s="87"/>
      <c r="D629" s="87"/>
      <c r="E629" s="87"/>
      <c r="F629" s="87"/>
      <c r="G629" s="87"/>
      <c r="H629" s="146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</row>
    <row r="630" ht="18.75" customHeight="1">
      <c r="A630" s="87"/>
      <c r="B630" s="87"/>
      <c r="C630" s="87"/>
      <c r="D630" s="87"/>
      <c r="E630" s="87"/>
      <c r="F630" s="87"/>
      <c r="G630" s="87"/>
      <c r="H630" s="146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</row>
    <row r="631" ht="18.75" customHeight="1">
      <c r="A631" s="87"/>
      <c r="B631" s="87"/>
      <c r="C631" s="87"/>
      <c r="D631" s="87"/>
      <c r="E631" s="87"/>
      <c r="F631" s="87"/>
      <c r="G631" s="87"/>
      <c r="H631" s="146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</row>
    <row r="632" ht="18.75" customHeight="1">
      <c r="A632" s="87"/>
      <c r="B632" s="87"/>
      <c r="C632" s="87"/>
      <c r="D632" s="87"/>
      <c r="E632" s="87"/>
      <c r="F632" s="87"/>
      <c r="G632" s="87"/>
      <c r="H632" s="146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</row>
    <row r="633" ht="18.75" customHeight="1">
      <c r="A633" s="87"/>
      <c r="B633" s="87"/>
      <c r="C633" s="87"/>
      <c r="D633" s="87"/>
      <c r="E633" s="87"/>
      <c r="F633" s="87"/>
      <c r="G633" s="87"/>
      <c r="H633" s="146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</row>
    <row r="634" ht="18.75" customHeight="1">
      <c r="A634" s="87"/>
      <c r="B634" s="87"/>
      <c r="C634" s="87"/>
      <c r="D634" s="87"/>
      <c r="E634" s="87"/>
      <c r="F634" s="87"/>
      <c r="G634" s="87"/>
      <c r="H634" s="146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</row>
    <row r="635" ht="18.75" customHeight="1">
      <c r="A635" s="87"/>
      <c r="B635" s="87"/>
      <c r="C635" s="87"/>
      <c r="D635" s="87"/>
      <c r="E635" s="87"/>
      <c r="F635" s="87"/>
      <c r="G635" s="87"/>
      <c r="H635" s="146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</row>
    <row r="636" ht="18.75" customHeight="1">
      <c r="A636" s="87"/>
      <c r="B636" s="87"/>
      <c r="H636" s="146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</row>
    <row r="637" ht="18.75" customHeight="1">
      <c r="A637" s="87"/>
      <c r="H637" s="146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</row>
    <row r="638" ht="18.75" customHeight="1">
      <c r="A638" s="87"/>
      <c r="H638" s="146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</row>
    <row r="639" ht="18.75" customHeight="1">
      <c r="A639" s="87"/>
      <c r="H639" s="146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</row>
    <row r="640" ht="18.75" customHeight="1">
      <c r="A640" s="87"/>
      <c r="H640" s="146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</row>
    <row r="641" ht="18.75" customHeight="1">
      <c r="A641" s="87"/>
      <c r="H641" s="146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</row>
    <row r="642" ht="18.75" customHeight="1">
      <c r="A642" s="87"/>
      <c r="H642" s="146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</row>
    <row r="643" ht="18.75" customHeight="1">
      <c r="A643" s="87"/>
      <c r="H643" s="146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</row>
    <row r="644" ht="18.75" customHeight="1">
      <c r="A644" s="87"/>
      <c r="H644" s="146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</row>
    <row r="645" ht="18.75" customHeight="1">
      <c r="A645" s="87"/>
      <c r="H645" s="146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</row>
    <row r="646" ht="18.75" customHeight="1">
      <c r="A646" s="87"/>
      <c r="H646" s="146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</row>
    <row r="647" ht="18.75" customHeight="1">
      <c r="A647" s="87"/>
      <c r="H647" s="146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</row>
    <row r="648" ht="18.75" customHeight="1">
      <c r="A648" s="87"/>
      <c r="H648" s="146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</row>
    <row r="649" ht="18.75" customHeight="1">
      <c r="A649" s="87"/>
      <c r="H649" s="146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</row>
    <row r="650" ht="18.75" customHeight="1">
      <c r="A650" s="87"/>
      <c r="H650" s="146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</row>
    <row r="651" ht="18.75" customHeight="1">
      <c r="A651" s="87"/>
      <c r="H651" s="146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</row>
    <row r="652" ht="18.75" customHeight="1">
      <c r="A652" s="87"/>
      <c r="H652" s="146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</row>
    <row r="653" ht="18.75" customHeight="1">
      <c r="A653" s="87"/>
      <c r="H653" s="146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</row>
    <row r="654" ht="18.75" customHeight="1">
      <c r="A654" s="87"/>
      <c r="H654" s="146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</row>
    <row r="655" ht="18.75" customHeight="1">
      <c r="A655" s="87"/>
      <c r="H655" s="146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</row>
    <row r="656" ht="18.75" customHeight="1">
      <c r="A656" s="87"/>
      <c r="H656" s="146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</row>
    <row r="657" ht="18.75" customHeight="1">
      <c r="A657" s="87"/>
      <c r="H657" s="146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</row>
    <row r="658" ht="18.75" customHeight="1">
      <c r="A658" s="87"/>
      <c r="H658" s="146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</row>
    <row r="659" ht="18.75" customHeight="1">
      <c r="A659" s="87"/>
      <c r="H659" s="146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</row>
    <row r="660" ht="18.75" customHeight="1">
      <c r="A660" s="87"/>
      <c r="H660" s="146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</row>
    <row r="661" ht="18.75" customHeight="1">
      <c r="A661" s="87"/>
      <c r="H661" s="146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</row>
    <row r="662" ht="18.75" customHeight="1">
      <c r="A662" s="87"/>
      <c r="H662" s="146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</row>
    <row r="663" ht="18.75" customHeight="1">
      <c r="A663" s="87"/>
      <c r="H663" s="146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</row>
    <row r="664" ht="18.75" customHeight="1">
      <c r="A664" s="87"/>
      <c r="H664" s="146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</row>
    <row r="665" ht="18.75" customHeight="1">
      <c r="A665" s="87"/>
      <c r="H665" s="146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</row>
    <row r="666" ht="18.75" customHeight="1">
      <c r="A666" s="87"/>
      <c r="H666" s="146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</row>
    <row r="667" ht="18.75" customHeight="1">
      <c r="A667" s="87"/>
      <c r="H667" s="146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</row>
    <row r="668" ht="18.75" customHeight="1">
      <c r="A668" s="87"/>
      <c r="H668" s="146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</row>
    <row r="669" ht="18.75" customHeight="1">
      <c r="A669" s="87"/>
      <c r="H669" s="146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</row>
    <row r="670" ht="18.75" customHeight="1">
      <c r="A670" s="87"/>
      <c r="H670" s="146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</row>
    <row r="671" ht="18.75" customHeight="1">
      <c r="A671" s="87"/>
      <c r="H671" s="146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</row>
    <row r="672" ht="18.75" customHeight="1">
      <c r="A672" s="87"/>
      <c r="H672" s="146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</row>
    <row r="673" ht="18.75" customHeight="1">
      <c r="A673" s="87"/>
      <c r="H673" s="146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</row>
    <row r="674" ht="18.75" customHeight="1">
      <c r="A674" s="87"/>
      <c r="H674" s="146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</row>
    <row r="675" ht="18.75" customHeight="1">
      <c r="A675" s="87"/>
      <c r="H675" s="146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</row>
    <row r="676" ht="18.75" customHeight="1">
      <c r="A676" s="87"/>
      <c r="H676" s="146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</row>
    <row r="677" ht="18.75" customHeight="1">
      <c r="A677" s="87"/>
      <c r="H677" s="146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</row>
    <row r="678" ht="18.75" customHeight="1">
      <c r="A678" s="87"/>
      <c r="H678" s="146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</row>
    <row r="679" ht="18.75" customHeight="1">
      <c r="A679" s="87"/>
      <c r="H679" s="146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</row>
    <row r="680" ht="18.75" customHeight="1">
      <c r="A680" s="87"/>
      <c r="H680" s="146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</row>
    <row r="681" ht="18.75" customHeight="1">
      <c r="A681" s="87"/>
      <c r="H681" s="146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</row>
    <row r="682" ht="18.75" customHeight="1">
      <c r="A682" s="87"/>
      <c r="H682" s="146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</row>
    <row r="683" ht="18.75" customHeight="1">
      <c r="A683" s="87"/>
      <c r="H683" s="146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</row>
    <row r="684" ht="18.75" customHeight="1">
      <c r="A684" s="87"/>
      <c r="H684" s="146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</row>
    <row r="685" ht="18.75" customHeight="1">
      <c r="A685" s="87"/>
      <c r="H685" s="146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</row>
    <row r="686" ht="18.75" customHeight="1">
      <c r="A686" s="87"/>
      <c r="H686" s="146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</row>
    <row r="687" ht="18.75" customHeight="1">
      <c r="A687" s="87"/>
      <c r="H687" s="146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</row>
    <row r="688" ht="18.75" customHeight="1">
      <c r="A688" s="87"/>
      <c r="H688" s="146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</row>
    <row r="689" ht="18.75" customHeight="1">
      <c r="A689" s="87"/>
      <c r="H689" s="146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</row>
    <row r="690" ht="18.75" customHeight="1">
      <c r="A690" s="87"/>
      <c r="H690" s="146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</row>
    <row r="691" ht="18.75" customHeight="1">
      <c r="A691" s="87"/>
      <c r="H691" s="146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</row>
    <row r="692" ht="18.75" customHeight="1">
      <c r="A692" s="87"/>
      <c r="H692" s="146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</row>
    <row r="693" ht="18.75" customHeight="1">
      <c r="A693" s="87"/>
      <c r="H693" s="146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</row>
    <row r="694" ht="18.75" customHeight="1">
      <c r="A694" s="87"/>
      <c r="H694" s="146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</row>
    <row r="695" ht="18.75" customHeight="1">
      <c r="A695" s="87"/>
      <c r="H695" s="146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</row>
    <row r="696" ht="18.75" customHeight="1">
      <c r="A696" s="87"/>
      <c r="H696" s="146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</row>
    <row r="697" ht="18.75" customHeight="1">
      <c r="A697" s="87"/>
      <c r="H697" s="146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</row>
    <row r="698" ht="18.75" customHeight="1">
      <c r="A698" s="87"/>
      <c r="H698" s="146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</row>
    <row r="699" ht="18.75" customHeight="1">
      <c r="A699" s="87"/>
      <c r="H699" s="146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</row>
    <row r="700" ht="18.75" customHeight="1">
      <c r="A700" s="87"/>
      <c r="H700" s="146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</row>
    <row r="701" ht="18.75" customHeight="1">
      <c r="A701" s="87"/>
      <c r="H701" s="146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</row>
    <row r="702" ht="18.75" customHeight="1">
      <c r="A702" s="87"/>
      <c r="H702" s="146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</row>
    <row r="703" ht="18.75" customHeight="1">
      <c r="A703" s="87"/>
      <c r="H703" s="146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</row>
    <row r="704" ht="18.75" customHeight="1">
      <c r="A704" s="87"/>
      <c r="H704" s="146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</row>
    <row r="705" ht="18.75" customHeight="1">
      <c r="A705" s="87"/>
      <c r="H705" s="146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</row>
    <row r="706" ht="18.75" customHeight="1">
      <c r="A706" s="87"/>
      <c r="H706" s="146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</row>
    <row r="707" ht="18.75" customHeight="1">
      <c r="A707" s="87"/>
      <c r="H707" s="146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</row>
    <row r="708" ht="18.75" customHeight="1">
      <c r="A708" s="87"/>
      <c r="H708" s="146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</row>
    <row r="709" ht="18.75" customHeight="1">
      <c r="A709" s="87"/>
      <c r="H709" s="146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</row>
    <row r="710" ht="18.75" customHeight="1">
      <c r="A710" s="87"/>
      <c r="H710" s="146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</row>
    <row r="711" ht="18.75" customHeight="1">
      <c r="A711" s="87"/>
      <c r="H711" s="146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</row>
    <row r="712" ht="18.75" customHeight="1">
      <c r="A712" s="87"/>
      <c r="H712" s="146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</row>
    <row r="713" ht="18.75" customHeight="1">
      <c r="A713" s="87"/>
      <c r="H713" s="146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</row>
    <row r="714" ht="18.75" customHeight="1">
      <c r="A714" s="87"/>
      <c r="H714" s="146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</row>
    <row r="715" ht="18.75" customHeight="1">
      <c r="A715" s="87"/>
      <c r="H715" s="146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</row>
    <row r="716" ht="18.75" customHeight="1">
      <c r="A716" s="87"/>
      <c r="H716" s="146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</row>
    <row r="717" ht="18.75" customHeight="1">
      <c r="A717" s="87"/>
      <c r="H717" s="146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</row>
    <row r="718" ht="18.75" customHeight="1">
      <c r="A718" s="87"/>
      <c r="H718" s="146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</row>
    <row r="719" ht="18.75" customHeight="1">
      <c r="A719" s="87"/>
      <c r="H719" s="146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</row>
    <row r="720" ht="18.75" customHeight="1">
      <c r="A720" s="87"/>
      <c r="H720" s="146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</row>
    <row r="721" ht="18.75" customHeight="1">
      <c r="A721" s="87"/>
      <c r="H721" s="146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</row>
    <row r="722" ht="18.75" customHeight="1">
      <c r="A722" s="87"/>
      <c r="H722" s="146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</row>
    <row r="723" ht="18.75" customHeight="1">
      <c r="A723" s="87"/>
      <c r="H723" s="146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</row>
    <row r="724" ht="18.75" customHeight="1">
      <c r="A724" s="87"/>
      <c r="H724" s="146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</row>
    <row r="725" ht="18.75" customHeight="1">
      <c r="A725" s="87"/>
      <c r="H725" s="146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</row>
    <row r="726" ht="18.75" customHeight="1">
      <c r="A726" s="87"/>
      <c r="H726" s="146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</row>
    <row r="727" ht="18.75" customHeight="1">
      <c r="A727" s="87"/>
      <c r="H727" s="146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</row>
    <row r="728" ht="18.75" customHeight="1">
      <c r="A728" s="87"/>
      <c r="H728" s="146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</row>
    <row r="729" ht="18.75" customHeight="1">
      <c r="A729" s="87"/>
      <c r="H729" s="146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</row>
    <row r="730" ht="18.75" customHeight="1">
      <c r="A730" s="87"/>
      <c r="H730" s="146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</row>
    <row r="731" ht="18.75" customHeight="1">
      <c r="A731" s="87"/>
      <c r="H731" s="146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</row>
    <row r="732" ht="18.75" customHeight="1">
      <c r="A732" s="87"/>
      <c r="H732" s="146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</row>
    <row r="733" ht="18.75" customHeight="1">
      <c r="A733" s="87"/>
      <c r="H733" s="146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</row>
    <row r="734" ht="18.75" customHeight="1">
      <c r="A734" s="87"/>
      <c r="H734" s="146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</row>
    <row r="735" ht="18.75" customHeight="1">
      <c r="A735" s="87"/>
      <c r="H735" s="146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</row>
    <row r="736" ht="18.75" customHeight="1">
      <c r="A736" s="87"/>
      <c r="H736" s="146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</row>
    <row r="737" ht="18.75" customHeight="1">
      <c r="A737" s="87"/>
      <c r="H737" s="146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</row>
    <row r="738" ht="18.75" customHeight="1">
      <c r="A738" s="87"/>
      <c r="H738" s="146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</row>
    <row r="739" ht="18.75" customHeight="1">
      <c r="A739" s="87"/>
      <c r="H739" s="146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</row>
    <row r="740" ht="18.75" customHeight="1">
      <c r="A740" s="87"/>
      <c r="H740" s="146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</row>
    <row r="741" ht="18.75" customHeight="1">
      <c r="A741" s="87"/>
      <c r="H741" s="146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</row>
    <row r="742" ht="18.75" customHeight="1">
      <c r="A742" s="87"/>
      <c r="H742" s="146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</row>
    <row r="743" ht="18.75" customHeight="1">
      <c r="A743" s="87"/>
      <c r="H743" s="146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</row>
    <row r="744" ht="18.75" customHeight="1">
      <c r="A744" s="87"/>
      <c r="H744" s="146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</row>
    <row r="745" ht="18.75" customHeight="1">
      <c r="A745" s="87"/>
      <c r="H745" s="146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</row>
    <row r="746" ht="18.75" customHeight="1">
      <c r="A746" s="87"/>
      <c r="H746" s="146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</row>
    <row r="747" ht="18.75" customHeight="1">
      <c r="A747" s="87"/>
      <c r="H747" s="146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</row>
    <row r="748" ht="18.75" customHeight="1">
      <c r="A748" s="87"/>
      <c r="H748" s="146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</row>
    <row r="749" ht="18.75" customHeight="1">
      <c r="A749" s="87"/>
      <c r="H749" s="146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</row>
    <row r="750" ht="18.75" customHeight="1">
      <c r="A750" s="87"/>
      <c r="H750" s="146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</row>
    <row r="751" ht="18.75" customHeight="1">
      <c r="A751" s="87"/>
      <c r="H751" s="146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</row>
    <row r="752" ht="18.75" customHeight="1">
      <c r="A752" s="87"/>
      <c r="H752" s="146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</row>
    <row r="753" ht="18.75" customHeight="1">
      <c r="A753" s="87"/>
      <c r="H753" s="146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</row>
    <row r="754" ht="18.75" customHeight="1">
      <c r="A754" s="87"/>
      <c r="H754" s="146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</row>
    <row r="755" ht="18.75" customHeight="1">
      <c r="A755" s="87"/>
      <c r="H755" s="146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</row>
    <row r="756" ht="18.75" customHeight="1">
      <c r="A756" s="87"/>
      <c r="H756" s="146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</row>
    <row r="757" ht="18.75" customHeight="1">
      <c r="A757" s="87"/>
      <c r="H757" s="146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</row>
    <row r="758" ht="18.75" customHeight="1">
      <c r="A758" s="87"/>
      <c r="H758" s="146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</row>
    <row r="759" ht="18.75" customHeight="1">
      <c r="A759" s="87"/>
      <c r="H759" s="146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</row>
    <row r="760" ht="18.75" customHeight="1">
      <c r="A760" s="87"/>
      <c r="H760" s="146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</row>
    <row r="761" ht="18.75" customHeight="1">
      <c r="A761" s="87"/>
      <c r="H761" s="146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</row>
    <row r="762" ht="18.75" customHeight="1">
      <c r="A762" s="87"/>
      <c r="H762" s="146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</row>
    <row r="763" ht="18.75" customHeight="1">
      <c r="A763" s="87"/>
      <c r="H763" s="146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</row>
    <row r="764" ht="18.75" customHeight="1">
      <c r="A764" s="87"/>
      <c r="H764" s="146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</row>
    <row r="765" ht="18.75" customHeight="1">
      <c r="A765" s="87"/>
      <c r="H765" s="146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</row>
    <row r="766" ht="18.75" customHeight="1">
      <c r="A766" s="87"/>
      <c r="H766" s="146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</row>
    <row r="767" ht="18.75" customHeight="1">
      <c r="A767" s="87"/>
      <c r="H767" s="146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</row>
    <row r="768" ht="18.75" customHeight="1">
      <c r="A768" s="87"/>
      <c r="H768" s="146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</row>
    <row r="769" ht="18.75" customHeight="1">
      <c r="A769" s="87"/>
      <c r="H769" s="146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</row>
    <row r="770" ht="18.75" customHeight="1">
      <c r="A770" s="87"/>
      <c r="H770" s="146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</row>
    <row r="771" ht="18.75" customHeight="1">
      <c r="A771" s="87"/>
      <c r="H771" s="146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</row>
    <row r="772" ht="18.75" customHeight="1">
      <c r="A772" s="87"/>
      <c r="H772" s="146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</row>
    <row r="773" ht="18.75" customHeight="1">
      <c r="A773" s="87"/>
      <c r="H773" s="146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</row>
    <row r="774" ht="18.75" customHeight="1">
      <c r="A774" s="87"/>
      <c r="H774" s="146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</row>
    <row r="775" ht="18.75" customHeight="1">
      <c r="A775" s="87"/>
      <c r="H775" s="146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</row>
    <row r="776" ht="18.75" customHeight="1">
      <c r="A776" s="87"/>
      <c r="H776" s="146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</row>
    <row r="777" ht="18.75" customHeight="1">
      <c r="A777" s="87"/>
      <c r="H777" s="146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</row>
    <row r="778" ht="18.75" customHeight="1">
      <c r="A778" s="87"/>
      <c r="H778" s="146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</row>
    <row r="779" ht="18.75" customHeight="1">
      <c r="A779" s="87"/>
      <c r="H779" s="146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</row>
    <row r="780" ht="18.75" customHeight="1">
      <c r="A780" s="87"/>
      <c r="H780" s="146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</row>
    <row r="781" ht="18.75" customHeight="1">
      <c r="A781" s="87"/>
      <c r="H781" s="146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</row>
    <row r="782" ht="18.75" customHeight="1">
      <c r="A782" s="87"/>
      <c r="H782" s="146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</row>
    <row r="783" ht="18.75" customHeight="1">
      <c r="A783" s="87"/>
      <c r="H783" s="146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</row>
    <row r="784" ht="18.75" customHeight="1">
      <c r="A784" s="87"/>
      <c r="H784" s="146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</row>
    <row r="785" ht="18.75" customHeight="1">
      <c r="A785" s="87"/>
      <c r="H785" s="146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</row>
    <row r="786" ht="18.75" customHeight="1">
      <c r="A786" s="87"/>
      <c r="H786" s="146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</row>
    <row r="787" ht="18.75" customHeight="1">
      <c r="A787" s="87"/>
      <c r="H787" s="146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</row>
    <row r="788" ht="18.75" customHeight="1">
      <c r="A788" s="87"/>
      <c r="H788" s="146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</row>
    <row r="789" ht="18.75" customHeight="1">
      <c r="A789" s="87"/>
      <c r="H789" s="146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</row>
    <row r="790" ht="18.75" customHeight="1">
      <c r="A790" s="87"/>
      <c r="H790" s="146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</row>
    <row r="791" ht="18.75" customHeight="1">
      <c r="A791" s="87"/>
      <c r="H791" s="146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</row>
    <row r="792" ht="18.75" customHeight="1">
      <c r="A792" s="87"/>
      <c r="H792" s="146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</row>
    <row r="793" ht="18.75" customHeight="1">
      <c r="A793" s="87"/>
      <c r="H793" s="146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</row>
    <row r="794" ht="18.75" customHeight="1">
      <c r="A794" s="87"/>
      <c r="H794" s="146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</row>
    <row r="795" ht="18.75" customHeight="1">
      <c r="A795" s="87"/>
      <c r="H795" s="146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</row>
    <row r="796" ht="18.75" customHeight="1">
      <c r="A796" s="87"/>
      <c r="H796" s="146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</row>
    <row r="797" ht="18.75" customHeight="1">
      <c r="A797" s="87"/>
      <c r="H797" s="146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</row>
    <row r="798" ht="18.75" customHeight="1">
      <c r="A798" s="87"/>
      <c r="H798" s="146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</row>
    <row r="799" ht="18.75" customHeight="1">
      <c r="A799" s="87"/>
      <c r="H799" s="146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</row>
    <row r="800" ht="18.75" customHeight="1">
      <c r="A800" s="87"/>
      <c r="H800" s="146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</row>
    <row r="801" ht="18.75" customHeight="1">
      <c r="A801" s="87"/>
      <c r="H801" s="146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</row>
    <row r="802" ht="18.75" customHeight="1">
      <c r="A802" s="87"/>
      <c r="H802" s="146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</row>
    <row r="803" ht="18.75" customHeight="1">
      <c r="A803" s="87"/>
      <c r="H803" s="146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</row>
    <row r="804" ht="18.75" customHeight="1">
      <c r="A804" s="87"/>
      <c r="H804" s="146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</row>
    <row r="805" ht="18.75" customHeight="1">
      <c r="A805" s="87"/>
      <c r="H805" s="146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</row>
    <row r="806" ht="18.75" customHeight="1">
      <c r="A806" s="87"/>
      <c r="H806" s="146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</row>
    <row r="807" ht="18.75" customHeight="1">
      <c r="A807" s="87"/>
      <c r="H807" s="146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</row>
    <row r="808" ht="18.75" customHeight="1">
      <c r="A808" s="87"/>
      <c r="H808" s="146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</row>
    <row r="809" ht="18.75" customHeight="1">
      <c r="A809" s="87"/>
      <c r="H809" s="146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</row>
    <row r="810" ht="18.75" customHeight="1">
      <c r="A810" s="87"/>
      <c r="H810" s="146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</row>
    <row r="811" ht="18.75" customHeight="1">
      <c r="A811" s="87"/>
      <c r="H811" s="146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</row>
    <row r="812" ht="18.75" customHeight="1">
      <c r="A812" s="87"/>
      <c r="H812" s="146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</row>
    <row r="813" ht="18.75" customHeight="1">
      <c r="A813" s="87"/>
      <c r="H813" s="146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</row>
    <row r="814" ht="18.75" customHeight="1">
      <c r="A814" s="87"/>
      <c r="H814" s="146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</row>
    <row r="815" ht="18.75" customHeight="1">
      <c r="A815" s="87"/>
      <c r="H815" s="146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</row>
    <row r="816" ht="18.75" customHeight="1">
      <c r="A816" s="87"/>
      <c r="H816" s="146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</row>
    <row r="817" ht="18.75" customHeight="1">
      <c r="A817" s="87"/>
      <c r="H817" s="146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</row>
    <row r="818" ht="18.75" customHeight="1">
      <c r="A818" s="87"/>
      <c r="H818" s="146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</row>
    <row r="819" ht="18.75" customHeight="1">
      <c r="A819" s="87"/>
      <c r="H819" s="146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</row>
    <row r="820" ht="18.75" customHeight="1">
      <c r="A820" s="87"/>
      <c r="H820" s="146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</row>
    <row r="821" ht="18.75" customHeight="1">
      <c r="A821" s="87"/>
      <c r="H821" s="146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</row>
    <row r="822" ht="18.75" customHeight="1">
      <c r="A822" s="87"/>
      <c r="H822" s="146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</row>
    <row r="823" ht="18.75" customHeight="1">
      <c r="A823" s="87"/>
      <c r="H823" s="146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</row>
    <row r="824" ht="18.75" customHeight="1">
      <c r="A824" s="87"/>
      <c r="H824" s="146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</row>
    <row r="825" ht="18.75" customHeight="1">
      <c r="A825" s="87"/>
      <c r="H825" s="146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</row>
    <row r="826" ht="18.75" customHeight="1">
      <c r="A826" s="87"/>
      <c r="H826" s="146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</row>
    <row r="827" ht="18.75" customHeight="1">
      <c r="A827" s="87"/>
      <c r="H827" s="146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</row>
    <row r="828" ht="18.75" customHeight="1">
      <c r="A828" s="87"/>
      <c r="H828" s="146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</row>
    <row r="829" ht="18.75" customHeight="1">
      <c r="A829" s="87"/>
      <c r="H829" s="146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</row>
    <row r="830" ht="18.75" customHeight="1">
      <c r="A830" s="87"/>
      <c r="H830" s="146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</row>
    <row r="831" ht="18.75" customHeight="1">
      <c r="A831" s="87"/>
      <c r="H831" s="146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</row>
    <row r="832" ht="18.75" customHeight="1">
      <c r="A832" s="87"/>
      <c r="H832" s="146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</row>
    <row r="833" ht="18.75" customHeight="1">
      <c r="A833" s="87"/>
      <c r="H833" s="146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</row>
    <row r="834" ht="18.75" customHeight="1">
      <c r="A834" s="87"/>
      <c r="H834" s="146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</row>
    <row r="835" ht="18.75" customHeight="1">
      <c r="A835" s="87"/>
      <c r="H835" s="146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</row>
    <row r="836" ht="18.75" customHeight="1">
      <c r="A836" s="87"/>
      <c r="H836" s="146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</row>
    <row r="837" ht="18.75" customHeight="1">
      <c r="A837" s="87"/>
      <c r="H837" s="146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</row>
    <row r="838" ht="18.75" customHeight="1">
      <c r="A838" s="87"/>
      <c r="H838" s="146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</row>
    <row r="839" ht="18.75" customHeight="1">
      <c r="A839" s="87"/>
      <c r="H839" s="146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</row>
    <row r="840" ht="18.75" customHeight="1">
      <c r="A840" s="87"/>
      <c r="H840" s="146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</row>
    <row r="841" ht="18.75" customHeight="1">
      <c r="A841" s="87"/>
      <c r="H841" s="146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</row>
    <row r="842" ht="18.75" customHeight="1">
      <c r="A842" s="87"/>
      <c r="H842" s="146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</row>
    <row r="843" ht="18.75" customHeight="1">
      <c r="A843" s="87"/>
      <c r="H843" s="146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</row>
    <row r="844" ht="18.75" customHeight="1">
      <c r="A844" s="87"/>
      <c r="H844" s="146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</row>
    <row r="845" ht="18.75" customHeight="1">
      <c r="A845" s="87"/>
      <c r="H845" s="146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</row>
    <row r="846" ht="18.75" customHeight="1">
      <c r="A846" s="87"/>
      <c r="H846" s="146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</row>
    <row r="847" ht="18.75" customHeight="1">
      <c r="A847" s="87"/>
      <c r="H847" s="146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</row>
    <row r="848" ht="18.75" customHeight="1">
      <c r="A848" s="87"/>
      <c r="H848" s="146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</row>
    <row r="849" ht="18.75" customHeight="1">
      <c r="A849" s="87"/>
      <c r="H849" s="146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</row>
    <row r="850" ht="18.75" customHeight="1">
      <c r="A850" s="87"/>
      <c r="H850" s="146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</row>
    <row r="851" ht="18.75" customHeight="1">
      <c r="A851" s="87"/>
      <c r="H851" s="146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</row>
    <row r="852" ht="18.75" customHeight="1">
      <c r="A852" s="87"/>
      <c r="H852" s="146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</row>
    <row r="853" ht="18.75" customHeight="1">
      <c r="A853" s="87"/>
      <c r="H853" s="146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</row>
    <row r="854" ht="18.75" customHeight="1">
      <c r="A854" s="87"/>
      <c r="H854" s="146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</row>
    <row r="855" ht="18.75" customHeight="1">
      <c r="A855" s="87"/>
      <c r="H855" s="146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</row>
    <row r="856" ht="18.75" customHeight="1">
      <c r="A856" s="87"/>
      <c r="H856" s="146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</row>
    <row r="857" ht="18.75" customHeight="1">
      <c r="A857" s="87"/>
      <c r="H857" s="146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</row>
    <row r="858" ht="18.75" customHeight="1">
      <c r="A858" s="87"/>
      <c r="H858" s="146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</row>
    <row r="859" ht="18.75" customHeight="1">
      <c r="A859" s="87"/>
      <c r="H859" s="146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</row>
    <row r="860" ht="18.75" customHeight="1">
      <c r="A860" s="87"/>
      <c r="H860" s="146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</row>
    <row r="861" ht="18.75" customHeight="1">
      <c r="A861" s="87"/>
      <c r="H861" s="146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</row>
    <row r="862" ht="18.75" customHeight="1">
      <c r="A862" s="87"/>
      <c r="H862" s="146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</row>
    <row r="863" ht="18.75" customHeight="1">
      <c r="A863" s="87"/>
      <c r="H863" s="146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</row>
    <row r="864" ht="18.75" customHeight="1">
      <c r="A864" s="87"/>
      <c r="H864" s="146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</row>
    <row r="865" ht="18.75" customHeight="1">
      <c r="A865" s="87"/>
      <c r="H865" s="146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</row>
    <row r="866" ht="18.75" customHeight="1">
      <c r="A866" s="87"/>
      <c r="H866" s="146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</row>
    <row r="867" ht="18.75" customHeight="1">
      <c r="A867" s="87"/>
      <c r="H867" s="146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</row>
    <row r="868" ht="18.75" customHeight="1">
      <c r="A868" s="87"/>
      <c r="H868" s="146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</row>
    <row r="869" ht="18.75" customHeight="1">
      <c r="A869" s="87"/>
      <c r="H869" s="146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</row>
    <row r="870" ht="18.75" customHeight="1">
      <c r="A870" s="87"/>
      <c r="H870" s="146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</row>
    <row r="871" ht="18.75" customHeight="1">
      <c r="A871" s="87"/>
      <c r="H871" s="146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</row>
    <row r="872" ht="18.75" customHeight="1">
      <c r="A872" s="87"/>
      <c r="H872" s="146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</row>
    <row r="873" ht="18.75" customHeight="1">
      <c r="A873" s="87"/>
      <c r="H873" s="146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</row>
    <row r="874" ht="18.75" customHeight="1">
      <c r="A874" s="87"/>
      <c r="H874" s="146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</row>
    <row r="875" ht="18.75" customHeight="1">
      <c r="A875" s="87"/>
      <c r="H875" s="146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</row>
    <row r="876" ht="18.75" customHeight="1">
      <c r="A876" s="87"/>
      <c r="H876" s="146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</row>
    <row r="877" ht="18.75" customHeight="1">
      <c r="A877" s="87"/>
      <c r="H877" s="146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</row>
    <row r="878" ht="18.75" customHeight="1">
      <c r="A878" s="87"/>
      <c r="H878" s="146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</row>
    <row r="879" ht="18.75" customHeight="1">
      <c r="A879" s="87"/>
      <c r="H879" s="146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</row>
    <row r="880" ht="18.75" customHeight="1">
      <c r="A880" s="87"/>
      <c r="H880" s="146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</row>
    <row r="881" ht="18.75" customHeight="1">
      <c r="A881" s="87"/>
      <c r="H881" s="146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</row>
    <row r="882" ht="18.75" customHeight="1">
      <c r="A882" s="87"/>
      <c r="H882" s="146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</row>
    <row r="883" ht="18.75" customHeight="1">
      <c r="A883" s="87"/>
      <c r="H883" s="146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</row>
    <row r="884" ht="18.75" customHeight="1">
      <c r="A884" s="87"/>
      <c r="H884" s="146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</row>
    <row r="885" ht="18.75" customHeight="1">
      <c r="A885" s="87"/>
      <c r="H885" s="146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</row>
    <row r="886" ht="18.75" customHeight="1">
      <c r="A886" s="87"/>
      <c r="H886" s="146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</row>
    <row r="887" ht="18.75" customHeight="1">
      <c r="A887" s="87"/>
      <c r="H887" s="146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</row>
    <row r="888" ht="18.75" customHeight="1">
      <c r="A888" s="87"/>
      <c r="H888" s="146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</row>
    <row r="889" ht="18.75" customHeight="1">
      <c r="A889" s="87"/>
      <c r="H889" s="146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</row>
    <row r="890" ht="18.75" customHeight="1">
      <c r="A890" s="87"/>
      <c r="H890" s="146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</row>
    <row r="891" ht="18.75" customHeight="1">
      <c r="A891" s="87"/>
      <c r="H891" s="146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</row>
    <row r="892" ht="18.75" customHeight="1">
      <c r="A892" s="87"/>
      <c r="H892" s="146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</row>
    <row r="893" ht="18.75" customHeight="1">
      <c r="A893" s="87"/>
      <c r="H893" s="146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</row>
    <row r="894" ht="18.75" customHeight="1">
      <c r="A894" s="87"/>
      <c r="H894" s="146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</row>
    <row r="895" ht="18.75" customHeight="1">
      <c r="A895" s="87"/>
      <c r="H895" s="146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</row>
    <row r="896" ht="18.75" customHeight="1">
      <c r="A896" s="87"/>
      <c r="H896" s="146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</row>
    <row r="897" ht="18.75" customHeight="1">
      <c r="A897" s="87"/>
      <c r="H897" s="146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</row>
    <row r="898" ht="18.75" customHeight="1">
      <c r="A898" s="87"/>
      <c r="H898" s="146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</row>
    <row r="899" ht="18.75" customHeight="1">
      <c r="A899" s="87"/>
      <c r="H899" s="146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</row>
    <row r="900" ht="18.75" customHeight="1">
      <c r="A900" s="87"/>
      <c r="H900" s="146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</row>
    <row r="901" ht="18.75" customHeight="1">
      <c r="A901" s="87"/>
      <c r="H901" s="146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</row>
    <row r="902" ht="18.75" customHeight="1">
      <c r="A902" s="87"/>
      <c r="H902" s="146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</row>
    <row r="903" ht="18.75" customHeight="1">
      <c r="A903" s="87"/>
      <c r="H903" s="146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</row>
    <row r="904" ht="18.75" customHeight="1">
      <c r="A904" s="87"/>
      <c r="H904" s="146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</row>
    <row r="905" ht="18.75" customHeight="1">
      <c r="A905" s="87"/>
      <c r="H905" s="146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</row>
    <row r="906" ht="18.75" customHeight="1">
      <c r="A906" s="87"/>
      <c r="H906" s="146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</row>
    <row r="907" ht="18.75" customHeight="1">
      <c r="A907" s="87"/>
      <c r="H907" s="146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</row>
    <row r="908" ht="18.75" customHeight="1">
      <c r="A908" s="87"/>
      <c r="H908" s="146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</row>
    <row r="909" ht="18.75" customHeight="1">
      <c r="A909" s="87"/>
      <c r="H909" s="146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</row>
    <row r="910" ht="18.75" customHeight="1">
      <c r="A910" s="87"/>
      <c r="H910" s="146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</row>
    <row r="911" ht="18.75" customHeight="1">
      <c r="A911" s="87"/>
      <c r="H911" s="146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</row>
    <row r="912" ht="18.75" customHeight="1">
      <c r="A912" s="87"/>
      <c r="H912" s="146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</row>
    <row r="913" ht="18.75" customHeight="1">
      <c r="A913" s="87"/>
      <c r="H913" s="146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</row>
    <row r="914" ht="18.75" customHeight="1">
      <c r="A914" s="87"/>
      <c r="H914" s="146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</row>
    <row r="915" ht="18.75" customHeight="1">
      <c r="A915" s="87"/>
      <c r="H915" s="146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</row>
    <row r="916" ht="18.75" customHeight="1">
      <c r="A916" s="87"/>
      <c r="H916" s="146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</row>
    <row r="917" ht="18.75" customHeight="1">
      <c r="A917" s="87"/>
      <c r="H917" s="146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</row>
    <row r="918" ht="18.75" customHeight="1">
      <c r="A918" s="87"/>
      <c r="H918" s="146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</row>
    <row r="919" ht="18.75" customHeight="1">
      <c r="A919" s="87"/>
      <c r="H919" s="146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</row>
    <row r="920" ht="18.75" customHeight="1">
      <c r="A920" s="87"/>
      <c r="H920" s="146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</row>
    <row r="921" ht="18.75" customHeight="1">
      <c r="A921" s="87"/>
      <c r="H921" s="146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</row>
    <row r="922" ht="18.75" customHeight="1">
      <c r="A922" s="87"/>
      <c r="H922" s="146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</row>
    <row r="923" ht="18.75" customHeight="1">
      <c r="A923" s="87"/>
      <c r="H923" s="146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</row>
    <row r="924" ht="18.75" customHeight="1">
      <c r="A924" s="87"/>
      <c r="H924" s="146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</row>
    <row r="925" ht="18.75" customHeight="1">
      <c r="A925" s="87"/>
      <c r="H925" s="146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</row>
    <row r="926" ht="18.75" customHeight="1">
      <c r="A926" s="87"/>
      <c r="H926" s="146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</row>
    <row r="927" ht="18.75" customHeight="1">
      <c r="A927" s="87"/>
      <c r="H927" s="146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</row>
    <row r="928" ht="18.75" customHeight="1">
      <c r="A928" s="87"/>
      <c r="H928" s="146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</row>
    <row r="929" ht="18.75" customHeight="1">
      <c r="A929" s="87"/>
      <c r="H929" s="146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</row>
    <row r="930" ht="18.75" customHeight="1">
      <c r="A930" s="87"/>
      <c r="H930" s="146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</row>
    <row r="931" ht="18.75" customHeight="1">
      <c r="A931" s="87"/>
      <c r="H931" s="146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</row>
    <row r="932" ht="18.75" customHeight="1">
      <c r="A932" s="87"/>
      <c r="H932" s="146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</row>
    <row r="933" ht="18.75" customHeight="1">
      <c r="A933" s="87"/>
      <c r="H933" s="146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</row>
    <row r="934" ht="18.75" customHeight="1">
      <c r="A934" s="87"/>
      <c r="H934" s="146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</row>
    <row r="935" ht="18.75" customHeight="1">
      <c r="A935" s="87"/>
      <c r="H935" s="146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</row>
    <row r="936" ht="18.75" customHeight="1">
      <c r="A936" s="87"/>
      <c r="H936" s="146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</row>
    <row r="937" ht="18.75" customHeight="1">
      <c r="A937" s="87"/>
      <c r="H937" s="146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</row>
    <row r="938" ht="18.75" customHeight="1">
      <c r="A938" s="87"/>
      <c r="H938" s="146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</row>
    <row r="939" ht="18.75" customHeight="1">
      <c r="A939" s="87"/>
      <c r="H939" s="146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</row>
    <row r="940" ht="18.75" customHeight="1">
      <c r="A940" s="87"/>
      <c r="H940" s="146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</row>
    <row r="941" ht="18.75" customHeight="1">
      <c r="A941" s="87"/>
      <c r="H941" s="146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</row>
    <row r="942" ht="18.75" customHeight="1">
      <c r="A942" s="87"/>
      <c r="H942" s="146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</row>
    <row r="943" ht="18.75" customHeight="1">
      <c r="A943" s="87"/>
      <c r="H943" s="146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</row>
    <row r="944" ht="18.75" customHeight="1">
      <c r="A944" s="87"/>
      <c r="H944" s="146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</row>
    <row r="945" ht="18.75" customHeight="1">
      <c r="A945" s="87"/>
      <c r="H945" s="146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</row>
    <row r="946" ht="18.75" customHeight="1">
      <c r="A946" s="87"/>
      <c r="H946" s="146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</row>
    <row r="947" ht="18.75" customHeight="1">
      <c r="A947" s="87"/>
      <c r="H947" s="146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</row>
    <row r="948" ht="18.75" customHeight="1">
      <c r="A948" s="87"/>
      <c r="H948" s="146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</row>
    <row r="949" ht="18.75" customHeight="1">
      <c r="A949" s="87"/>
      <c r="H949" s="146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</row>
    <row r="950" ht="18.75" customHeight="1">
      <c r="A950" s="87"/>
      <c r="H950" s="146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</row>
    <row r="951" ht="18.75" customHeight="1">
      <c r="A951" s="87"/>
      <c r="H951" s="146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</row>
    <row r="952" ht="18.75" customHeight="1">
      <c r="A952" s="87"/>
      <c r="H952" s="146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</row>
    <row r="953" ht="18.75" customHeight="1">
      <c r="A953" s="87"/>
      <c r="H953" s="146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</row>
    <row r="954" ht="18.75" customHeight="1">
      <c r="A954" s="87"/>
      <c r="H954" s="146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</row>
    <row r="955" ht="18.75" customHeight="1">
      <c r="A955" s="87"/>
      <c r="H955" s="146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</row>
  </sheetData>
  <mergeCells count="7">
    <mergeCell ref="A1:B1"/>
    <mergeCell ref="A2:A3"/>
    <mergeCell ref="B2:B3"/>
    <mergeCell ref="C2:D2"/>
    <mergeCell ref="E2:E3"/>
    <mergeCell ref="F2:F3"/>
    <mergeCell ref="G2:G3"/>
  </mergeCells>
  <dataValidations>
    <dataValidation type="list" allowBlank="1" showErrorMessage="1" sqref="F1 F4:F635">
      <formula1>"GPT - 10/10,GPT - 24/10,Đất Lâm Đồng Tháng 10,PKH - T09,Chị Hường 20/10,vn 10,vn 6,vn 7,Charm Long Hải - GPT - T10,Đất Phương Nam - 12/10"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